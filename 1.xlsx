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Sheet0!$A$1:$M$23</definedName>
  </definedNames>
  <calcPr calcId="162913"/>
</workbook>
</file>

<file path=xl/calcChain.xml><?xml version="1.0" encoding="utf-8"?>
<calcChain xmlns="http://schemas.openxmlformats.org/spreadsheetml/2006/main">
  <c r="A23" i="1" l="1"/>
  <c r="A24" i="1"/>
  <c r="A25" i="1" s="1"/>
  <c r="A26" i="1" s="1"/>
  <c r="A27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<sst xmlns="http://schemas.openxmlformats.org/spreadsheetml/2006/main" count="254" uniqueCount="168">
  <si>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</si>
  <si>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</si>
  <si>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</si>
  <si>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</si>
  <si>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</si>
  <si>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</si>
  <si>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</si>
  <si>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</si>
  <si>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</si>
  <si>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</si>
  <si>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</si>
  <si>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</si>
  <si>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</si>
  <si>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</si>
  <si>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</si>
  <si>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</si>
  <si>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</si>
  <si>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MR2608/0099</t>
  </si>
  <si>
    <t>Daily</t>
  </si>
  <si>
    <t>132KV_132 kV Bargi Lakhnadaun</t>
  </si>
  <si>
    <t>132KV_BARGI</t>
  </si>
  <si>
    <t>NON-OCCM-MP</t>
  </si>
  <si>
    <t>More than 35 year string replaced through contract</t>
  </si>
  <si>
    <t>10-08-2026 08:00:00</t>
  </si>
  <si>
    <t>24-08-2026 18:00:00</t>
  </si>
  <si>
    <t>Jitendra Tiwari</t>
  </si>
  <si>
    <t>9425805298</t>
  </si>
  <si>
    <t>MR2608/0134</t>
  </si>
  <si>
    <t>Continuous</t>
  </si>
  <si>
    <t>132KV_132 kV Bhopal-Bagroda line</t>
  </si>
  <si>
    <t>220KV_BHOPAL</t>
  </si>
  <si>
    <t>Modification/Shifting work</t>
  </si>
  <si>
    <t>12-08-2026 17:00:00</t>
  </si>
  <si>
    <t>14-08-2026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</si>
  <si>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</si>
  <si>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</si>
  <si>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</si>
  <si>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</si>
  <si>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</si>
  <si>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</si>
  <si>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</si>
  <si>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</si>
  <si>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</si>
  <si>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MR2608/0108</t>
  </si>
  <si>
    <t>132KV_132KV DAMOH - PATERA IST&amp;IIND LINE</t>
  </si>
  <si>
    <t>220KV_DAMOH</t>
  </si>
  <si>
    <t>PTW FOR OPGW LIVE LINE INSTALLATION WORK</t>
  </si>
  <si>
    <t>11-08-2026 07:00:00</t>
  </si>
  <si>
    <t>17-08-2026 19:00:00</t>
  </si>
  <si>
    <t>M.M. BAIG</t>
  </si>
  <si>
    <t>9425805067</t>
  </si>
  <si>
    <t>MR2608/0114</t>
  </si>
  <si>
    <t>132KV_132kV Kirnapur Dongargarh Line</t>
  </si>
  <si>
    <t>400KV_KIRNAPUR</t>
  </si>
  <si>
    <t>PID Defective Disc Replacement &amp; Other Line Mainte</t>
  </si>
  <si>
    <t>13-08-2026 09:00:00</t>
  </si>
  <si>
    <t>13-08-2026 18:00:00</t>
  </si>
  <si>
    <t>S.K. BHALADHARE</t>
  </si>
  <si>
    <t>9425807264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</si>
  <si>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</si>
  <si>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</si>
  <si>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</si>
  <si>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</si>
  <si>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</si>
  <si>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</si>
  <si>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</si>
  <si>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</si>
  <si>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MR2608/0135</t>
  </si>
  <si>
    <t>132KV_132 kV MACT-Mandideep line</t>
  </si>
  <si>
    <t>220KV_MANDIDEEP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</si>
  <si>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</si>
  <si>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</si>
  <si>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</si>
  <si>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</si>
  <si>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</si>
  <si>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</si>
  <si>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</si>
  <si>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</si>
  <si>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MR2608/0127</t>
  </si>
  <si>
    <t>220KV_220KV Neemuch - Mandsaur-II</t>
  </si>
  <si>
    <t>NON-OCCM-WR</t>
  </si>
  <si>
    <t>DPR relay replacement work</t>
  </si>
  <si>
    <t>13-08-2026 10:00:00</t>
  </si>
  <si>
    <t>13-08-2026 17:00:00</t>
  </si>
  <si>
    <t>S.H. Mansuri</t>
  </si>
  <si>
    <t>7587951068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</si>
  <si>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</si>
  <si>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</si>
  <si>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</si>
  <si>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</si>
  <si>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</si>
  <si>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</si>
  <si>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</si>
  <si>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</si>
  <si>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132KV_132kv Prithvipur -orchha 2nd line</t>
  </si>
  <si>
    <t>132KV_ORCHHA</t>
  </si>
  <si>
    <t>Tan-delta measurement of CT</t>
  </si>
  <si>
    <t>13-08-2026 11:00:00</t>
  </si>
  <si>
    <t>13-08-2026 14:00:00</t>
  </si>
  <si>
    <t>Santosh lodhi</t>
  </si>
  <si>
    <t>6260498028</t>
  </si>
  <si>
    <t>MR2608/0129</t>
  </si>
  <si>
    <t>MR2608/0100</t>
  </si>
  <si>
    <t>132KV_132 KV PANAGAR - DHEEMARKHEDA LINE</t>
  </si>
  <si>
    <t>220KV_PANAGAR</t>
  </si>
  <si>
    <t>OPGW Live Line Installation</t>
  </si>
  <si>
    <t>10-08-2026 07:00:00</t>
  </si>
  <si>
    <t>15-08-2026 19:00:00</t>
  </si>
  <si>
    <t>MANOJ KUMAR TIWARI</t>
  </si>
  <si>
    <t>9425804993</t>
  </si>
  <si>
    <t>132KV_132 kv prithvipur orchha 2</t>
  </si>
  <si>
    <t>132KV_PRITHVIPUR</t>
  </si>
  <si>
    <t>For changing flash over insulator</t>
  </si>
  <si>
    <t>Pankaj yadav</t>
  </si>
  <si>
    <t>9406713326</t>
  </si>
  <si>
    <t>MR2608/0132</t>
  </si>
  <si>
    <t>132KV_132kv Main Bus -2</t>
  </si>
  <si>
    <t>220KV_SATNA</t>
  </si>
  <si>
    <t>For Main Bus YBPH Loop conductor jumper repair wor</t>
  </si>
  <si>
    <t>13-08-2026 16:00:00</t>
  </si>
  <si>
    <t>Poshkar kushwaha</t>
  </si>
  <si>
    <t>9425813990</t>
  </si>
  <si>
    <t>MR2608/0139</t>
  </si>
  <si>
    <t>MR2608/0085</t>
  </si>
  <si>
    <t>400KV_50 MVA 400/6.6 KV TRANSFORMER NO 10</t>
  </si>
  <si>
    <t>400KV_SATPURA TPS</t>
  </si>
  <si>
    <t>Testing of transformer other maintanance work</t>
  </si>
  <si>
    <t>08-08-2026 10:00:00</t>
  </si>
  <si>
    <t>14-08-2026 18:00:00</t>
  </si>
  <si>
    <t>HIRESH TIWARI</t>
  </si>
  <si>
    <t>9425611049</t>
  </si>
  <si>
    <t>MR2608/0136</t>
  </si>
  <si>
    <t>132KV_132 kV Shahdol-Dindori Circuit II</t>
  </si>
  <si>
    <t>132KV_SHAHDOL</t>
  </si>
  <si>
    <t>F/o disc stringing replacement &amp; other line maint.</t>
  </si>
  <si>
    <t>Jagdish Prasad Asati</t>
  </si>
  <si>
    <t>9424445533</t>
  </si>
  <si>
    <t>MR2608/0137</t>
  </si>
  <si>
    <t>132KV_132kv Shivpuri Bairad Ckt -2</t>
  </si>
  <si>
    <t>220KV_SHIVPURI</t>
  </si>
  <si>
    <t>Line Maintenance work</t>
  </si>
  <si>
    <t>Suraj Pawar</t>
  </si>
  <si>
    <t>9425814079</t>
  </si>
  <si>
    <t>ok</t>
  </si>
  <si>
    <t>sub ld</t>
  </si>
  <si>
    <t>ok, line to be in service</t>
  </si>
  <si>
    <t>ok, through sub ld</t>
  </si>
  <si>
    <t>ok, o&amp;m shall be informed</t>
  </si>
  <si>
    <t>as opportunity s/d</t>
  </si>
  <si>
    <t>ok, line to be in service,  through sub ld</t>
  </si>
  <si>
    <t>APPROVED OUTAGE LIST FOR DTD.13.08.26</t>
  </si>
  <si>
    <t>220KV-GWALIOR-GWALIOR-II-2</t>
  </si>
  <si>
    <t>220KV-AJAYGARH-SATNA-1</t>
  </si>
  <si>
    <t>132KV-KIRNAPUR-DONGARGARH-1</t>
  </si>
  <si>
    <t>220KV-ANNUPUR-KOTMIKALA-1</t>
  </si>
  <si>
    <t>real time</t>
  </si>
  <si>
    <t>13-Aug-2026</t>
  </si>
  <si>
    <t>09:00</t>
  </si>
  <si>
    <t>17:00</t>
  </si>
  <si>
    <t>08:00</t>
  </si>
  <si>
    <t>19:00</t>
  </si>
  <si>
    <t>18:00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</si>
  <si>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</si>
  <si>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</si>
  <si>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LINE MAINTENANCE WORK I.E. CLEANING OF DISC INSULATORS DURING LINE PATROLLING, REPLACEMENT OF FLASHOVERED DISC INSULATORS, TREE BRANCH CUTTING ETC AT VARIOUS TOWER LOCATIONS</t>
  </si>
  <si>
    <t>FOR CONDUCTOR RE-SAGGING WORK IN LOCATION NO.379-388,388-397,397-406 &amp;406-418</t>
  </si>
  <si>
    <t>OCCM-WR</t>
  </si>
  <si>
    <t>S/I,SLDC MPPTCL JBP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</si>
</sst>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8" fillId="4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zoomScale="80" zoomScaleNormal="80" workbookViewId="0">
      <selection activeCell="N36" sqref="N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6.140625" style="10" customWidth="1"/>
    <col min="6" max="6" width="20.85546875" customWidth="1"/>
    <col min="7" max="7" width="16.140625" customWidth="1"/>
    <col min="8" max="8" width="48.42578125" customWidth="1"/>
    <col min="9" max="9" width="19.42578125" customWidth="1"/>
    <col min="10" max="10" width="19.5703125" customWidth="1"/>
    <col min="11" max="11" width="18.85546875" customWidth="1"/>
    <col min="12" max="12" width="12" customWidth="1"/>
    <col min="13" max="13" width="53.7109375" customWidth="1"/>
  </cols>
  <sheetData>
    <row r="1" spans="1:13" ht="43.7" customHeight="1" x14ac:dyDescent="0.35">
      <c r="A1" s="1"/>
      <c r="B1" s="17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s="10" customFormat="1" ht="42" customHeight="1" x14ac:dyDescent="0.25">
      <c r="A2" s="7" t="s">
        <v>1</v>
      </c>
      <c r="B2" s="13">
        <v>46247</v>
      </c>
      <c r="C2" s="7"/>
      <c r="D2" s="7"/>
      <c r="E2" s="14" t="s">
        <v>150</v>
      </c>
      <c r="F2" s="15"/>
      <c r="G2" s="15"/>
      <c r="H2" s="15"/>
      <c r="I2" s="15"/>
      <c r="J2" s="15"/>
      <c r="K2" s="16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1" t="s">
        <v>15</v>
      </c>
      <c r="L4" s="12"/>
      <c r="M4" s="8" t="s">
        <v>16</v>
      </c>
    </row>
    <row r="5" spans="1:13" ht="27.75" customHeight="1" x14ac:dyDescent="0.25">
      <c r="A5" s="2">
        <v>1</v>
      </c>
      <c r="B5" s="3">
        <v>46243.521261574075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143</v>
      </c>
    </row>
    <row r="6" spans="1:13" ht="27.75" customHeight="1" x14ac:dyDescent="0.25">
      <c r="A6" s="2">
        <f>A5+1</f>
        <v>2</v>
      </c>
      <c r="B6" s="3">
        <v>46246.600949074076</v>
      </c>
      <c r="C6" s="2" t="s">
        <v>27</v>
      </c>
      <c r="D6" s="2" t="s">
        <v>28</v>
      </c>
      <c r="E6" s="9" t="s">
        <v>29</v>
      </c>
      <c r="F6" s="2" t="s">
        <v>30</v>
      </c>
      <c r="G6" s="2" t="s">
        <v>21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144</v>
      </c>
    </row>
    <row r="7" spans="1:13" ht="27.75" customHeight="1" x14ac:dyDescent="0.25">
      <c r="A7" s="2">
        <f t="shared" ref="A7:A27" si="0">A6+1</f>
        <v>3</v>
      </c>
      <c r="B7" s="3">
        <v>46234.633958333332</v>
      </c>
      <c r="C7" s="2" t="s">
        <v>36</v>
      </c>
      <c r="D7" s="2" t="s">
        <v>28</v>
      </c>
      <c r="E7" s="9" t="s">
        <v>37</v>
      </c>
      <c r="F7" s="2" t="s">
        <v>38</v>
      </c>
      <c r="G7" s="2" t="s">
        <v>39</v>
      </c>
      <c r="H7" s="2" t="s">
        <v>40</v>
      </c>
      <c r="I7" s="4" t="s">
        <v>41</v>
      </c>
      <c r="J7" s="4" t="s">
        <v>42</v>
      </c>
      <c r="K7" s="5" t="s">
        <v>34</v>
      </c>
      <c r="L7" s="6" t="s">
        <v>35</v>
      </c>
      <c r="M7" s="2" t="s">
        <v>28</v>
      </c>
    </row>
    <row r="8" spans="1:13" ht="27.75" customHeight="1" x14ac:dyDescent="0.25">
      <c r="A8" s="2">
        <f t="shared" si="0"/>
        <v>4</v>
      </c>
      <c r="B8" s="3">
        <v>46244.646956018521</v>
      </c>
      <c r="C8" s="2" t="s">
        <v>43</v>
      </c>
      <c r="D8" s="2" t="s">
        <v>18</v>
      </c>
      <c r="E8" s="9" t="s">
        <v>44</v>
      </c>
      <c r="F8" s="2" t="s">
        <v>45</v>
      </c>
      <c r="G8" s="2" t="s">
        <v>21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2" t="s">
        <v>145</v>
      </c>
    </row>
    <row r="9" spans="1:13" ht="27.75" customHeight="1" x14ac:dyDescent="0.25">
      <c r="A9" s="2">
        <f t="shared" si="0"/>
        <v>5</v>
      </c>
      <c r="B9" s="3">
        <v>46245.556388888886</v>
      </c>
      <c r="C9" s="2" t="s">
        <v>51</v>
      </c>
      <c r="D9" s="2"/>
      <c r="E9" s="9" t="s">
        <v>52</v>
      </c>
      <c r="F9" s="2" t="s">
        <v>53</v>
      </c>
      <c r="G9" s="2" t="s">
        <v>39</v>
      </c>
      <c r="H9" s="2" t="s">
        <v>54</v>
      </c>
      <c r="I9" s="4" t="s">
        <v>55</v>
      </c>
      <c r="J9" s="4" t="s">
        <v>56</v>
      </c>
      <c r="K9" s="5" t="s">
        <v>57</v>
      </c>
      <c r="L9" s="6" t="s">
        <v>58</v>
      </c>
      <c r="M9" s="2" t="s">
        <v>143</v>
      </c>
    </row>
    <row r="10" spans="1:13" ht="27.75" customHeight="1" x14ac:dyDescent="0.25">
      <c r="A10" s="2">
        <f t="shared" si="0"/>
        <v>6</v>
      </c>
      <c r="B10" s="3">
        <v>46239.682071759256</v>
      </c>
      <c r="C10" s="2" t="s">
        <v>59</v>
      </c>
      <c r="D10" s="2" t="s">
        <v>18</v>
      </c>
      <c r="E10" s="9" t="s">
        <v>60</v>
      </c>
      <c r="F10" s="2" t="s">
        <v>61</v>
      </c>
      <c r="G10" s="2" t="s">
        <v>21</v>
      </c>
      <c r="H10" s="2" t="s">
        <v>62</v>
      </c>
      <c r="I10" s="4" t="s">
        <v>63</v>
      </c>
      <c r="J10" s="4" t="s">
        <v>64</v>
      </c>
      <c r="K10" s="5" t="s">
        <v>65</v>
      </c>
      <c r="L10" s="6" t="s">
        <v>66</v>
      </c>
      <c r="M10" s="2" t="s">
        <v>28</v>
      </c>
    </row>
    <row r="11" spans="1:13" ht="27.75" customHeight="1" x14ac:dyDescent="0.25">
      <c r="A11" s="2">
        <f t="shared" si="0"/>
        <v>7</v>
      </c>
      <c r="B11" s="3">
        <v>46246.602222222224</v>
      </c>
      <c r="C11" s="2" t="s">
        <v>67</v>
      </c>
      <c r="D11" s="2" t="s">
        <v>28</v>
      </c>
      <c r="E11" s="9" t="s">
        <v>68</v>
      </c>
      <c r="F11" s="2" t="s">
        <v>69</v>
      </c>
      <c r="G11" s="2" t="s">
        <v>21</v>
      </c>
      <c r="H11" s="2" t="s">
        <v>31</v>
      </c>
      <c r="I11" s="4" t="s">
        <v>32</v>
      </c>
      <c r="J11" s="4" t="s">
        <v>33</v>
      </c>
      <c r="K11" s="5" t="s">
        <v>34</v>
      </c>
      <c r="L11" s="6" t="s">
        <v>35</v>
      </c>
      <c r="M11" s="2" t="s">
        <v>144</v>
      </c>
    </row>
    <row r="12" spans="1:13" ht="27.75" customHeight="1" x14ac:dyDescent="0.25">
      <c r="A12" s="2">
        <f t="shared" si="0"/>
        <v>8</v>
      </c>
      <c r="B12" s="3">
        <v>46242.584861111114</v>
      </c>
      <c r="C12" s="2" t="s">
        <v>70</v>
      </c>
      <c r="D12" s="2" t="s">
        <v>18</v>
      </c>
      <c r="E12" s="9" t="s">
        <v>71</v>
      </c>
      <c r="F12" s="2" t="s">
        <v>72</v>
      </c>
      <c r="G12" s="2" t="s">
        <v>21</v>
      </c>
      <c r="H12" s="2" t="s">
        <v>73</v>
      </c>
      <c r="I12" s="4" t="s">
        <v>74</v>
      </c>
      <c r="J12" s="4" t="s">
        <v>75</v>
      </c>
      <c r="K12" s="5" t="s">
        <v>76</v>
      </c>
      <c r="L12" s="6" t="s">
        <v>77</v>
      </c>
      <c r="M12" s="2" t="s">
        <v>144</v>
      </c>
    </row>
    <row r="13" spans="1:13" ht="27.75" customHeight="1" x14ac:dyDescent="0.25">
      <c r="A13" s="2">
        <f t="shared" si="0"/>
        <v>9</v>
      </c>
      <c r="B13" s="3">
        <v>46246.552546296298</v>
      </c>
      <c r="C13" s="2" t="s">
        <v>78</v>
      </c>
      <c r="D13" s="2"/>
      <c r="E13" s="9" t="s">
        <v>79</v>
      </c>
      <c r="F13" s="2" t="s">
        <v>72</v>
      </c>
      <c r="G13" s="2" t="s">
        <v>80</v>
      </c>
      <c r="H13" s="2" t="s">
        <v>81</v>
      </c>
      <c r="I13" s="4" t="s">
        <v>82</v>
      </c>
      <c r="J13" s="4" t="s">
        <v>83</v>
      </c>
      <c r="K13" s="5" t="s">
        <v>84</v>
      </c>
      <c r="L13" s="6" t="s">
        <v>85</v>
      </c>
      <c r="M13" s="2" t="s">
        <v>146</v>
      </c>
    </row>
    <row r="14" spans="1:13" ht="27.75" customHeight="1" x14ac:dyDescent="0.25">
      <c r="A14" s="2">
        <f t="shared" si="0"/>
        <v>10</v>
      </c>
      <c r="B14" s="3">
        <v>46242.578993055555</v>
      </c>
      <c r="C14" s="2" t="s">
        <v>86</v>
      </c>
      <c r="D14" s="2" t="s">
        <v>18</v>
      </c>
      <c r="E14" s="9" t="s">
        <v>87</v>
      </c>
      <c r="F14" s="2" t="s">
        <v>72</v>
      </c>
      <c r="G14" s="2" t="s">
        <v>21</v>
      </c>
      <c r="H14" s="2" t="s">
        <v>88</v>
      </c>
      <c r="I14" s="4" t="s">
        <v>74</v>
      </c>
      <c r="J14" s="4" t="s">
        <v>75</v>
      </c>
      <c r="K14" s="5" t="s">
        <v>76</v>
      </c>
      <c r="L14" s="6" t="s">
        <v>77</v>
      </c>
      <c r="M14" s="2" t="s">
        <v>149</v>
      </c>
    </row>
    <row r="15" spans="1:13" ht="27.75" customHeight="1" x14ac:dyDescent="0.25">
      <c r="A15" s="2">
        <f t="shared" si="0"/>
        <v>11</v>
      </c>
      <c r="B15" s="3">
        <v>46242.58148148148</v>
      </c>
      <c r="C15" s="2" t="s">
        <v>89</v>
      </c>
      <c r="D15" s="2" t="s">
        <v>18</v>
      </c>
      <c r="E15" s="9" t="s">
        <v>90</v>
      </c>
      <c r="F15" s="2" t="s">
        <v>72</v>
      </c>
      <c r="G15" s="2" t="s">
        <v>21</v>
      </c>
      <c r="H15" s="2" t="s">
        <v>73</v>
      </c>
      <c r="I15" s="4" t="s">
        <v>74</v>
      </c>
      <c r="J15" s="4" t="s">
        <v>75</v>
      </c>
      <c r="K15" s="5" t="s">
        <v>76</v>
      </c>
      <c r="L15" s="6" t="s">
        <v>77</v>
      </c>
      <c r="M15" s="2" t="s">
        <v>149</v>
      </c>
    </row>
    <row r="16" spans="1:13" ht="27.75" customHeight="1" x14ac:dyDescent="0.25">
      <c r="A16" s="2">
        <f t="shared" si="0"/>
        <v>12</v>
      </c>
      <c r="B16" s="3">
        <v>46242.586817129632</v>
      </c>
      <c r="C16" s="2" t="s">
        <v>91</v>
      </c>
      <c r="D16" s="2" t="s">
        <v>18</v>
      </c>
      <c r="E16" s="9" t="s">
        <v>92</v>
      </c>
      <c r="F16" s="2" t="s">
        <v>72</v>
      </c>
      <c r="G16" s="2" t="s">
        <v>21</v>
      </c>
      <c r="H16" s="2" t="s">
        <v>93</v>
      </c>
      <c r="I16" s="4" t="s">
        <v>74</v>
      </c>
      <c r="J16" s="4" t="s">
        <v>75</v>
      </c>
      <c r="K16" s="5" t="s">
        <v>76</v>
      </c>
      <c r="L16" s="6" t="s">
        <v>77</v>
      </c>
      <c r="M16" s="2" t="s">
        <v>144</v>
      </c>
    </row>
    <row r="17" spans="1:13" ht="27.75" customHeight="1" x14ac:dyDescent="0.25">
      <c r="A17" s="2">
        <f t="shared" si="0"/>
        <v>13</v>
      </c>
      <c r="B17" s="3">
        <v>46246.585555555554</v>
      </c>
      <c r="C17" s="2" t="s">
        <v>101</v>
      </c>
      <c r="D17" s="2"/>
      <c r="E17" s="9" t="s">
        <v>94</v>
      </c>
      <c r="F17" s="2" t="s">
        <v>95</v>
      </c>
      <c r="G17" s="2" t="s">
        <v>21</v>
      </c>
      <c r="H17" s="2" t="s">
        <v>96</v>
      </c>
      <c r="I17" s="4" t="s">
        <v>97</v>
      </c>
      <c r="J17" s="4" t="s">
        <v>98</v>
      </c>
      <c r="K17" s="5" t="s">
        <v>99</v>
      </c>
      <c r="L17" s="6" t="s">
        <v>100</v>
      </c>
      <c r="M17" s="2" t="s">
        <v>148</v>
      </c>
    </row>
    <row r="18" spans="1:13" ht="27.75" customHeight="1" x14ac:dyDescent="0.25">
      <c r="A18" s="2">
        <f t="shared" si="0"/>
        <v>14</v>
      </c>
      <c r="B18" s="3">
        <v>46243.548333333332</v>
      </c>
      <c r="C18" s="2" t="s">
        <v>102</v>
      </c>
      <c r="D18" s="2" t="s">
        <v>18</v>
      </c>
      <c r="E18" s="9" t="s">
        <v>103</v>
      </c>
      <c r="F18" s="2" t="s">
        <v>104</v>
      </c>
      <c r="G18" s="2" t="s">
        <v>21</v>
      </c>
      <c r="H18" s="2" t="s">
        <v>105</v>
      </c>
      <c r="I18" s="4" t="s">
        <v>106</v>
      </c>
      <c r="J18" s="4" t="s">
        <v>107</v>
      </c>
      <c r="K18" s="5" t="s">
        <v>108</v>
      </c>
      <c r="L18" s="6" t="s">
        <v>109</v>
      </c>
      <c r="M18" s="2" t="s">
        <v>145</v>
      </c>
    </row>
    <row r="19" spans="1:13" ht="27.75" customHeight="1" x14ac:dyDescent="0.25">
      <c r="A19" s="2">
        <f t="shared" si="0"/>
        <v>15</v>
      </c>
      <c r="B19" s="3">
        <v>46246.586585648147</v>
      </c>
      <c r="C19" s="2" t="s">
        <v>115</v>
      </c>
      <c r="D19" s="2"/>
      <c r="E19" s="9" t="s">
        <v>110</v>
      </c>
      <c r="F19" s="2" t="s">
        <v>111</v>
      </c>
      <c r="G19" s="2" t="s">
        <v>21</v>
      </c>
      <c r="H19" s="2" t="s">
        <v>112</v>
      </c>
      <c r="I19" s="4" t="s">
        <v>82</v>
      </c>
      <c r="J19" s="4" t="s">
        <v>56</v>
      </c>
      <c r="K19" s="5" t="s">
        <v>113</v>
      </c>
      <c r="L19" s="6" t="s">
        <v>114</v>
      </c>
      <c r="M19" s="2" t="s">
        <v>147</v>
      </c>
    </row>
    <row r="20" spans="1:13" ht="27.75" customHeight="1" x14ac:dyDescent="0.25">
      <c r="A20" s="2">
        <f t="shared" si="0"/>
        <v>16</v>
      </c>
      <c r="B20" s="3">
        <v>46246.665046296293</v>
      </c>
      <c r="C20" s="2" t="s">
        <v>122</v>
      </c>
      <c r="D20" s="2"/>
      <c r="E20" s="9" t="s">
        <v>116</v>
      </c>
      <c r="F20" s="2" t="s">
        <v>117</v>
      </c>
      <c r="G20" s="2" t="s">
        <v>39</v>
      </c>
      <c r="H20" s="2" t="s">
        <v>118</v>
      </c>
      <c r="I20" s="4" t="s">
        <v>82</v>
      </c>
      <c r="J20" s="4" t="s">
        <v>119</v>
      </c>
      <c r="K20" s="5" t="s">
        <v>120</v>
      </c>
      <c r="L20" s="6" t="s">
        <v>121</v>
      </c>
      <c r="M20" s="2" t="s">
        <v>147</v>
      </c>
    </row>
    <row r="21" spans="1:13" ht="27.75" customHeight="1" x14ac:dyDescent="0.25">
      <c r="A21" s="2">
        <f t="shared" si="0"/>
        <v>17</v>
      </c>
      <c r="B21" s="3">
        <v>46241.879166666666</v>
      </c>
      <c r="C21" s="2" t="s">
        <v>123</v>
      </c>
      <c r="D21" s="2" t="s">
        <v>28</v>
      </c>
      <c r="E21" s="9" t="s">
        <v>124</v>
      </c>
      <c r="F21" s="2" t="s">
        <v>125</v>
      </c>
      <c r="G21" s="2" t="s">
        <v>21</v>
      </c>
      <c r="H21" s="2" t="s">
        <v>126</v>
      </c>
      <c r="I21" s="4" t="s">
        <v>127</v>
      </c>
      <c r="J21" s="4" t="s">
        <v>128</v>
      </c>
      <c r="K21" s="5" t="s">
        <v>129</v>
      </c>
      <c r="L21" s="6" t="s">
        <v>130</v>
      </c>
      <c r="M21" s="2" t="s">
        <v>28</v>
      </c>
    </row>
    <row r="22" spans="1:13" ht="27.75" customHeight="1" x14ac:dyDescent="0.25">
      <c r="A22" s="2">
        <f t="shared" si="0"/>
        <v>18</v>
      </c>
      <c r="B22" s="3">
        <v>46246.617835648147</v>
      </c>
      <c r="C22" s="2" t="s">
        <v>131</v>
      </c>
      <c r="D22" s="2"/>
      <c r="E22" s="9" t="s">
        <v>132</v>
      </c>
      <c r="F22" s="2" t="s">
        <v>133</v>
      </c>
      <c r="G22" s="2" t="s">
        <v>21</v>
      </c>
      <c r="H22" s="2" t="s">
        <v>134</v>
      </c>
      <c r="I22" s="4" t="s">
        <v>82</v>
      </c>
      <c r="J22" s="4" t="s">
        <v>56</v>
      </c>
      <c r="K22" s="5" t="s">
        <v>135</v>
      </c>
      <c r="L22" s="6" t="s">
        <v>136</v>
      </c>
      <c r="M22" s="2" t="s">
        <v>143</v>
      </c>
    </row>
    <row r="23" spans="1:13" ht="27.75" customHeight="1" x14ac:dyDescent="0.25">
      <c r="A23" s="2">
        <f t="shared" si="0"/>
        <v>19</v>
      </c>
      <c r="B23" s="3">
        <v>46246.636030092595</v>
      </c>
      <c r="C23" s="2" t="s">
        <v>137</v>
      </c>
      <c r="D23" s="2"/>
      <c r="E23" s="9" t="s">
        <v>138</v>
      </c>
      <c r="F23" s="2" t="s">
        <v>139</v>
      </c>
      <c r="G23" s="2" t="s">
        <v>21</v>
      </c>
      <c r="H23" s="2" t="s">
        <v>140</v>
      </c>
      <c r="I23" s="4" t="s">
        <v>82</v>
      </c>
      <c r="J23" s="4" t="s">
        <v>56</v>
      </c>
      <c r="K23" s="5" t="s">
        <v>141</v>
      </c>
      <c r="L23" s="6" t="s">
        <v>142</v>
      </c>
      <c r="M23" s="2" t="s">
        <v>144</v>
      </c>
    </row>
    <row r="24" spans="1:13" ht="38.25" x14ac:dyDescent="0.25">
      <c r="A24" s="2">
        <f t="shared" si="0"/>
        <v>20</v>
      </c>
      <c r="B24" s="3">
        <v>46246.636030092595</v>
      </c>
      <c r="C24" s="2"/>
      <c r="D24" s="2"/>
      <c r="E24" s="20" t="s">
        <v>151</v>
      </c>
      <c r="F24" s="2"/>
      <c r="G24" s="2" t="s">
        <v>166</v>
      </c>
      <c r="H24" s="9" t="s">
        <v>162</v>
      </c>
      <c r="I24" s="4" t="s">
        <v>156</v>
      </c>
      <c r="J24" s="4" t="s">
        <v>157</v>
      </c>
      <c r="K24" s="5" t="s">
        <v>156</v>
      </c>
      <c r="L24" s="6" t="s">
        <v>158</v>
      </c>
      <c r="M24" s="2" t="s">
        <v>155</v>
      </c>
    </row>
    <row r="25" spans="1:13" ht="38.25" x14ac:dyDescent="0.25">
      <c r="A25" s="2">
        <f t="shared" si="0"/>
        <v>21</v>
      </c>
      <c r="B25" s="3">
        <v>46246.636030092595</v>
      </c>
      <c r="C25" s="2"/>
      <c r="D25" s="2"/>
      <c r="E25" s="20" t="s">
        <v>152</v>
      </c>
      <c r="F25" s="2"/>
      <c r="G25" s="2" t="s">
        <v>166</v>
      </c>
      <c r="H25" s="9" t="s">
        <v>163</v>
      </c>
      <c r="I25" s="4" t="s">
        <v>156</v>
      </c>
      <c r="J25" s="4" t="s">
        <v>159</v>
      </c>
      <c r="K25" s="5" t="s">
        <v>156</v>
      </c>
      <c r="L25" s="6" t="s">
        <v>160</v>
      </c>
      <c r="M25" s="2" t="s">
        <v>155</v>
      </c>
    </row>
    <row r="26" spans="1:13" ht="63.75" x14ac:dyDescent="0.25">
      <c r="A26" s="2">
        <f t="shared" si="0"/>
        <v>22</v>
      </c>
      <c r="B26" s="3">
        <v>46246.636030092595</v>
      </c>
      <c r="C26" s="2"/>
      <c r="D26" s="2"/>
      <c r="E26" s="20" t="s">
        <v>153</v>
      </c>
      <c r="F26" s="2"/>
      <c r="G26" s="2" t="s">
        <v>166</v>
      </c>
      <c r="H26" s="9" t="s">
        <v>164</v>
      </c>
      <c r="I26" s="4" t="s">
        <v>156</v>
      </c>
      <c r="J26" s="4" t="s">
        <v>157</v>
      </c>
      <c r="K26" s="5" t="s">
        <v>156</v>
      </c>
      <c r="L26" s="6" t="s">
        <v>161</v>
      </c>
      <c r="M26" s="2" t="s">
        <v>143</v>
      </c>
    </row>
    <row r="27" spans="1:13" ht="25.5" x14ac:dyDescent="0.25">
      <c r="A27" s="2">
        <f t="shared" si="0"/>
        <v>23</v>
      </c>
      <c r="B27" s="3">
        <v>46246.636030092595</v>
      </c>
      <c r="C27" s="2"/>
      <c r="D27" s="2"/>
      <c r="E27" s="20" t="s">
        <v>154</v>
      </c>
      <c r="F27" s="2"/>
      <c r="G27" s="2" t="s">
        <v>166</v>
      </c>
      <c r="H27" s="9" t="s">
        <v>165</v>
      </c>
      <c r="I27" s="4" t="s">
        <v>156</v>
      </c>
      <c r="J27" s="4" t="s">
        <v>159</v>
      </c>
      <c r="K27" s="5" t="s">
        <v>156</v>
      </c>
      <c r="L27" s="6" t="s">
        <v>161</v>
      </c>
      <c r="M27" s="2" t="s">
        <v>143</v>
      </c>
    </row>
    <row r="28" spans="1:13" ht="20.25" x14ac:dyDescent="0.25">
      <c r="A28" s="2"/>
      <c r="B28" s="3"/>
      <c r="C28" s="2"/>
      <c r="D28" s="2"/>
      <c r="E28" s="9"/>
      <c r="F28" s="2"/>
      <c r="G28" s="2"/>
      <c r="H28" s="2"/>
      <c r="I28" s="4"/>
      <c r="J28" s="4"/>
      <c r="K28" s="5"/>
      <c r="L28" s="6"/>
      <c r="M28" s="21" t="s">
        <v>167</v>
      </c>
    </row>
    <row r="29" spans="1:13" x14ac:dyDescent="0.25">
      <c r="A29" s="2"/>
      <c r="B29" s="3"/>
      <c r="C29" s="2"/>
      <c r="D29" s="2"/>
      <c r="E29" s="9"/>
      <c r="F29" s="2"/>
      <c r="G29" s="2"/>
      <c r="H29" s="2"/>
      <c r="I29" s="4"/>
      <c r="J29" s="4"/>
      <c r="K29" s="5"/>
      <c r="L29" s="6"/>
      <c r="M29" s="2"/>
    </row>
    <row r="30" spans="1:13" x14ac:dyDescent="0.25">
      <c r="A30" s="2"/>
      <c r="B30" s="3"/>
      <c r="C30" s="2"/>
      <c r="D30" s="2"/>
      <c r="E30" s="9"/>
      <c r="F30" s="2"/>
      <c r="G30" s="2"/>
      <c r="H30" s="2"/>
      <c r="I30" s="4"/>
      <c r="J30" s="4"/>
      <c r="K30" s="5"/>
      <c r="L30" s="6"/>
      <c r="M30" s="2"/>
    </row>
    <row r="31" spans="1:13" x14ac:dyDescent="0.25">
      <c r="A31" s="2"/>
      <c r="B31" s="3"/>
      <c r="C31" s="2"/>
      <c r="D31" s="2"/>
      <c r="E31" s="9"/>
      <c r="F31" s="2"/>
      <c r="G31" s="2"/>
      <c r="H31" s="2"/>
      <c r="I31" s="4"/>
      <c r="J31" s="4"/>
      <c r="K31" s="5"/>
      <c r="L31" s="6"/>
      <c r="M31" s="2"/>
    </row>
    <row r="32" spans="1:13" x14ac:dyDescent="0.25">
      <c r="A32" s="2"/>
      <c r="B32" s="3"/>
      <c r="C32" s="2"/>
      <c r="D32" s="2"/>
      <c r="E32" s="9"/>
      <c r="F32" s="2"/>
      <c r="G32" s="2"/>
      <c r="H32" s="2"/>
      <c r="I32" s="4"/>
      <c r="J32" s="4"/>
      <c r="K32" s="5"/>
      <c r="L32" s="6"/>
      <c r="M32" s="2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2026-08-12T11:47:04Z</dcterms:created>
  <dcterms:modified xsi:type="dcterms:W3CDTF">2026-08-12T14:45:46Z</dcterms:modified>
</cp:coreProperties>
</file>
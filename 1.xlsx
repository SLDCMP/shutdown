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Sheet0!$A$1:$M$41</definedName>
  </definedNames>
  <calcPr calcId="162913"/>
</workbook>
</file>

<file path=xl/calcChain.xml><?xml version="1.0" encoding="utf-8"?>
<calcChain xmlns="http://schemas.openxmlformats.org/spreadsheetml/2006/main">
  <c r="A31" i="1" l="1"/>
  <c r="A33" i="1"/>
  <c r="A34" i="1" s="1"/>
  <c r="A36" i="1"/>
  <c r="A37" i="1"/>
  <c r="A39" i="1"/>
  <c r="A40" i="1" s="1"/>
  <c r="A30" i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6" i="1"/>
</calcChain>
</file>

<file path=xl/sharedStrings.xml><?xml version="1.0" encoding="utf-8"?>
<sst xmlns="http://schemas.openxmlformats.org/spreadsheetml/2006/main" count="364" uniqueCount="217">
  <si>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</si>
  <si>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</si>
  <si>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</si>
  <si>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</si>
  <si>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</si>
  <si>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</si>
  <si>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</si>
  <si>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</si>
  <si>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</si>
  <si>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</si>
  <si>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</si>
  <si>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</si>
  <si>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</si>
  <si>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</si>
  <si>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</si>
  <si>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</si>
  <si>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</si>
  <si>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MR2601/0380</t>
  </si>
  <si>
    <t>Daily</t>
  </si>
  <si>
    <t>220KV_220 kV Anuppur-Kotmikala Circuit I</t>
  </si>
  <si>
    <t>220KV_ANUPPUR</t>
  </si>
  <si>
    <t>NON-OCCM-MP</t>
  </si>
  <si>
    <t>For Conductor re-sagging &amp; other line maintenance</t>
  </si>
  <si>
    <t>01-02-2026 08:00:00</t>
  </si>
  <si>
    <t>20-02-2026 18:00:00</t>
  </si>
  <si>
    <t>Jitendra Tiwari</t>
  </si>
  <si>
    <t>9425805298</t>
  </si>
  <si>
    <t>MR2601/0381</t>
  </si>
  <si>
    <t>220KV_220 kV Anuppur-Kotmikala Circuit II</t>
  </si>
  <si>
    <t>MR2601/0521</t>
  </si>
  <si>
    <t>220KV_220kv badnawar-Ratlam ckt-1</t>
  </si>
  <si>
    <t>400KV_BADNAWAR</t>
  </si>
  <si>
    <t>for bay maintenance and testing work</t>
  </si>
  <si>
    <t>06-02-2026 08:00:00</t>
  </si>
  <si>
    <t>06-02-2026 18:00:00</t>
  </si>
  <si>
    <t>ER.Abhishek verma</t>
  </si>
  <si>
    <t>9340855901</t>
  </si>
  <si>
    <t>MR2601/0461</t>
  </si>
  <si>
    <t>220KV_220 KV Bina Datia line</t>
  </si>
  <si>
    <t>400KV_BINA4</t>
  </si>
  <si>
    <t>Old and defected disc replacement work</t>
  </si>
  <si>
    <t>30-01-2026 08:00:00</t>
  </si>
  <si>
    <t>13-02-2026 18:00:00</t>
  </si>
  <si>
    <t>Satish Kumar Bhagat</t>
  </si>
  <si>
    <t>9425806916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</si>
  <si>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</si>
  <si>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</si>
  <si>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</si>
  <si>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</si>
  <si>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</si>
  <si>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</si>
  <si>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</si>
  <si>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</si>
  <si>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</si>
  <si>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MR2602/0071</t>
  </si>
  <si>
    <t>132KV_132KV CHAMBALâ¿¿ELECTRONIC  COMPLEX LINE</t>
  </si>
  <si>
    <t>132KV_INDORE CHAMBAL</t>
  </si>
  <si>
    <t>CONDUCTOR REPLACEMENT WORK AND OTHER MAINTANANCE</t>
  </si>
  <si>
    <t>06-02-2026 07:00:00</t>
  </si>
  <si>
    <t>06-02-2026 17:30:00</t>
  </si>
  <si>
    <t>RAVINDRA PATIL</t>
  </si>
  <si>
    <t>9425801598</t>
  </si>
  <si>
    <t>MR2602/0061</t>
  </si>
  <si>
    <t>33KV_63 MAV VIJAI X-MER</t>
  </si>
  <si>
    <t>220KV_JABALPUR</t>
  </si>
  <si>
    <t>33 KV MAIN BUS ERECTION WORK</t>
  </si>
  <si>
    <t>D.N.PODDAR</t>
  </si>
  <si>
    <t>9425805034</t>
  </si>
  <si>
    <t>MR2602/0062</t>
  </si>
  <si>
    <t>132KV_132kv Jaora - Daloda line</t>
  </si>
  <si>
    <t>220KV_JAORA</t>
  </si>
  <si>
    <t>construction works of LILO of Jaora â¿¿ Daloda 132kv</t>
  </si>
  <si>
    <t>06-02-2026 09:00:00</t>
  </si>
  <si>
    <t>06-02-2026 17:00:00</t>
  </si>
  <si>
    <t>Akash Shrivas</t>
  </si>
  <si>
    <t>9425805018</t>
  </si>
  <si>
    <t>MR2602/0073</t>
  </si>
  <si>
    <t>132KV_132KV Waraseoni bay</t>
  </si>
  <si>
    <t>132KV_KATANGI</t>
  </si>
  <si>
    <t>SF6 gas leakage attending work</t>
  </si>
  <si>
    <t>06-02-2026 10:00:00</t>
  </si>
  <si>
    <t>Seema Dongre</t>
  </si>
  <si>
    <t>9425807247</t>
  </si>
  <si>
    <t>MR2602/0060</t>
  </si>
  <si>
    <t>400KV_400 KV Auxiliary Bus</t>
  </si>
  <si>
    <t>400KV_MANDSOUR4</t>
  </si>
  <si>
    <t>Overhead stringing work</t>
  </si>
  <si>
    <t>05-02-2026 12:00:00</t>
  </si>
  <si>
    <t>07-02-2026 18:00:00</t>
  </si>
  <si>
    <t>J.P. Parmar</t>
  </si>
  <si>
    <t>9425806919</t>
  </si>
  <si>
    <t>MR2601/0097</t>
  </si>
  <si>
    <t>400KV_400kv main bus-1</t>
  </si>
  <si>
    <t>400KV_NAGDA4</t>
  </si>
  <si>
    <t>For replacement 1 nos pantograph isolator</t>
  </si>
  <si>
    <t>05-02-2026 09:00:00</t>
  </si>
  <si>
    <t>Sunil Bamniya</t>
  </si>
  <si>
    <t>9425820045</t>
  </si>
  <si>
    <t>MR2602/0069</t>
  </si>
  <si>
    <t>132KV_132/33 KV 50 MVA BHEL X-MER</t>
  </si>
  <si>
    <t>132KV_NARSINGHPUR1</t>
  </si>
  <si>
    <t>S/D for  CT,CB, CT Junction box painting work.</t>
  </si>
  <si>
    <t>06-02-2026 14:00:00</t>
  </si>
  <si>
    <t>rajesh chaturvedi</t>
  </si>
  <si>
    <t>9425805203</t>
  </si>
  <si>
    <t>MR2602/0067</t>
  </si>
  <si>
    <t>132KV_132 KV Narsinghpur â¿¿Shrinagar  feeder</t>
  </si>
  <si>
    <t>R.Y.B Phase CT replacement work</t>
  </si>
  <si>
    <t>Er. Rajesh chaturwedi</t>
  </si>
  <si>
    <t>MR2602/0068</t>
  </si>
  <si>
    <t>132KV_40 MVA X-mer</t>
  </si>
  <si>
    <t>220KV_PANAGAR</t>
  </si>
  <si>
    <t>40MVA x-mer normalized to 132 kv  main bus.</t>
  </si>
  <si>
    <t>06-02-2026 16:00:00</t>
  </si>
  <si>
    <t>H.L. Koshta</t>
  </si>
  <si>
    <t>7587951105</t>
  </si>
  <si>
    <t>MR2602/0058</t>
  </si>
  <si>
    <t>220KV_160MVA BHEL X-MER NO-02</t>
  </si>
  <si>
    <t>SHUTDOWN ON 132KV MAIN BUS</t>
  </si>
  <si>
    <t>06-02-2026 12:00:00</t>
  </si>
  <si>
    <t>H L KOSHTA</t>
  </si>
  <si>
    <t>MR2602/0059</t>
  </si>
  <si>
    <t>132KV_50MVA BBL X-MER</t>
  </si>
  <si>
    <t>MR2602/0053</t>
  </si>
  <si>
    <t>132KV_40MVA BHEL X-MER</t>
  </si>
  <si>
    <t>TEMPORARY ARRANGEMENT FOR LOAD SHIFTING ON AUX BUS</t>
  </si>
  <si>
    <t>06-02-2026 11:30:00</t>
  </si>
  <si>
    <t>H.L.KOSHTA</t>
  </si>
  <si>
    <t>MR2602/0057</t>
  </si>
  <si>
    <t>220KV_160MVA BHEL X-MER NO-01</t>
  </si>
  <si>
    <t>HL KOSHTA</t>
  </si>
  <si>
    <t>MR2602/0054</t>
  </si>
  <si>
    <t>132KV_MAIN BUS</t>
  </si>
  <si>
    <t>second PT set erection&amp;jumpering main bus&amp;bus isol</t>
  </si>
  <si>
    <t>h l koshta</t>
  </si>
  <si>
    <t>MR2602/0070</t>
  </si>
  <si>
    <t>132KV_132 KV Pichhore Chanderi line</t>
  </si>
  <si>
    <t>220KV_PICHHORE</t>
  </si>
  <si>
    <t>Flash over disc replacement work and other line ma</t>
  </si>
  <si>
    <t>MR2601/0512</t>
  </si>
  <si>
    <t>400KV_400KV SSTPH-Pithampur ckt-2</t>
  </si>
  <si>
    <t>400KV_PITHAMPUR4</t>
  </si>
  <si>
    <t>Tower Restrengthening work on cross arm.</t>
  </si>
  <si>
    <t>14-02-2026 18:00:00</t>
  </si>
  <si>
    <t>Naresh Pandre</t>
  </si>
  <si>
    <t>9425806905</t>
  </si>
  <si>
    <t>MR2601/0499</t>
  </si>
  <si>
    <t>400KV_400KV SSTPH-Pithampur ckt -1</t>
  </si>
  <si>
    <t>MR2602/0063</t>
  </si>
  <si>
    <t>220KV_220 kv Rewa-Tons DCDS line</t>
  </si>
  <si>
    <t>220KV_REWA</t>
  </si>
  <si>
    <t>flashover disc insulator string replacement &amp; othe</t>
  </si>
  <si>
    <t>Ajay Kumar Chaurasia</t>
  </si>
  <si>
    <t>9425805081</t>
  </si>
  <si>
    <t>MR2601/0452</t>
  </si>
  <si>
    <t>220KV_220 kv Rewa-Sidhi-Satna DCDS Line</t>
  </si>
  <si>
    <t>Tower Erection Work  of Bharatmala Project</t>
  </si>
  <si>
    <t>02-02-2026 09:00:00</t>
  </si>
  <si>
    <t>12-02-2026 18:00:00</t>
  </si>
  <si>
    <t>Mr. Ajay Kumar Chaurasia</t>
  </si>
  <si>
    <t>MR2602/0048</t>
  </si>
  <si>
    <t>220KV_220kv Rewa Satna line</t>
  </si>
  <si>
    <t>Tower Erection work</t>
  </si>
  <si>
    <t>04-02-2026 09:00:00</t>
  </si>
  <si>
    <t>220KV_220 KV Rewa-Sidhi Line</t>
  </si>
  <si>
    <t>MR2602/0047</t>
  </si>
  <si>
    <t>MR2602/0066</t>
  </si>
  <si>
    <t>132KV_132KV Daloda Sitamau Line</t>
  </si>
  <si>
    <t>132KV_SITAMAU</t>
  </si>
  <si>
    <t>For Line Maintenance work</t>
  </si>
  <si>
    <t>Gaurav Goyal</t>
  </si>
  <si>
    <t>9425805120</t>
  </si>
  <si>
    <t>MR2602/0056</t>
  </si>
  <si>
    <t>132KV_132kV Vidisha-Raisen Ckt-II</t>
  </si>
  <si>
    <t>220KV_VIDISHA</t>
  </si>
  <si>
    <t>For Modification/shifting work of line.</t>
  </si>
  <si>
    <t>25-02-2026 18:00:00</t>
  </si>
  <si>
    <t>Rajkumar Bhusare</t>
  </si>
  <si>
    <t>9425820042</t>
  </si>
  <si>
    <t>MR2602/0055</t>
  </si>
  <si>
    <t>132KV_132kV Vidisha-Gairatganj ckt</t>
  </si>
  <si>
    <t>For modification/shifing work of line.</t>
  </si>
  <si>
    <t>Deferred, not in WRPC approval list</t>
  </si>
  <si>
    <t>sub ld</t>
  </si>
  <si>
    <t>deferred from site</t>
  </si>
  <si>
    <t>ok, through sub ld</t>
  </si>
  <si>
    <t>deferred</t>
  </si>
  <si>
    <t>ok</t>
  </si>
  <si>
    <t>ok, line to be in service through TBC</t>
  </si>
  <si>
    <t>o&amp;m consent required</t>
  </si>
  <si>
    <t>On hold, due to FTC formalities pending</t>
  </si>
  <si>
    <t>deferred due to s/d on 400kv Satna PG bus</t>
  </si>
  <si>
    <t>deferred due to s/d on 220 KV Bina Datia line</t>
  </si>
  <si>
    <t>shall be allowed in real time after 11 hrs, discom areas of shahpura and shrinagar shall be intimated regarding any emergency during the s/d period</t>
  </si>
  <si>
    <t>ok, discom at Katni area shall be informed regarding the emergency load relief which may be required during the s/d period</t>
  </si>
  <si>
    <t>132KV-KIRNAPUR-DONGARGARH-1</t>
  </si>
  <si>
    <t>KHANDWA - 220KV - BUS 1</t>
  </si>
  <si>
    <t>400KV/220KV SHUJALPUR-ICT-3</t>
  </si>
  <si>
    <t>220KV-HOSHANGABAD-ITARSI-1</t>
  </si>
  <si>
    <t>220KV-MALANPUR-AURIYA-1</t>
  </si>
  <si>
    <t>220KV-SATNA-MP-SATNA-1</t>
  </si>
  <si>
    <t>SEONI-PG - 400KV - BUS 1</t>
  </si>
  <si>
    <t>400KV/220KV BETUL-ICT-1</t>
  </si>
  <si>
    <t>Tree cutting work at  between loc. 277-292.</t>
  </si>
  <si>
    <t xml:space="preserve">Schedule Bus AMP work </t>
  </si>
  <si>
    <t>SHEDULED AMP WORK OF ICT -3 AT SHUJALPUR AND SEEPAGE ARRESTING , Dia to be kept open at both sides.</t>
  </si>
  <si>
    <t>Line Terminal AMP works and Hot spot attending works in 207-89B</t>
  </si>
  <si>
    <t>FOR LINE MAINTENANCE WORK i.e. CLEANING OF DISC INSULATORS DURING LINE PATROLLING , REPLACEMENT OF FLASHOVERED DISC INSULATORS, TREE BRANCH CUTTING ETC AT VARIOUS TOWER LOCATIONS</t>
  </si>
  <si>
    <t>For AMP work @ Seoni SS</t>
  </si>
  <si>
    <t>AMP works of ICT#1 with terminal Equipment's (Bay 406, 405 &amp; 203), Relay Testing and DR STANDARDIATION of B406 87T/64T/21T Relays, Dia to be kept open at both sides.</t>
  </si>
  <si>
    <t>SLDC_CG</t>
  </si>
  <si>
    <t>POWERGRID_WR2</t>
  </si>
  <si>
    <t>MP_SLDC</t>
  </si>
  <si>
    <t>POWERGRID_WR1</t>
  </si>
  <si>
    <t>deferred due to high loading</t>
  </si>
  <si>
    <t>real time, shall only be given if s/d on 132kv Amrawart khurd not availed</t>
  </si>
  <si>
    <t>real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</si>
</sst>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1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1"/>
  <sheetViews>
    <sheetView tabSelected="1" workbookViewId="0">
      <pane xSplit="5" ySplit="1" topLeftCell="I30" activePane="bottomRight" state="frozen"/>
      <selection pane="topRight" activeCell="F1" sqref="F1"/>
      <selection pane="bottomLeft" activeCell="A2" sqref="A2"/>
      <selection pane="bottomRight" activeCell="G37" sqref="G37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6.42578125" customWidth="1"/>
    <col min="6" max="6" width="25.85546875" customWidth="1"/>
    <col min="7" max="7" width="15.7109375" customWidth="1"/>
    <col min="8" max="8" width="64.85546875" customWidth="1"/>
    <col min="9" max="10" width="19.5703125" customWidth="1"/>
    <col min="11" max="11" width="19.85546875" customWidth="1"/>
    <col min="12" max="12" width="12" customWidth="1"/>
    <col min="13" max="13" width="42.85546875" style="13" customWidth="1"/>
  </cols>
  <sheetData>
    <row r="1" spans="1:13" ht="43.7" customHeight="1" x14ac:dyDescent="0.25">
      <c r="A1" s="1"/>
      <c r="B1" s="15" t="s">
        <v>0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7"/>
    </row>
    <row r="2" spans="1:13" ht="42" customHeight="1" x14ac:dyDescent="0.25">
      <c r="A2" s="1" t="s">
        <v>1</v>
      </c>
      <c r="B2" s="2">
        <v>46059</v>
      </c>
      <c r="C2" s="1"/>
      <c r="D2" s="1"/>
      <c r="E2" s="1"/>
      <c r="F2" s="1"/>
      <c r="G2" s="1"/>
      <c r="H2" s="1"/>
      <c r="I2" s="1"/>
      <c r="J2" s="1"/>
      <c r="K2" s="1"/>
      <c r="L2" s="1"/>
      <c r="M2" s="10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0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8" t="s">
        <v>15</v>
      </c>
      <c r="L4" s="17"/>
      <c r="M4" s="11" t="s">
        <v>16</v>
      </c>
    </row>
    <row r="5" spans="1:13" ht="25.5" customHeight="1" x14ac:dyDescent="0.25">
      <c r="A5" s="4">
        <v>1</v>
      </c>
      <c r="B5" s="5">
        <v>46045.7030787037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2" t="s">
        <v>182</v>
      </c>
    </row>
    <row r="6" spans="1:13" ht="25.5" customHeight="1" x14ac:dyDescent="0.25">
      <c r="A6" s="4">
        <f>A5+1</f>
        <v>2</v>
      </c>
      <c r="B6" s="5">
        <v>46045.703703703701</v>
      </c>
      <c r="C6" s="4" t="s">
        <v>27</v>
      </c>
      <c r="D6" s="4" t="s">
        <v>18</v>
      </c>
      <c r="E6" s="4" t="s">
        <v>28</v>
      </c>
      <c r="F6" s="4" t="s">
        <v>20</v>
      </c>
      <c r="G6" s="4" t="s">
        <v>21</v>
      </c>
      <c r="H6" s="4" t="s">
        <v>22</v>
      </c>
      <c r="I6" s="6" t="s">
        <v>23</v>
      </c>
      <c r="J6" s="6" t="s">
        <v>24</v>
      </c>
      <c r="K6" s="7" t="s">
        <v>25</v>
      </c>
      <c r="L6" s="8" t="s">
        <v>26</v>
      </c>
      <c r="M6" s="12" t="s">
        <v>182</v>
      </c>
    </row>
    <row r="7" spans="1:13" ht="25.5" customHeight="1" x14ac:dyDescent="0.25">
      <c r="A7" s="4">
        <f t="shared" ref="A7:A46" si="0">A6+1</f>
        <v>3</v>
      </c>
      <c r="B7" s="5">
        <v>46053.530659722222</v>
      </c>
      <c r="C7" s="4" t="s">
        <v>29</v>
      </c>
      <c r="D7" s="4"/>
      <c r="E7" s="4" t="s">
        <v>30</v>
      </c>
      <c r="F7" s="4" t="s">
        <v>31</v>
      </c>
      <c r="G7" s="4" t="s">
        <v>21</v>
      </c>
      <c r="H7" s="4" t="s">
        <v>32</v>
      </c>
      <c r="I7" s="6" t="s">
        <v>33</v>
      </c>
      <c r="J7" s="6" t="s">
        <v>34</v>
      </c>
      <c r="K7" s="7" t="s">
        <v>35</v>
      </c>
      <c r="L7" s="8" t="s">
        <v>36</v>
      </c>
      <c r="M7" s="12" t="s">
        <v>185</v>
      </c>
    </row>
    <row r="8" spans="1:13" ht="25.5" customHeight="1" x14ac:dyDescent="0.25">
      <c r="A8" s="4">
        <f t="shared" si="0"/>
        <v>4</v>
      </c>
      <c r="B8" s="5">
        <v>46051.550810185188</v>
      </c>
      <c r="C8" s="4" t="s">
        <v>37</v>
      </c>
      <c r="D8" s="4" t="s">
        <v>18</v>
      </c>
      <c r="E8" s="4" t="s">
        <v>38</v>
      </c>
      <c r="F8" s="4" t="s">
        <v>39</v>
      </c>
      <c r="G8" s="4" t="s">
        <v>21</v>
      </c>
      <c r="H8" s="4" t="s">
        <v>40</v>
      </c>
      <c r="I8" s="6" t="s">
        <v>41</v>
      </c>
      <c r="J8" s="6" t="s">
        <v>42</v>
      </c>
      <c r="K8" s="7" t="s">
        <v>43</v>
      </c>
      <c r="L8" s="8" t="s">
        <v>44</v>
      </c>
      <c r="M8" s="12" t="s">
        <v>185</v>
      </c>
    </row>
    <row r="9" spans="1:13" ht="25.5" customHeight="1" x14ac:dyDescent="0.25">
      <c r="A9" s="4">
        <f t="shared" si="0"/>
        <v>5</v>
      </c>
      <c r="B9" s="5">
        <v>46050.577592592592</v>
      </c>
      <c r="C9" s="4" t="s">
        <v>48</v>
      </c>
      <c r="D9" s="4" t="s">
        <v>18</v>
      </c>
      <c r="E9" s="4" t="s">
        <v>49</v>
      </c>
      <c r="F9" s="4" t="s">
        <v>46</v>
      </c>
      <c r="G9" s="4" t="s">
        <v>21</v>
      </c>
      <c r="H9" s="4" t="s">
        <v>50</v>
      </c>
      <c r="I9" s="6" t="s">
        <v>51</v>
      </c>
      <c r="J9" s="6" t="s">
        <v>52</v>
      </c>
      <c r="K9" s="7" t="s">
        <v>53</v>
      </c>
      <c r="L9" s="8" t="s">
        <v>47</v>
      </c>
      <c r="M9" s="12" t="s">
        <v>187</v>
      </c>
    </row>
    <row r="10" spans="1:13" ht="25.5" customHeight="1" x14ac:dyDescent="0.25">
      <c r="A10" s="4">
        <f t="shared" si="0"/>
        <v>6</v>
      </c>
      <c r="B10" s="5">
        <v>46058.666828703703</v>
      </c>
      <c r="C10" s="4" t="s">
        <v>54</v>
      </c>
      <c r="D10" s="4"/>
      <c r="E10" s="4" t="s">
        <v>55</v>
      </c>
      <c r="F10" s="4" t="s">
        <v>56</v>
      </c>
      <c r="G10" s="4" t="s">
        <v>21</v>
      </c>
      <c r="H10" s="4" t="s">
        <v>57</v>
      </c>
      <c r="I10" s="6" t="s">
        <v>58</v>
      </c>
      <c r="J10" s="6" t="s">
        <v>59</v>
      </c>
      <c r="K10" s="7" t="s">
        <v>60</v>
      </c>
      <c r="L10" s="8" t="s">
        <v>61</v>
      </c>
      <c r="M10" s="12" t="s">
        <v>183</v>
      </c>
    </row>
    <row r="11" spans="1:13" ht="25.5" customHeight="1" x14ac:dyDescent="0.25">
      <c r="A11" s="4">
        <f t="shared" si="0"/>
        <v>7</v>
      </c>
      <c r="B11" s="5">
        <v>46058.514976851853</v>
      </c>
      <c r="C11" s="4" t="s">
        <v>62</v>
      </c>
      <c r="D11" s="4"/>
      <c r="E11" s="4" t="s">
        <v>63</v>
      </c>
      <c r="F11" s="4" t="s">
        <v>64</v>
      </c>
      <c r="G11" s="4" t="s">
        <v>21</v>
      </c>
      <c r="H11" s="4" t="s">
        <v>65</v>
      </c>
      <c r="I11" s="6" t="s">
        <v>33</v>
      </c>
      <c r="J11" s="6" t="s">
        <v>34</v>
      </c>
      <c r="K11" s="7" t="s">
        <v>66</v>
      </c>
      <c r="L11" s="8" t="s">
        <v>67</v>
      </c>
      <c r="M11" s="12" t="s">
        <v>189</v>
      </c>
    </row>
    <row r="12" spans="1:13" ht="25.5" customHeight="1" x14ac:dyDescent="0.25">
      <c r="A12" s="4">
        <f t="shared" si="0"/>
        <v>8</v>
      </c>
      <c r="B12" s="5">
        <v>46058.515243055554</v>
      </c>
      <c r="C12" s="4" t="s">
        <v>68</v>
      </c>
      <c r="D12" s="4"/>
      <c r="E12" s="4" t="s">
        <v>69</v>
      </c>
      <c r="F12" s="4" t="s">
        <v>70</v>
      </c>
      <c r="G12" s="4" t="s">
        <v>21</v>
      </c>
      <c r="H12" s="4" t="s">
        <v>71</v>
      </c>
      <c r="I12" s="6" t="s">
        <v>72</v>
      </c>
      <c r="J12" s="6" t="s">
        <v>73</v>
      </c>
      <c r="K12" s="7" t="s">
        <v>74</v>
      </c>
      <c r="L12" s="8" t="s">
        <v>75</v>
      </c>
      <c r="M12" s="12" t="s">
        <v>190</v>
      </c>
    </row>
    <row r="13" spans="1:13" ht="25.5" customHeight="1" x14ac:dyDescent="0.25">
      <c r="A13" s="4">
        <f t="shared" si="0"/>
        <v>9</v>
      </c>
      <c r="B13" s="5">
        <v>46058.708078703705</v>
      </c>
      <c r="C13" s="4" t="s">
        <v>76</v>
      </c>
      <c r="D13" s="4"/>
      <c r="E13" s="4" t="s">
        <v>77</v>
      </c>
      <c r="F13" s="4" t="s">
        <v>78</v>
      </c>
      <c r="G13" s="4" t="s">
        <v>21</v>
      </c>
      <c r="H13" s="4" t="s">
        <v>79</v>
      </c>
      <c r="I13" s="6" t="s">
        <v>80</v>
      </c>
      <c r="J13" s="6" t="s">
        <v>73</v>
      </c>
      <c r="K13" s="7" t="s">
        <v>81</v>
      </c>
      <c r="L13" s="8" t="s">
        <v>82</v>
      </c>
      <c r="M13" s="12" t="s">
        <v>188</v>
      </c>
    </row>
    <row r="14" spans="1:13" ht="25.5" customHeight="1" x14ac:dyDescent="0.25">
      <c r="A14" s="4">
        <f t="shared" si="0"/>
        <v>10</v>
      </c>
      <c r="B14" s="5">
        <v>46058.497245370374</v>
      </c>
      <c r="C14" s="4" t="s">
        <v>83</v>
      </c>
      <c r="D14" s="4" t="s">
        <v>45</v>
      </c>
      <c r="E14" s="4" t="s">
        <v>84</v>
      </c>
      <c r="F14" s="4" t="s">
        <v>85</v>
      </c>
      <c r="G14" s="4" t="s">
        <v>21</v>
      </c>
      <c r="H14" s="4" t="s">
        <v>86</v>
      </c>
      <c r="I14" s="6" t="s">
        <v>87</v>
      </c>
      <c r="J14" s="6" t="s">
        <v>88</v>
      </c>
      <c r="K14" s="7" t="s">
        <v>89</v>
      </c>
      <c r="L14" s="8" t="s">
        <v>90</v>
      </c>
      <c r="M14" s="12" t="s">
        <v>185</v>
      </c>
    </row>
    <row r="15" spans="1:13" ht="25.5" customHeight="1" x14ac:dyDescent="0.25">
      <c r="A15" s="4">
        <f t="shared" si="0"/>
        <v>11</v>
      </c>
      <c r="B15" s="5">
        <v>46028.654097222221</v>
      </c>
      <c r="C15" s="4" t="s">
        <v>91</v>
      </c>
      <c r="D15" s="4" t="s">
        <v>45</v>
      </c>
      <c r="E15" s="4" t="s">
        <v>92</v>
      </c>
      <c r="F15" s="4" t="s">
        <v>93</v>
      </c>
      <c r="G15" s="4" t="s">
        <v>21</v>
      </c>
      <c r="H15" s="4" t="s">
        <v>94</v>
      </c>
      <c r="I15" s="6" t="s">
        <v>95</v>
      </c>
      <c r="J15" s="6" t="s">
        <v>34</v>
      </c>
      <c r="K15" s="7" t="s">
        <v>96</v>
      </c>
      <c r="L15" s="8" t="s">
        <v>97</v>
      </c>
      <c r="M15" s="12" t="s">
        <v>184</v>
      </c>
    </row>
    <row r="16" spans="1:13" ht="25.5" customHeight="1" x14ac:dyDescent="0.25">
      <c r="A16" s="4">
        <f t="shared" si="0"/>
        <v>12</v>
      </c>
      <c r="B16" s="5">
        <v>46058.582025462965</v>
      </c>
      <c r="C16" s="4" t="s">
        <v>98</v>
      </c>
      <c r="D16" s="4"/>
      <c r="E16" s="4" t="s">
        <v>99</v>
      </c>
      <c r="F16" s="4" t="s">
        <v>100</v>
      </c>
      <c r="G16" s="4" t="s">
        <v>21</v>
      </c>
      <c r="H16" s="4" t="s">
        <v>101</v>
      </c>
      <c r="I16" s="6" t="s">
        <v>80</v>
      </c>
      <c r="J16" s="6" t="s">
        <v>102</v>
      </c>
      <c r="K16" s="7" t="s">
        <v>103</v>
      </c>
      <c r="L16" s="8" t="s">
        <v>104</v>
      </c>
      <c r="M16" s="12" t="s">
        <v>187</v>
      </c>
    </row>
    <row r="17" spans="1:13" ht="67.5" customHeight="1" x14ac:dyDescent="0.25">
      <c r="A17" s="4">
        <f t="shared" si="0"/>
        <v>13</v>
      </c>
      <c r="B17" s="5">
        <v>46058.570879629631</v>
      </c>
      <c r="C17" s="4" t="s">
        <v>105</v>
      </c>
      <c r="D17" s="4"/>
      <c r="E17" s="4" t="s">
        <v>106</v>
      </c>
      <c r="F17" s="4" t="s">
        <v>100</v>
      </c>
      <c r="G17" s="4" t="s">
        <v>21</v>
      </c>
      <c r="H17" s="4" t="s">
        <v>107</v>
      </c>
      <c r="I17" s="6" t="s">
        <v>72</v>
      </c>
      <c r="J17" s="6" t="s">
        <v>73</v>
      </c>
      <c r="K17" s="7" t="s">
        <v>108</v>
      </c>
      <c r="L17" s="8" t="s">
        <v>104</v>
      </c>
      <c r="M17" s="12" t="s">
        <v>193</v>
      </c>
    </row>
    <row r="18" spans="1:13" ht="25.5" customHeight="1" x14ac:dyDescent="0.25">
      <c r="A18" s="4">
        <f t="shared" si="0"/>
        <v>14</v>
      </c>
      <c r="B18" s="5">
        <v>46058.571192129632</v>
      </c>
      <c r="C18" s="4" t="s">
        <v>109</v>
      </c>
      <c r="D18" s="4"/>
      <c r="E18" s="9" t="s">
        <v>110</v>
      </c>
      <c r="F18" s="4" t="s">
        <v>111</v>
      </c>
      <c r="G18" s="4" t="s">
        <v>21</v>
      </c>
      <c r="H18" s="4" t="s">
        <v>112</v>
      </c>
      <c r="I18" s="6" t="s">
        <v>113</v>
      </c>
      <c r="J18" s="6" t="s">
        <v>34</v>
      </c>
      <c r="K18" s="7" t="s">
        <v>114</v>
      </c>
      <c r="L18" s="8" t="s">
        <v>115</v>
      </c>
      <c r="M18" s="19" t="s">
        <v>194</v>
      </c>
    </row>
    <row r="19" spans="1:13" ht="25.5" customHeight="1" x14ac:dyDescent="0.25">
      <c r="A19" s="4">
        <f t="shared" si="0"/>
        <v>15</v>
      </c>
      <c r="B19" s="5">
        <v>46057.667523148149</v>
      </c>
      <c r="C19" s="4" t="s">
        <v>116</v>
      </c>
      <c r="D19" s="4"/>
      <c r="E19" s="9" t="s">
        <v>117</v>
      </c>
      <c r="F19" s="4" t="s">
        <v>111</v>
      </c>
      <c r="G19" s="4" t="s">
        <v>21</v>
      </c>
      <c r="H19" s="4" t="s">
        <v>118</v>
      </c>
      <c r="I19" s="6" t="s">
        <v>119</v>
      </c>
      <c r="J19" s="6" t="s">
        <v>113</v>
      </c>
      <c r="K19" s="7" t="s">
        <v>120</v>
      </c>
      <c r="L19" s="8" t="s">
        <v>115</v>
      </c>
      <c r="M19" s="20"/>
    </row>
    <row r="20" spans="1:13" ht="25.5" customHeight="1" x14ac:dyDescent="0.25">
      <c r="A20" s="4">
        <f t="shared" si="0"/>
        <v>16</v>
      </c>
      <c r="B20" s="5">
        <v>46057.669270833336</v>
      </c>
      <c r="C20" s="4" t="s">
        <v>121</v>
      </c>
      <c r="D20" s="4"/>
      <c r="E20" s="9" t="s">
        <v>122</v>
      </c>
      <c r="F20" s="4" t="s">
        <v>111</v>
      </c>
      <c r="G20" s="4" t="s">
        <v>21</v>
      </c>
      <c r="H20" s="4" t="s">
        <v>118</v>
      </c>
      <c r="I20" s="6" t="s">
        <v>119</v>
      </c>
      <c r="J20" s="6" t="s">
        <v>113</v>
      </c>
      <c r="K20" s="7" t="s">
        <v>120</v>
      </c>
      <c r="L20" s="8" t="s">
        <v>115</v>
      </c>
      <c r="M20" s="21"/>
    </row>
    <row r="21" spans="1:13" ht="25.5" customHeight="1" x14ac:dyDescent="0.25">
      <c r="A21" s="4">
        <f t="shared" si="0"/>
        <v>17</v>
      </c>
      <c r="B21" s="5">
        <v>46057.581782407404</v>
      </c>
      <c r="C21" s="4" t="s">
        <v>123</v>
      </c>
      <c r="D21" s="4"/>
      <c r="E21" s="9" t="s">
        <v>124</v>
      </c>
      <c r="F21" s="4" t="s">
        <v>111</v>
      </c>
      <c r="G21" s="4" t="s">
        <v>21</v>
      </c>
      <c r="H21" s="4" t="s">
        <v>125</v>
      </c>
      <c r="I21" s="6" t="s">
        <v>33</v>
      </c>
      <c r="J21" s="6" t="s">
        <v>126</v>
      </c>
      <c r="K21" s="7" t="s">
        <v>127</v>
      </c>
      <c r="L21" s="8" t="s">
        <v>115</v>
      </c>
      <c r="M21" s="12" t="s">
        <v>187</v>
      </c>
    </row>
    <row r="22" spans="1:13" ht="25.5" customHeight="1" x14ac:dyDescent="0.25">
      <c r="A22" s="4">
        <f t="shared" si="0"/>
        <v>18</v>
      </c>
      <c r="B22" s="5">
        <v>46057.664965277778</v>
      </c>
      <c r="C22" s="4" t="s">
        <v>128</v>
      </c>
      <c r="D22" s="4"/>
      <c r="E22" s="9" t="s">
        <v>129</v>
      </c>
      <c r="F22" s="4" t="s">
        <v>111</v>
      </c>
      <c r="G22" s="4" t="s">
        <v>21</v>
      </c>
      <c r="H22" s="4" t="s">
        <v>118</v>
      </c>
      <c r="I22" s="6" t="s">
        <v>119</v>
      </c>
      <c r="J22" s="6" t="s">
        <v>113</v>
      </c>
      <c r="K22" s="7" t="s">
        <v>130</v>
      </c>
      <c r="L22" s="8" t="s">
        <v>115</v>
      </c>
      <c r="M22" s="19" t="s">
        <v>194</v>
      </c>
    </row>
    <row r="23" spans="1:13" ht="25.5" customHeight="1" x14ac:dyDescent="0.25">
      <c r="A23" s="4">
        <f t="shared" si="0"/>
        <v>19</v>
      </c>
      <c r="B23" s="5">
        <v>46057.616990740738</v>
      </c>
      <c r="C23" s="4" t="s">
        <v>131</v>
      </c>
      <c r="D23" s="4"/>
      <c r="E23" s="9" t="s">
        <v>132</v>
      </c>
      <c r="F23" s="4" t="s">
        <v>111</v>
      </c>
      <c r="G23" s="4" t="s">
        <v>21</v>
      </c>
      <c r="H23" s="4" t="s">
        <v>133</v>
      </c>
      <c r="I23" s="6" t="s">
        <v>119</v>
      </c>
      <c r="J23" s="6" t="s">
        <v>113</v>
      </c>
      <c r="K23" s="7" t="s">
        <v>134</v>
      </c>
      <c r="L23" s="8" t="s">
        <v>115</v>
      </c>
      <c r="M23" s="21"/>
    </row>
    <row r="24" spans="1:13" ht="25.5" customHeight="1" x14ac:dyDescent="0.25">
      <c r="A24" s="4">
        <f t="shared" si="0"/>
        <v>20</v>
      </c>
      <c r="B24" s="5">
        <v>46058.633634259262</v>
      </c>
      <c r="C24" s="4" t="s">
        <v>135</v>
      </c>
      <c r="D24" s="4"/>
      <c r="E24" s="4" t="s">
        <v>136</v>
      </c>
      <c r="F24" s="4" t="s">
        <v>137</v>
      </c>
      <c r="G24" s="4" t="s">
        <v>21</v>
      </c>
      <c r="H24" s="4" t="s">
        <v>138</v>
      </c>
      <c r="I24" s="6" t="s">
        <v>80</v>
      </c>
      <c r="J24" s="6" t="s">
        <v>73</v>
      </c>
      <c r="K24" s="7" t="s">
        <v>43</v>
      </c>
      <c r="L24" s="8" t="s">
        <v>44</v>
      </c>
      <c r="M24" s="12" t="s">
        <v>192</v>
      </c>
    </row>
    <row r="25" spans="1:13" ht="25.5" customHeight="1" x14ac:dyDescent="0.25">
      <c r="A25" s="4">
        <f t="shared" si="0"/>
        <v>21</v>
      </c>
      <c r="B25" s="5">
        <v>46052.838275462964</v>
      </c>
      <c r="C25" s="4" t="s">
        <v>139</v>
      </c>
      <c r="D25" s="4" t="s">
        <v>45</v>
      </c>
      <c r="E25" s="4" t="s">
        <v>140</v>
      </c>
      <c r="F25" s="4" t="s">
        <v>141</v>
      </c>
      <c r="G25" s="4" t="s">
        <v>21</v>
      </c>
      <c r="H25" s="4" t="s">
        <v>142</v>
      </c>
      <c r="I25" s="6" t="s">
        <v>23</v>
      </c>
      <c r="J25" s="6" t="s">
        <v>143</v>
      </c>
      <c r="K25" s="7" t="s">
        <v>144</v>
      </c>
      <c r="L25" s="8" t="s">
        <v>145</v>
      </c>
      <c r="M25" s="12" t="s">
        <v>45</v>
      </c>
    </row>
    <row r="26" spans="1:13" ht="25.5" customHeight="1" x14ac:dyDescent="0.25">
      <c r="A26" s="4">
        <f t="shared" si="0"/>
        <v>22</v>
      </c>
      <c r="B26" s="5">
        <v>46052.636863425927</v>
      </c>
      <c r="C26" s="4" t="s">
        <v>146</v>
      </c>
      <c r="D26" s="4" t="s">
        <v>45</v>
      </c>
      <c r="E26" s="4" t="s">
        <v>147</v>
      </c>
      <c r="F26" s="4" t="s">
        <v>141</v>
      </c>
      <c r="G26" s="4" t="s">
        <v>21</v>
      </c>
      <c r="H26" s="4" t="s">
        <v>142</v>
      </c>
      <c r="I26" s="6" t="s">
        <v>23</v>
      </c>
      <c r="J26" s="6" t="s">
        <v>143</v>
      </c>
      <c r="K26" s="7" t="s">
        <v>144</v>
      </c>
      <c r="L26" s="8" t="s">
        <v>145</v>
      </c>
      <c r="M26" s="12" t="s">
        <v>45</v>
      </c>
    </row>
    <row r="27" spans="1:13" ht="25.5" customHeight="1" x14ac:dyDescent="0.25">
      <c r="A27" s="4">
        <f t="shared" si="0"/>
        <v>23</v>
      </c>
      <c r="B27" s="5">
        <v>46058.523553240739</v>
      </c>
      <c r="C27" s="4" t="s">
        <v>148</v>
      </c>
      <c r="D27" s="4"/>
      <c r="E27" s="4" t="s">
        <v>149</v>
      </c>
      <c r="F27" s="4" t="s">
        <v>150</v>
      </c>
      <c r="G27" s="4" t="s">
        <v>21</v>
      </c>
      <c r="H27" s="4" t="s">
        <v>151</v>
      </c>
      <c r="I27" s="6" t="s">
        <v>72</v>
      </c>
      <c r="J27" s="6" t="s">
        <v>73</v>
      </c>
      <c r="K27" s="7" t="s">
        <v>152</v>
      </c>
      <c r="L27" s="8" t="s">
        <v>153</v>
      </c>
      <c r="M27" s="12" t="s">
        <v>191</v>
      </c>
    </row>
    <row r="28" spans="1:13" ht="25.5" customHeight="1" x14ac:dyDescent="0.25">
      <c r="A28" s="4">
        <f t="shared" si="0"/>
        <v>24</v>
      </c>
      <c r="B28" s="5">
        <v>46050.722280092596</v>
      </c>
      <c r="C28" s="4" t="s">
        <v>154</v>
      </c>
      <c r="D28" s="4" t="s">
        <v>18</v>
      </c>
      <c r="E28" s="4" t="s">
        <v>155</v>
      </c>
      <c r="F28" s="4" t="s">
        <v>150</v>
      </c>
      <c r="G28" s="4" t="s">
        <v>21</v>
      </c>
      <c r="H28" s="4" t="s">
        <v>156</v>
      </c>
      <c r="I28" s="6" t="s">
        <v>157</v>
      </c>
      <c r="J28" s="6" t="s">
        <v>158</v>
      </c>
      <c r="K28" s="7" t="s">
        <v>159</v>
      </c>
      <c r="L28" s="8" t="s">
        <v>153</v>
      </c>
      <c r="M28" s="12" t="s">
        <v>186</v>
      </c>
    </row>
    <row r="29" spans="1:13" ht="25.5" customHeight="1" x14ac:dyDescent="0.25">
      <c r="A29" s="4">
        <v>25</v>
      </c>
      <c r="B29" s="5">
        <v>46056.732858796298</v>
      </c>
      <c r="C29" s="4" t="s">
        <v>160</v>
      </c>
      <c r="D29" s="4" t="s">
        <v>45</v>
      </c>
      <c r="E29" s="4" t="s">
        <v>161</v>
      </c>
      <c r="F29" s="4" t="s">
        <v>150</v>
      </c>
      <c r="G29" s="4" t="s">
        <v>21</v>
      </c>
      <c r="H29" s="4" t="s">
        <v>162</v>
      </c>
      <c r="I29" s="6" t="s">
        <v>163</v>
      </c>
      <c r="J29" s="6" t="s">
        <v>158</v>
      </c>
      <c r="K29" s="7" t="s">
        <v>159</v>
      </c>
      <c r="L29" s="8" t="s">
        <v>153</v>
      </c>
      <c r="M29" s="12" t="s">
        <v>186</v>
      </c>
    </row>
    <row r="30" spans="1:13" ht="25.5" customHeight="1" x14ac:dyDescent="0.25">
      <c r="A30" s="4">
        <f t="shared" si="0"/>
        <v>26</v>
      </c>
      <c r="B30" s="5">
        <v>46056.730370370373</v>
      </c>
      <c r="C30" s="4" t="s">
        <v>165</v>
      </c>
      <c r="D30" s="4" t="s">
        <v>45</v>
      </c>
      <c r="E30" s="4" t="s">
        <v>164</v>
      </c>
      <c r="F30" s="4" t="s">
        <v>150</v>
      </c>
      <c r="G30" s="4" t="s">
        <v>21</v>
      </c>
      <c r="H30" s="4" t="s">
        <v>162</v>
      </c>
      <c r="I30" s="6" t="s">
        <v>163</v>
      </c>
      <c r="J30" s="6" t="s">
        <v>158</v>
      </c>
      <c r="K30" s="7" t="s">
        <v>159</v>
      </c>
      <c r="L30" s="8" t="s">
        <v>153</v>
      </c>
      <c r="M30" s="12" t="s">
        <v>186</v>
      </c>
    </row>
    <row r="31" spans="1:13" ht="25.5" customHeight="1" x14ac:dyDescent="0.25">
      <c r="A31" s="4">
        <f t="shared" si="0"/>
        <v>27</v>
      </c>
      <c r="B31" s="5">
        <v>46058.568356481483</v>
      </c>
      <c r="C31" s="4" t="s">
        <v>166</v>
      </c>
      <c r="D31" s="4"/>
      <c r="E31" s="4" t="s">
        <v>167</v>
      </c>
      <c r="F31" s="4" t="s">
        <v>168</v>
      </c>
      <c r="G31" s="4" t="s">
        <v>21</v>
      </c>
      <c r="H31" s="4" t="s">
        <v>169</v>
      </c>
      <c r="I31" s="6" t="s">
        <v>80</v>
      </c>
      <c r="J31" s="6" t="s">
        <v>34</v>
      </c>
      <c r="K31" s="7" t="s">
        <v>170</v>
      </c>
      <c r="L31" s="8" t="s">
        <v>171</v>
      </c>
      <c r="M31" s="12" t="s">
        <v>183</v>
      </c>
    </row>
    <row r="32" spans="1:13" ht="25.5" customHeight="1" x14ac:dyDescent="0.25">
      <c r="A32" s="4">
        <v>28</v>
      </c>
      <c r="B32" s="5">
        <v>46057.622071759259</v>
      </c>
      <c r="C32" s="4" t="s">
        <v>172</v>
      </c>
      <c r="D32" s="4" t="s">
        <v>45</v>
      </c>
      <c r="E32" s="4" t="s">
        <v>173</v>
      </c>
      <c r="F32" s="4" t="s">
        <v>174</v>
      </c>
      <c r="G32" s="4" t="s">
        <v>21</v>
      </c>
      <c r="H32" s="4" t="s">
        <v>175</v>
      </c>
      <c r="I32" s="6" t="s">
        <v>95</v>
      </c>
      <c r="J32" s="6" t="s">
        <v>176</v>
      </c>
      <c r="K32" s="7" t="s">
        <v>177</v>
      </c>
      <c r="L32" s="8" t="s">
        <v>178</v>
      </c>
      <c r="M32" s="12" t="s">
        <v>183</v>
      </c>
    </row>
    <row r="33" spans="1:13" ht="25.5" customHeight="1" x14ac:dyDescent="0.25">
      <c r="A33" s="4">
        <f t="shared" si="0"/>
        <v>29</v>
      </c>
      <c r="B33" s="5">
        <v>46057.618946759256</v>
      </c>
      <c r="C33" s="4" t="s">
        <v>179</v>
      </c>
      <c r="D33" s="4" t="s">
        <v>45</v>
      </c>
      <c r="E33" s="4" t="s">
        <v>180</v>
      </c>
      <c r="F33" s="4" t="s">
        <v>174</v>
      </c>
      <c r="G33" s="4" t="s">
        <v>21</v>
      </c>
      <c r="H33" s="4" t="s">
        <v>181</v>
      </c>
      <c r="I33" s="6" t="s">
        <v>95</v>
      </c>
      <c r="J33" s="6" t="s">
        <v>176</v>
      </c>
      <c r="K33" s="7" t="s">
        <v>177</v>
      </c>
      <c r="L33" s="8" t="s">
        <v>178</v>
      </c>
      <c r="M33" s="14" t="s">
        <v>183</v>
      </c>
    </row>
    <row r="34" spans="1:13" ht="23.25" customHeight="1" x14ac:dyDescent="0.25">
      <c r="A34" s="4">
        <f t="shared" si="0"/>
        <v>30</v>
      </c>
      <c r="B34" s="5"/>
      <c r="C34" s="4"/>
      <c r="D34" s="4"/>
      <c r="E34" s="23" t="s">
        <v>195</v>
      </c>
      <c r="F34" s="25" t="s">
        <v>210</v>
      </c>
      <c r="G34" s="4"/>
      <c r="H34" s="25" t="s">
        <v>203</v>
      </c>
      <c r="I34" s="6" t="s">
        <v>33</v>
      </c>
      <c r="J34" s="6" t="s">
        <v>73</v>
      </c>
      <c r="K34" s="7"/>
      <c r="L34" s="22"/>
      <c r="M34" s="24" t="s">
        <v>187</v>
      </c>
    </row>
    <row r="35" spans="1:13" ht="25.5" customHeight="1" x14ac:dyDescent="0.25">
      <c r="A35" s="4">
        <v>31</v>
      </c>
      <c r="B35" s="5"/>
      <c r="C35" s="4"/>
      <c r="D35" s="4"/>
      <c r="E35" s="23" t="s">
        <v>196</v>
      </c>
      <c r="F35" s="25" t="s">
        <v>211</v>
      </c>
      <c r="G35" s="4"/>
      <c r="H35" s="25" t="s">
        <v>204</v>
      </c>
      <c r="I35" s="6" t="s">
        <v>33</v>
      </c>
      <c r="J35" s="6" t="s">
        <v>34</v>
      </c>
      <c r="K35" s="7"/>
      <c r="L35" s="22"/>
      <c r="M35" s="24" t="s">
        <v>187</v>
      </c>
    </row>
    <row r="36" spans="1:13" ht="48" customHeight="1" x14ac:dyDescent="0.25">
      <c r="A36" s="4">
        <f t="shared" si="0"/>
        <v>32</v>
      </c>
      <c r="B36" s="5"/>
      <c r="C36" s="4"/>
      <c r="D36" s="4"/>
      <c r="E36" s="23" t="s">
        <v>197</v>
      </c>
      <c r="F36" s="25" t="s">
        <v>211</v>
      </c>
      <c r="G36" s="4"/>
      <c r="H36" s="25" t="s">
        <v>205</v>
      </c>
      <c r="I36" s="6" t="s">
        <v>72</v>
      </c>
      <c r="J36" s="6">
        <v>46060.75</v>
      </c>
      <c r="K36" s="7"/>
      <c r="L36" s="22"/>
      <c r="M36" s="24" t="s">
        <v>214</v>
      </c>
    </row>
    <row r="37" spans="1:13" ht="37.5" customHeight="1" x14ac:dyDescent="0.25">
      <c r="A37" s="4">
        <f t="shared" si="0"/>
        <v>33</v>
      </c>
      <c r="B37" s="5"/>
      <c r="C37" s="4"/>
      <c r="D37" s="4"/>
      <c r="E37" s="23" t="s">
        <v>198</v>
      </c>
      <c r="F37" s="25" t="s">
        <v>211</v>
      </c>
      <c r="G37" s="4"/>
      <c r="H37" s="25" t="s">
        <v>206</v>
      </c>
      <c r="I37" s="6" t="s">
        <v>72</v>
      </c>
      <c r="J37" s="6" t="s">
        <v>34</v>
      </c>
      <c r="K37" s="7"/>
      <c r="L37" s="22"/>
      <c r="M37" s="24" t="s">
        <v>215</v>
      </c>
    </row>
    <row r="38" spans="1:13" ht="60" customHeight="1" x14ac:dyDescent="0.25">
      <c r="A38" s="4">
        <v>34</v>
      </c>
      <c r="B38" s="5"/>
      <c r="C38" s="4"/>
      <c r="D38" s="4"/>
      <c r="E38" s="23" t="s">
        <v>199</v>
      </c>
      <c r="F38" s="25" t="s">
        <v>212</v>
      </c>
      <c r="G38" s="4"/>
      <c r="H38" s="25" t="s">
        <v>207</v>
      </c>
      <c r="I38" s="6" t="s">
        <v>72</v>
      </c>
      <c r="J38" s="6" t="s">
        <v>73</v>
      </c>
      <c r="K38" s="7"/>
      <c r="L38" s="22"/>
      <c r="M38" s="24" t="s">
        <v>216</v>
      </c>
    </row>
    <row r="39" spans="1:13" ht="60" customHeight="1" x14ac:dyDescent="0.25">
      <c r="A39" s="4">
        <f t="shared" si="0"/>
        <v>35</v>
      </c>
      <c r="B39" s="5"/>
      <c r="C39" s="4"/>
      <c r="D39" s="4"/>
      <c r="E39" s="23" t="s">
        <v>200</v>
      </c>
      <c r="F39" s="25" t="s">
        <v>212</v>
      </c>
      <c r="G39" s="4"/>
      <c r="H39" s="25" t="s">
        <v>207</v>
      </c>
      <c r="I39" s="6" t="s">
        <v>80</v>
      </c>
      <c r="J39" s="6" t="s">
        <v>73</v>
      </c>
      <c r="K39" s="7"/>
      <c r="L39" s="22"/>
      <c r="M39" s="24" t="s">
        <v>216</v>
      </c>
    </row>
    <row r="40" spans="1:13" ht="33.75" customHeight="1" x14ac:dyDescent="0.25">
      <c r="A40" s="4">
        <f t="shared" si="0"/>
        <v>36</v>
      </c>
      <c r="B40" s="5"/>
      <c r="C40" s="4"/>
      <c r="D40" s="4"/>
      <c r="E40" s="23" t="s">
        <v>201</v>
      </c>
      <c r="F40" s="25" t="s">
        <v>213</v>
      </c>
      <c r="G40" s="4"/>
      <c r="H40" s="25" t="s">
        <v>208</v>
      </c>
      <c r="I40" s="6" t="s">
        <v>33</v>
      </c>
      <c r="J40" s="6" t="s">
        <v>34</v>
      </c>
      <c r="K40" s="7"/>
      <c r="L40" s="22"/>
      <c r="M40" s="24" t="s">
        <v>187</v>
      </c>
    </row>
    <row r="41" spans="1:13" ht="41.25" customHeight="1" x14ac:dyDescent="0.25">
      <c r="A41" s="4">
        <v>37</v>
      </c>
      <c r="B41" s="5"/>
      <c r="C41" s="4"/>
      <c r="D41" s="4"/>
      <c r="E41" s="23" t="s">
        <v>202</v>
      </c>
      <c r="F41" s="25" t="s">
        <v>211</v>
      </c>
      <c r="G41" s="4"/>
      <c r="H41" s="25" t="s">
        <v>209</v>
      </c>
      <c r="I41" s="6" t="s">
        <v>72</v>
      </c>
      <c r="J41" s="6">
        <v>46059.916666666664</v>
      </c>
      <c r="K41" s="7"/>
      <c r="L41" s="22"/>
      <c r="M41" s="24" t="s">
        <v>216</v>
      </c>
    </row>
  </sheetData>
  <mergeCells count="4">
    <mergeCell ref="B1:M1"/>
    <mergeCell ref="K4:L4"/>
    <mergeCell ref="M18:M20"/>
    <mergeCell ref="M22:M23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2026-02-05T11:37:18Z</dcterms:created>
  <dcterms:modified xsi:type="dcterms:W3CDTF">2026-02-05T14:22:01Z</dcterms:modified>
</cp:coreProperties>
</file>
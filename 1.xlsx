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6" i="1"/>
</calcChain>
</file>

<file path=xl/sharedStrings.xml><?xml version="1.0" encoding="utf-8"?>
<sst xmlns="http://schemas.openxmlformats.org/spreadsheetml/2006/main" count="277" uniqueCount="183">
  <si>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</si>
  <si>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</si>
  <si>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</si>
  <si>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</si>
  <si>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</si>
  <si>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</si>
  <si>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</si>
  <si>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</si>
  <si>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</si>
  <si>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</si>
  <si>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</si>
  <si>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</si>
  <si>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</si>
  <si>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</si>
  <si>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</si>
  <si>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</si>
  <si>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</si>
  <si>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MR2608/0196</t>
  </si>
  <si>
    <t>220KV_160MVA XMER_I AREVA</t>
  </si>
  <si>
    <t>220KV_BADOD</t>
  </si>
  <si>
    <t>NON-OCCM-WR</t>
  </si>
  <si>
    <t>R&amp;Y Phase CT replacement work 220kv class CT</t>
  </si>
  <si>
    <t>19-08-2026 10:00:00</t>
  </si>
  <si>
    <t>19-08-2026 18:00:00</t>
  </si>
  <si>
    <t>ER Y K RATHORE</t>
  </si>
  <si>
    <t>9425804968</t>
  </si>
  <si>
    <t>MR2608/0200</t>
  </si>
  <si>
    <t>Daily</t>
  </si>
  <si>
    <t>132KV_132 kV Bairagarh-Kurawar line</t>
  </si>
  <si>
    <t>220KV_BAIRAGARH</t>
  </si>
  <si>
    <t>NON-OCCM-MP</t>
  </si>
  <si>
    <t>Stringing work</t>
  </si>
  <si>
    <t>19-08-2026 08:00:00</t>
  </si>
  <si>
    <t>20-08-2026 18:00:00</t>
  </si>
  <si>
    <t>Ankit Mehroliya</t>
  </si>
  <si>
    <t>9425804506</t>
  </si>
  <si>
    <t>MR2608/0177</t>
  </si>
  <si>
    <t>220KV_220 KV Ajaygarh-Chhatarpur (TBCB) 1</t>
  </si>
  <si>
    <t>220KV_CHATARPUR</t>
  </si>
  <si>
    <t>For ERS installation in modification work</t>
  </si>
  <si>
    <t>19-08-2026 07:00:00</t>
  </si>
  <si>
    <t>pankaj yadav</t>
  </si>
  <si>
    <t>9406713326</t>
  </si>
  <si>
    <t>MR2608/0180</t>
  </si>
  <si>
    <t>132KV_132KV DAMOH-PATERA LINE IST&amp;IIND CKT</t>
  </si>
  <si>
    <t>220KV_DAMOH</t>
  </si>
  <si>
    <t>PTW FOR LIVE LINE OPGW INSTALLATION</t>
  </si>
  <si>
    <t>18-08-2026 07:00:00</t>
  </si>
  <si>
    <t>22-08-2026 19:00:00</t>
  </si>
  <si>
    <t>M.M. BAIG</t>
  </si>
  <si>
    <t>9425805067</t>
  </si>
  <si>
    <t>MR2608/0192</t>
  </si>
  <si>
    <t>Continuous</t>
  </si>
  <si>
    <t>220KV_220KV MAIN BUS-I</t>
  </si>
  <si>
    <t>400KV_INDORE4</t>
  </si>
  <si>
    <t>FOR REPLACEMENT OF SUPPORT INSULATOR /PI OF EACH U</t>
  </si>
  <si>
    <t>19-08-2026 09:00:00</t>
  </si>
  <si>
    <t>21-08-2026 17:00:00</t>
  </si>
  <si>
    <t>ATUL PARADKAR</t>
  </si>
  <si>
    <t>9425804929</t>
  </si>
  <si>
    <t>MR2608/0205</t>
  </si>
  <si>
    <t>220KV_220 KV KATNI - SATNA LINE</t>
  </si>
  <si>
    <t>400KV_KATNI4</t>
  </si>
  <si>
    <t>F/o Disc Replacement  and Other Line Maintenance</t>
  </si>
  <si>
    <t>MANOJ KUMAR TIWARI</t>
  </si>
  <si>
    <t>9425804993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</si>
  <si>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</si>
  <si>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</si>
  <si>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</si>
  <si>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</si>
  <si>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</si>
  <si>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</si>
  <si>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</si>
  <si>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</si>
  <si>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</si>
  <si>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</si>
  <si>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</si>
  <si>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</si>
  <si>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</si>
  <si>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</si>
  <si>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</si>
  <si>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</si>
  <si>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</si>
  <si>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</si>
  <si>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</si>
  <si>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</si>
  <si>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</si>
  <si>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</si>
  <si>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</si>
  <si>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</si>
  <si>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MR2608/0204</t>
  </si>
  <si>
    <t>132KV_132kv Sabalgarh Jora Ckt</t>
  </si>
  <si>
    <t>220KV_SABALGARH</t>
  </si>
  <si>
    <t>Line Maintenance work</t>
  </si>
  <si>
    <t>Suraj Pawar</t>
  </si>
  <si>
    <t>9425814079</t>
  </si>
  <si>
    <t>MR2608/0195</t>
  </si>
  <si>
    <t>220KV_160 mva - II</t>
  </si>
  <si>
    <t>220KV_SAILANA2</t>
  </si>
  <si>
    <t>220 kv side Breaker control cable Repairing work.</t>
  </si>
  <si>
    <t>19-08-2026 14:00:00</t>
  </si>
  <si>
    <t>Rakesh Badgotya</t>
  </si>
  <si>
    <t>8305447051</t>
  </si>
  <si>
    <t>MR2608/0198</t>
  </si>
  <si>
    <t>132KV_Sarni Umreth</t>
  </si>
  <si>
    <t>220KV_SARNI</t>
  </si>
  <si>
    <t>Broken disc replacement &amp; other line maint. work</t>
  </si>
  <si>
    <t>19-08-2026 17:00:00</t>
  </si>
  <si>
    <t>SHIV KUMAR</t>
  </si>
  <si>
    <t>9425806917</t>
  </si>
  <si>
    <t>MR2608/0199</t>
  </si>
  <si>
    <t>220KV_220 kV Seoni-Seoni ICT-II</t>
  </si>
  <si>
    <t>220KV_SEONI</t>
  </si>
  <si>
    <t>OCCM-MP</t>
  </si>
  <si>
    <t>Jumper cone, Suspension Clamp, A/h, V/d Tightening</t>
  </si>
  <si>
    <t>A.M.Shende</t>
  </si>
  <si>
    <t>7587951136</t>
  </si>
  <si>
    <t>MR2608/0206</t>
  </si>
  <si>
    <t>220KV_220KV S/S BUS Tie</t>
  </si>
  <si>
    <t>220KV PGCIL-2 main bus -ll isolator alignment work</t>
  </si>
  <si>
    <t>Arshad Qureshi</t>
  </si>
  <si>
    <t>9425618267</t>
  </si>
  <si>
    <t>MR2608/0191</t>
  </si>
  <si>
    <t>220KV_220KV ATPS -Shahdol Line</t>
  </si>
  <si>
    <t>220KV_SHAHDOL</t>
  </si>
  <si>
    <t>OPGW stringing and joint splicing work</t>
  </si>
  <si>
    <t>Dharmendra Dwivedi</t>
  </si>
  <si>
    <t>9425805311</t>
  </si>
  <si>
    <t>MR2608/0201</t>
  </si>
  <si>
    <t>220KV_160 MVA X-MER 1st EMCO</t>
  </si>
  <si>
    <t>220KV_SHIVPURI</t>
  </si>
  <si>
    <t>for 220KV SIDE NEW FOUNDATION work</t>
  </si>
  <si>
    <t>19-08-2026 16:00:00</t>
  </si>
  <si>
    <t>DHIRENDRA CHAURSIYA</t>
  </si>
  <si>
    <t>7000491070</t>
  </si>
  <si>
    <t>MR2608/0190</t>
  </si>
  <si>
    <t>220KV_220KV ATPS - Sidhi Line</t>
  </si>
  <si>
    <t>220KV_SIDHI</t>
  </si>
  <si>
    <t>MR2608/0208</t>
  </si>
  <si>
    <t>132KV_132KV Sidhi-Mauganj Circuit -I</t>
  </si>
  <si>
    <t>Flash over Disc replacement</t>
  </si>
  <si>
    <t>G.L sahu</t>
  </si>
  <si>
    <t>9425805102</t>
  </si>
  <si>
    <t>MR2608/0209</t>
  </si>
  <si>
    <t>132KV_63 mva xmer</t>
  </si>
  <si>
    <t>132KV_SIMROL</t>
  </si>
  <si>
    <t>Transformer oil leakage attending work.</t>
  </si>
  <si>
    <t>19-08-2026 11:00:00</t>
  </si>
  <si>
    <t>Ajay Singh Bisen</t>
  </si>
  <si>
    <t>9425804927</t>
  </si>
  <si>
    <t>MR2608/0202</t>
  </si>
  <si>
    <t>132KV_132 kV Umreth-Sarni line</t>
  </si>
  <si>
    <t>132KV_UMRETH</t>
  </si>
  <si>
    <t>Jumper cone, A/h, V/d tightening work</t>
  </si>
  <si>
    <t>ok, through sub ld</t>
  </si>
  <si>
    <t>sub ld</t>
  </si>
  <si>
    <t>ok, line to be in service</t>
  </si>
  <si>
    <t>ok</t>
  </si>
  <si>
    <t>deferred, not in WR list</t>
  </si>
  <si>
    <t>under review</t>
  </si>
  <si>
    <t>SEONI-PG - 220KV - BUS 2</t>
  </si>
  <si>
    <t>220KV-REWA-REWA-MP-1</t>
  </si>
  <si>
    <t>220KV-ANNUPUR-KOTMIKALA-1</t>
  </si>
  <si>
    <t>400KV/220KV INDORE-ICT-3</t>
  </si>
  <si>
    <t>POWERGRID-WR1 (PGCIL)</t>
  </si>
  <si>
    <t>MADHYA PRADESH</t>
  </si>
  <si>
    <t>MADHYA PRADESH,CHATTISGARH</t>
  </si>
  <si>
    <t>POWERGRID-WR2 (PGCIL)</t>
  </si>
  <si>
    <t>For AMP work @ Seoni SS. Elements shall remian in service through Bus-1 and TBC bay if shifted.</t>
  </si>
  <si>
    <t>FOR LINE MAINTENANCE WORK I.E. CLEANING OF DISC INSULATORS DURING LINE PATROLLING, REPLACEMENT OF FLASHOVERED DISC INSULATORS, TREE BRANCH CUTTING ETC AT VARIOUS TOWER LOCATIONS</t>
  </si>
  <si>
    <t>FOR CONDUCTOR RE-SAGGING WORK IN LOCATION NO.379-388,388-397,397-406 &amp;406-418</t>
  </si>
  <si>
    <t>ICT AMP WORK</t>
  </si>
  <si>
    <t>real time</t>
  </si>
  <si>
    <t>08:00</t>
  </si>
  <si>
    <t>10:00</t>
  </si>
  <si>
    <t>09:00</t>
  </si>
  <si>
    <t>18:00</t>
  </si>
  <si>
    <t>17:00</t>
  </si>
  <si>
    <t>POWERGRID_WR1</t>
  </si>
  <si>
    <t>MP_SLDC</t>
  </si>
  <si>
    <t>POWERGRID_WR2</t>
  </si>
  <si>
    <t>APPROVED OUTAGE LIST FOR DTD.19.08.26</t>
  </si>
  <si>
    <t>S/I , 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</si>
</sst>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20" fontId="5" fillId="3" borderId="5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I20" activePane="bottomRight" state="frozen"/>
      <selection pane="topRight" activeCell="F1" sqref="F1"/>
      <selection pane="bottomLeft" activeCell="A2" sqref="A2"/>
      <selection pane="bottomRight" activeCell="K31" sqref="K31:M3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7.140625" style="11" customWidth="1"/>
    <col min="6" max="6" width="20.85546875" customWidth="1"/>
    <col min="7" max="7" width="16.140625" customWidth="1"/>
    <col min="8" max="8" width="60.5703125" customWidth="1"/>
    <col min="9" max="9" width="19.42578125" customWidth="1"/>
    <col min="10" max="10" width="19.5703125" customWidth="1"/>
    <col min="11" max="11" width="23.140625" customWidth="1"/>
    <col min="12" max="12" width="12" customWidth="1"/>
    <col min="13" max="13" width="43.140625" customWidth="1"/>
  </cols>
  <sheetData>
    <row r="1" spans="1:13" ht="43.7" customHeight="1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>
      <c r="A2" s="1" t="s">
        <v>1</v>
      </c>
      <c r="B2" s="2">
        <v>46253</v>
      </c>
      <c r="C2" s="1"/>
      <c r="D2" s="1"/>
      <c r="E2" s="17" t="s">
        <v>181</v>
      </c>
      <c r="F2" s="18"/>
      <c r="G2" s="18"/>
      <c r="H2" s="18"/>
      <c r="I2" s="18"/>
      <c r="J2" s="18"/>
      <c r="K2" s="18"/>
      <c r="L2" s="19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20"/>
      <c r="F3" s="21"/>
      <c r="G3" s="21"/>
      <c r="H3" s="21"/>
      <c r="I3" s="21"/>
      <c r="J3" s="21"/>
      <c r="K3" s="21"/>
      <c r="L3" s="22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9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5" t="s">
        <v>15</v>
      </c>
      <c r="L4" s="14"/>
      <c r="M4" s="3" t="s">
        <v>16</v>
      </c>
    </row>
    <row r="5" spans="1:13" ht="33.75" customHeight="1">
      <c r="A5" s="4">
        <v>1</v>
      </c>
      <c r="B5" s="5">
        <v>46252.478263888886</v>
      </c>
      <c r="C5" s="4" t="s">
        <v>17</v>
      </c>
      <c r="D5" s="4"/>
      <c r="E5" s="10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154</v>
      </c>
    </row>
    <row r="6" spans="1:13" ht="33.75" customHeight="1">
      <c r="A6" s="4">
        <f>A5+1</f>
        <v>2</v>
      </c>
      <c r="B6" s="5">
        <v>46252.530185185184</v>
      </c>
      <c r="C6" s="4" t="s">
        <v>26</v>
      </c>
      <c r="D6" s="4" t="s">
        <v>27</v>
      </c>
      <c r="E6" s="10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155</v>
      </c>
    </row>
    <row r="7" spans="1:13" ht="33.75" customHeight="1">
      <c r="A7" s="4">
        <f t="shared" ref="A7:A25" si="0">A6+1</f>
        <v>3</v>
      </c>
      <c r="B7" s="5">
        <v>46250.643136574072</v>
      </c>
      <c r="C7" s="4" t="s">
        <v>36</v>
      </c>
      <c r="D7" s="4" t="s">
        <v>27</v>
      </c>
      <c r="E7" s="10" t="s">
        <v>37</v>
      </c>
      <c r="F7" s="4" t="s">
        <v>38</v>
      </c>
      <c r="G7" s="4" t="s">
        <v>30</v>
      </c>
      <c r="H7" s="4" t="s">
        <v>39</v>
      </c>
      <c r="I7" s="6" t="s">
        <v>40</v>
      </c>
      <c r="J7" s="6" t="s">
        <v>33</v>
      </c>
      <c r="K7" s="7" t="s">
        <v>41</v>
      </c>
      <c r="L7" s="8" t="s">
        <v>42</v>
      </c>
      <c r="M7" s="4" t="s">
        <v>159</v>
      </c>
    </row>
    <row r="8" spans="1:13" ht="33.75" customHeight="1">
      <c r="A8" s="4">
        <f t="shared" si="0"/>
        <v>4</v>
      </c>
      <c r="B8" s="5">
        <v>46251.488530092596</v>
      </c>
      <c r="C8" s="4" t="s">
        <v>43</v>
      </c>
      <c r="D8" s="4" t="s">
        <v>27</v>
      </c>
      <c r="E8" s="10" t="s">
        <v>44</v>
      </c>
      <c r="F8" s="4" t="s">
        <v>45</v>
      </c>
      <c r="G8" s="4" t="s">
        <v>30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156</v>
      </c>
    </row>
    <row r="9" spans="1:13" ht="33.75" customHeight="1">
      <c r="A9" s="4">
        <f t="shared" si="0"/>
        <v>5</v>
      </c>
      <c r="B9" s="5">
        <v>46251.642638888887</v>
      </c>
      <c r="C9" s="4" t="s">
        <v>51</v>
      </c>
      <c r="D9" s="4" t="s">
        <v>52</v>
      </c>
      <c r="E9" s="10" t="s">
        <v>53</v>
      </c>
      <c r="F9" s="4" t="s">
        <v>54</v>
      </c>
      <c r="G9" s="4" t="s">
        <v>30</v>
      </c>
      <c r="H9" s="4" t="s">
        <v>55</v>
      </c>
      <c r="I9" s="6" t="s">
        <v>56</v>
      </c>
      <c r="J9" s="6" t="s">
        <v>57</v>
      </c>
      <c r="K9" s="7" t="s">
        <v>58</v>
      </c>
      <c r="L9" s="8" t="s">
        <v>59</v>
      </c>
      <c r="M9" s="4" t="s">
        <v>154</v>
      </c>
    </row>
    <row r="10" spans="1:13" ht="33.75" customHeight="1">
      <c r="A10" s="4">
        <f t="shared" si="0"/>
        <v>6</v>
      </c>
      <c r="B10" s="5">
        <v>46252.592905092592</v>
      </c>
      <c r="C10" s="4" t="s">
        <v>60</v>
      </c>
      <c r="D10" s="4"/>
      <c r="E10" s="10" t="s">
        <v>61</v>
      </c>
      <c r="F10" s="4" t="s">
        <v>62</v>
      </c>
      <c r="G10" s="4" t="s">
        <v>30</v>
      </c>
      <c r="H10" s="4" t="s">
        <v>63</v>
      </c>
      <c r="I10" s="6" t="s">
        <v>22</v>
      </c>
      <c r="J10" s="6" t="s">
        <v>23</v>
      </c>
      <c r="K10" s="7" t="s">
        <v>64</v>
      </c>
      <c r="L10" s="8" t="s">
        <v>65</v>
      </c>
      <c r="M10" s="4" t="s">
        <v>157</v>
      </c>
    </row>
    <row r="11" spans="1:13" ht="33.75" customHeight="1">
      <c r="A11" s="4">
        <f t="shared" si="0"/>
        <v>7</v>
      </c>
      <c r="B11" s="5">
        <v>46239.682071759256</v>
      </c>
      <c r="C11" s="4" t="s">
        <v>66</v>
      </c>
      <c r="D11" s="4" t="s">
        <v>27</v>
      </c>
      <c r="E11" s="10" t="s">
        <v>67</v>
      </c>
      <c r="F11" s="4" t="s">
        <v>68</v>
      </c>
      <c r="G11" s="4" t="s">
        <v>30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52</v>
      </c>
    </row>
    <row r="12" spans="1:13" ht="33.75" customHeight="1">
      <c r="A12" s="4">
        <f t="shared" si="0"/>
        <v>8</v>
      </c>
      <c r="B12" s="5">
        <v>46242.584861111114</v>
      </c>
      <c r="C12" s="4" t="s">
        <v>74</v>
      </c>
      <c r="D12" s="4" t="s">
        <v>27</v>
      </c>
      <c r="E12" s="10" t="s">
        <v>75</v>
      </c>
      <c r="F12" s="4" t="s">
        <v>76</v>
      </c>
      <c r="G12" s="4" t="s">
        <v>30</v>
      </c>
      <c r="H12" s="4" t="s">
        <v>77</v>
      </c>
      <c r="I12" s="6" t="s">
        <v>78</v>
      </c>
      <c r="J12" s="6" t="s">
        <v>79</v>
      </c>
      <c r="K12" s="7" t="s">
        <v>80</v>
      </c>
      <c r="L12" s="8" t="s">
        <v>81</v>
      </c>
      <c r="M12" s="4" t="s">
        <v>155</v>
      </c>
    </row>
    <row r="13" spans="1:13" ht="33.75" customHeight="1">
      <c r="A13" s="4">
        <f t="shared" si="0"/>
        <v>9</v>
      </c>
      <c r="B13" s="5">
        <v>46242.578993055555</v>
      </c>
      <c r="C13" s="4" t="s">
        <v>82</v>
      </c>
      <c r="D13" s="4" t="s">
        <v>27</v>
      </c>
      <c r="E13" s="10" t="s">
        <v>83</v>
      </c>
      <c r="F13" s="4" t="s">
        <v>76</v>
      </c>
      <c r="G13" s="4" t="s">
        <v>30</v>
      </c>
      <c r="H13" s="4" t="s">
        <v>84</v>
      </c>
      <c r="I13" s="6" t="s">
        <v>78</v>
      </c>
      <c r="J13" s="6" t="s">
        <v>79</v>
      </c>
      <c r="K13" s="7" t="s">
        <v>80</v>
      </c>
      <c r="L13" s="8" t="s">
        <v>81</v>
      </c>
      <c r="M13" s="4" t="s">
        <v>156</v>
      </c>
    </row>
    <row r="14" spans="1:13" ht="33.75" customHeight="1">
      <c r="A14" s="4">
        <f t="shared" si="0"/>
        <v>10</v>
      </c>
      <c r="B14" s="5">
        <v>46242.58148148148</v>
      </c>
      <c r="C14" s="4" t="s">
        <v>85</v>
      </c>
      <c r="D14" s="4" t="s">
        <v>27</v>
      </c>
      <c r="E14" s="10" t="s">
        <v>86</v>
      </c>
      <c r="F14" s="4" t="s">
        <v>76</v>
      </c>
      <c r="G14" s="4" t="s">
        <v>30</v>
      </c>
      <c r="H14" s="4" t="s">
        <v>77</v>
      </c>
      <c r="I14" s="6" t="s">
        <v>78</v>
      </c>
      <c r="J14" s="6" t="s">
        <v>79</v>
      </c>
      <c r="K14" s="7" t="s">
        <v>80</v>
      </c>
      <c r="L14" s="8" t="s">
        <v>81</v>
      </c>
      <c r="M14" s="4" t="s">
        <v>156</v>
      </c>
    </row>
    <row r="15" spans="1:13" ht="33.75" customHeight="1">
      <c r="A15" s="4">
        <f t="shared" si="0"/>
        <v>11</v>
      </c>
      <c r="B15" s="5">
        <v>46242.586817129632</v>
      </c>
      <c r="C15" s="4" t="s">
        <v>87</v>
      </c>
      <c r="D15" s="4" t="s">
        <v>27</v>
      </c>
      <c r="E15" s="10" t="s">
        <v>88</v>
      </c>
      <c r="F15" s="4" t="s">
        <v>76</v>
      </c>
      <c r="G15" s="4" t="s">
        <v>30</v>
      </c>
      <c r="H15" s="4" t="s">
        <v>89</v>
      </c>
      <c r="I15" s="6" t="s">
        <v>78</v>
      </c>
      <c r="J15" s="6" t="s">
        <v>79</v>
      </c>
      <c r="K15" s="7" t="s">
        <v>80</v>
      </c>
      <c r="L15" s="8" t="s">
        <v>81</v>
      </c>
      <c r="M15" s="4" t="s">
        <v>155</v>
      </c>
    </row>
    <row r="16" spans="1:13" ht="33.75" customHeight="1">
      <c r="A16" s="4">
        <f t="shared" si="0"/>
        <v>12</v>
      </c>
      <c r="B16" s="5">
        <v>46252.592546296299</v>
      </c>
      <c r="C16" s="4" t="s">
        <v>90</v>
      </c>
      <c r="D16" s="4"/>
      <c r="E16" s="10" t="s">
        <v>91</v>
      </c>
      <c r="F16" s="4" t="s">
        <v>92</v>
      </c>
      <c r="G16" s="4" t="s">
        <v>30</v>
      </c>
      <c r="H16" s="4" t="s">
        <v>93</v>
      </c>
      <c r="I16" s="6" t="s">
        <v>22</v>
      </c>
      <c r="J16" s="6" t="s">
        <v>23</v>
      </c>
      <c r="K16" s="7" t="s">
        <v>94</v>
      </c>
      <c r="L16" s="8" t="s">
        <v>95</v>
      </c>
      <c r="M16" s="4" t="s">
        <v>155</v>
      </c>
    </row>
    <row r="17" spans="1:13" ht="33.75" customHeight="1">
      <c r="A17" s="4">
        <f t="shared" si="0"/>
        <v>13</v>
      </c>
      <c r="B17" s="5">
        <v>46252.453298611108</v>
      </c>
      <c r="C17" s="4" t="s">
        <v>96</v>
      </c>
      <c r="D17" s="4"/>
      <c r="E17" s="10" t="s">
        <v>97</v>
      </c>
      <c r="F17" s="4" t="s">
        <v>98</v>
      </c>
      <c r="G17" s="4" t="s">
        <v>30</v>
      </c>
      <c r="H17" s="4" t="s">
        <v>99</v>
      </c>
      <c r="I17" s="6" t="s">
        <v>22</v>
      </c>
      <c r="J17" s="6" t="s">
        <v>100</v>
      </c>
      <c r="K17" s="7" t="s">
        <v>101</v>
      </c>
      <c r="L17" s="8" t="s">
        <v>102</v>
      </c>
      <c r="M17" s="4" t="s">
        <v>154</v>
      </c>
    </row>
    <row r="18" spans="1:13" ht="33.75" customHeight="1">
      <c r="A18" s="4">
        <f t="shared" si="0"/>
        <v>14</v>
      </c>
      <c r="B18" s="5">
        <v>46252.52306712963</v>
      </c>
      <c r="C18" s="4" t="s">
        <v>103</v>
      </c>
      <c r="D18" s="4"/>
      <c r="E18" s="10" t="s">
        <v>104</v>
      </c>
      <c r="F18" s="4" t="s">
        <v>105</v>
      </c>
      <c r="G18" s="4" t="s">
        <v>30</v>
      </c>
      <c r="H18" s="4" t="s">
        <v>106</v>
      </c>
      <c r="I18" s="6" t="s">
        <v>56</v>
      </c>
      <c r="J18" s="6" t="s">
        <v>107</v>
      </c>
      <c r="K18" s="7" t="s">
        <v>108</v>
      </c>
      <c r="L18" s="8" t="s">
        <v>109</v>
      </c>
      <c r="M18" s="4" t="s">
        <v>155</v>
      </c>
    </row>
    <row r="19" spans="1:13" ht="33.75" customHeight="1">
      <c r="A19" s="4">
        <f t="shared" si="0"/>
        <v>15</v>
      </c>
      <c r="B19" s="5">
        <v>46252.527233796296</v>
      </c>
      <c r="C19" s="4" t="s">
        <v>110</v>
      </c>
      <c r="D19" s="4"/>
      <c r="E19" s="10" t="s">
        <v>111</v>
      </c>
      <c r="F19" s="4" t="s">
        <v>112</v>
      </c>
      <c r="G19" s="4" t="s">
        <v>113</v>
      </c>
      <c r="H19" s="4" t="s">
        <v>114</v>
      </c>
      <c r="I19" s="6" t="s">
        <v>56</v>
      </c>
      <c r="J19" s="6" t="s">
        <v>23</v>
      </c>
      <c r="K19" s="7" t="s">
        <v>115</v>
      </c>
      <c r="L19" s="8" t="s">
        <v>116</v>
      </c>
      <c r="M19" s="4" t="s">
        <v>158</v>
      </c>
    </row>
    <row r="20" spans="1:13" ht="33.75" customHeight="1">
      <c r="A20" s="4">
        <f t="shared" si="0"/>
        <v>16</v>
      </c>
      <c r="B20" s="5">
        <v>46252.605000000003</v>
      </c>
      <c r="C20" s="4" t="s">
        <v>117</v>
      </c>
      <c r="D20" s="4"/>
      <c r="E20" s="10" t="s">
        <v>118</v>
      </c>
      <c r="F20" s="4" t="s">
        <v>112</v>
      </c>
      <c r="G20" s="4" t="s">
        <v>30</v>
      </c>
      <c r="H20" s="4" t="s">
        <v>119</v>
      </c>
      <c r="I20" s="6" t="s">
        <v>22</v>
      </c>
      <c r="J20" s="6" t="s">
        <v>23</v>
      </c>
      <c r="K20" s="7" t="s">
        <v>120</v>
      </c>
      <c r="L20" s="8" t="s">
        <v>121</v>
      </c>
      <c r="M20" s="4" t="s">
        <v>159</v>
      </c>
    </row>
    <row r="21" spans="1:13" ht="33.75" customHeight="1">
      <c r="A21" s="4">
        <f t="shared" si="0"/>
        <v>17</v>
      </c>
      <c r="B21" s="5">
        <v>46251.628761574073</v>
      </c>
      <c r="C21" s="4" t="s">
        <v>122</v>
      </c>
      <c r="D21" s="4"/>
      <c r="E21" s="10" t="s">
        <v>123</v>
      </c>
      <c r="F21" s="4" t="s">
        <v>124</v>
      </c>
      <c r="G21" s="4" t="s">
        <v>30</v>
      </c>
      <c r="H21" s="4" t="s">
        <v>125</v>
      </c>
      <c r="I21" s="6" t="s">
        <v>56</v>
      </c>
      <c r="J21" s="6" t="s">
        <v>107</v>
      </c>
      <c r="K21" s="7" t="s">
        <v>126</v>
      </c>
      <c r="L21" s="8" t="s">
        <v>127</v>
      </c>
      <c r="M21" s="4" t="s">
        <v>157</v>
      </c>
    </row>
    <row r="22" spans="1:13" ht="33.75" customHeight="1">
      <c r="A22" s="4">
        <f t="shared" si="0"/>
        <v>18</v>
      </c>
      <c r="B22" s="5">
        <v>46252.545497685183</v>
      </c>
      <c r="C22" s="4" t="s">
        <v>128</v>
      </c>
      <c r="D22" s="4"/>
      <c r="E22" s="10" t="s">
        <v>129</v>
      </c>
      <c r="F22" s="4" t="s">
        <v>130</v>
      </c>
      <c r="G22" s="4" t="s">
        <v>30</v>
      </c>
      <c r="H22" s="4" t="s">
        <v>131</v>
      </c>
      <c r="I22" s="6" t="s">
        <v>22</v>
      </c>
      <c r="J22" s="6" t="s">
        <v>132</v>
      </c>
      <c r="K22" s="7" t="s">
        <v>133</v>
      </c>
      <c r="L22" s="8" t="s">
        <v>134</v>
      </c>
      <c r="M22" s="4" t="s">
        <v>154</v>
      </c>
    </row>
    <row r="23" spans="1:13" ht="33.75" customHeight="1">
      <c r="A23" s="4">
        <f t="shared" si="0"/>
        <v>19</v>
      </c>
      <c r="B23" s="5">
        <v>46251.626481481479</v>
      </c>
      <c r="C23" s="4" t="s">
        <v>135</v>
      </c>
      <c r="D23" s="4"/>
      <c r="E23" s="10" t="s">
        <v>136</v>
      </c>
      <c r="F23" s="4" t="s">
        <v>137</v>
      </c>
      <c r="G23" s="4" t="s">
        <v>30</v>
      </c>
      <c r="H23" s="4" t="s">
        <v>125</v>
      </c>
      <c r="I23" s="6" t="s">
        <v>56</v>
      </c>
      <c r="J23" s="6" t="s">
        <v>107</v>
      </c>
      <c r="K23" s="7" t="s">
        <v>126</v>
      </c>
      <c r="L23" s="8" t="s">
        <v>127</v>
      </c>
      <c r="M23" s="4" t="s">
        <v>157</v>
      </c>
    </row>
    <row r="24" spans="1:13" ht="33.75" customHeight="1">
      <c r="A24" s="4">
        <f t="shared" si="0"/>
        <v>20</v>
      </c>
      <c r="B24" s="5">
        <v>46252.632557870369</v>
      </c>
      <c r="C24" s="4" t="s">
        <v>138</v>
      </c>
      <c r="D24" s="4"/>
      <c r="E24" s="10" t="s">
        <v>139</v>
      </c>
      <c r="F24" s="4" t="s">
        <v>137</v>
      </c>
      <c r="G24" s="4" t="s">
        <v>30</v>
      </c>
      <c r="H24" s="4" t="s">
        <v>140</v>
      </c>
      <c r="I24" s="6" t="s">
        <v>22</v>
      </c>
      <c r="J24" s="6" t="s">
        <v>23</v>
      </c>
      <c r="K24" s="7" t="s">
        <v>141</v>
      </c>
      <c r="L24" s="8" t="s">
        <v>142</v>
      </c>
      <c r="M24" s="4" t="s">
        <v>157</v>
      </c>
    </row>
    <row r="25" spans="1:13" ht="33.75" customHeight="1">
      <c r="A25" s="4">
        <f t="shared" si="0"/>
        <v>21</v>
      </c>
      <c r="B25" s="5">
        <v>46252.670914351853</v>
      </c>
      <c r="C25" s="4" t="s">
        <v>143</v>
      </c>
      <c r="D25" s="4"/>
      <c r="E25" s="10" t="s">
        <v>144</v>
      </c>
      <c r="F25" s="4" t="s">
        <v>145</v>
      </c>
      <c r="G25" s="4" t="s">
        <v>30</v>
      </c>
      <c r="H25" s="4" t="s">
        <v>146</v>
      </c>
      <c r="I25" s="6" t="s">
        <v>147</v>
      </c>
      <c r="J25" s="6" t="s">
        <v>132</v>
      </c>
      <c r="K25" s="7" t="s">
        <v>148</v>
      </c>
      <c r="L25" s="8" t="s">
        <v>149</v>
      </c>
      <c r="M25" s="4" t="s">
        <v>155</v>
      </c>
    </row>
    <row r="26" spans="1:13" ht="33.75" customHeight="1">
      <c r="A26" s="4">
        <v>22</v>
      </c>
      <c r="B26" s="5">
        <v>46252.553773148145</v>
      </c>
      <c r="C26" s="4" t="s">
        <v>150</v>
      </c>
      <c r="D26" s="4"/>
      <c r="E26" s="10" t="s">
        <v>151</v>
      </c>
      <c r="F26" s="4" t="s">
        <v>152</v>
      </c>
      <c r="G26" s="4" t="s">
        <v>30</v>
      </c>
      <c r="H26" s="4" t="s">
        <v>153</v>
      </c>
      <c r="I26" s="6" t="s">
        <v>56</v>
      </c>
      <c r="J26" s="6" t="s">
        <v>107</v>
      </c>
      <c r="K26" s="7" t="s">
        <v>115</v>
      </c>
      <c r="L26" s="8" t="s">
        <v>116</v>
      </c>
      <c r="M26" s="16" t="s">
        <v>155</v>
      </c>
    </row>
    <row r="27" spans="1:13" ht="55.5" customHeight="1">
      <c r="A27" s="23">
        <v>23</v>
      </c>
      <c r="B27" s="24"/>
      <c r="C27" s="23"/>
      <c r="D27" s="23"/>
      <c r="E27" s="25" t="s">
        <v>160</v>
      </c>
      <c r="F27" s="25" t="s">
        <v>164</v>
      </c>
      <c r="G27" s="23"/>
      <c r="H27" s="25" t="s">
        <v>168</v>
      </c>
      <c r="I27" s="26" t="s">
        <v>173</v>
      </c>
      <c r="J27" s="26" t="s">
        <v>176</v>
      </c>
      <c r="K27" s="25" t="s">
        <v>178</v>
      </c>
      <c r="L27" s="27"/>
      <c r="M27" s="28" t="s">
        <v>157</v>
      </c>
    </row>
    <row r="28" spans="1:13" ht="66" customHeight="1">
      <c r="A28" s="23">
        <v>24</v>
      </c>
      <c r="B28" s="24"/>
      <c r="C28" s="23"/>
      <c r="D28" s="23"/>
      <c r="E28" s="25" t="s">
        <v>161</v>
      </c>
      <c r="F28" s="25" t="s">
        <v>165</v>
      </c>
      <c r="G28" s="23"/>
      <c r="H28" s="25" t="s">
        <v>169</v>
      </c>
      <c r="I28" s="26" t="s">
        <v>174</v>
      </c>
      <c r="J28" s="26" t="s">
        <v>177</v>
      </c>
      <c r="K28" s="25" t="s">
        <v>179</v>
      </c>
      <c r="L28" s="27"/>
      <c r="M28" s="28" t="s">
        <v>172</v>
      </c>
    </row>
    <row r="29" spans="1:13" ht="53.25" customHeight="1">
      <c r="A29" s="23">
        <v>25</v>
      </c>
      <c r="B29" s="24"/>
      <c r="C29" s="23"/>
      <c r="D29" s="23"/>
      <c r="E29" s="25" t="s">
        <v>162</v>
      </c>
      <c r="F29" s="25" t="s">
        <v>166</v>
      </c>
      <c r="G29" s="23"/>
      <c r="H29" s="25" t="s">
        <v>170</v>
      </c>
      <c r="I29" s="26" t="s">
        <v>173</v>
      </c>
      <c r="J29" s="26" t="s">
        <v>176</v>
      </c>
      <c r="K29" s="25" t="s">
        <v>179</v>
      </c>
      <c r="L29" s="27"/>
      <c r="M29" s="28" t="s">
        <v>157</v>
      </c>
    </row>
    <row r="30" spans="1:13" ht="33.75" customHeight="1">
      <c r="A30" s="23">
        <v>26</v>
      </c>
      <c r="B30" s="24"/>
      <c r="C30" s="23"/>
      <c r="D30" s="23"/>
      <c r="E30" s="25" t="s">
        <v>163</v>
      </c>
      <c r="F30" s="25" t="s">
        <v>167</v>
      </c>
      <c r="G30" s="23"/>
      <c r="H30" s="25" t="s">
        <v>171</v>
      </c>
      <c r="I30" s="26" t="s">
        <v>175</v>
      </c>
      <c r="J30" s="26" t="s">
        <v>176</v>
      </c>
      <c r="K30" s="25" t="s">
        <v>180</v>
      </c>
      <c r="L30" s="27"/>
      <c r="M30" s="28" t="s">
        <v>157</v>
      </c>
    </row>
    <row r="31" spans="1:13" ht="33.75" customHeight="1">
      <c r="A31" s="29"/>
      <c r="B31" s="30"/>
      <c r="C31" s="30"/>
      <c r="D31" s="30"/>
      <c r="E31" s="30"/>
      <c r="F31" s="30"/>
      <c r="G31" s="30"/>
      <c r="H31" s="30"/>
      <c r="I31" s="30"/>
      <c r="J31" s="31"/>
      <c r="K31" s="29" t="s">
        <v>182</v>
      </c>
      <c r="L31" s="30"/>
      <c r="M31" s="31"/>
    </row>
    <row r="32" spans="1:13" ht="33.75" customHeight="1">
      <c r="A32" s="32"/>
      <c r="B32" s="33"/>
      <c r="C32" s="33"/>
      <c r="D32" s="33"/>
      <c r="E32" s="33"/>
      <c r="F32" s="33"/>
      <c r="G32" s="33"/>
      <c r="H32" s="33"/>
      <c r="I32" s="33"/>
      <c r="J32" s="34"/>
      <c r="K32" s="32"/>
      <c r="L32" s="33"/>
      <c r="M32" s="34"/>
    </row>
  </sheetData>
  <mergeCells count="5">
    <mergeCell ref="B1:M1"/>
    <mergeCell ref="K4:L4"/>
    <mergeCell ref="E2:L3"/>
    <mergeCell ref="A31:J32"/>
    <mergeCell ref="K31:M3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2026-08-18T12:01:09Z</dcterms:created>
  <dcterms:modified xsi:type="dcterms:W3CDTF">2026-08-18T14:13:09Z</dcterms:modified>
</cp:coreProperties>
</file>
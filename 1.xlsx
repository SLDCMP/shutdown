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23" i="1" l="1"/>
  <c r="A24" i="1"/>
  <c r="A25" i="1"/>
  <c r="A26" i="1"/>
  <c r="A27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6" i="1"/>
</calcChain>
</file>

<file path=xl/sharedStrings.xml><?xml version="1.0" encoding="utf-8"?>
<sst xmlns="http://schemas.openxmlformats.org/spreadsheetml/2006/main" count="222" uniqueCount="156">
  <si>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</si>
  <si>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</si>
  <si>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</si>
  <si>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</si>
  <si>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</si>
  <si>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</si>
  <si>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</si>
  <si>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</si>
  <si>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</si>
  <si>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</si>
  <si>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</si>
  <si>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</si>
  <si>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</si>
  <si>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</si>
  <si>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</si>
  <si>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</si>
  <si>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</si>
  <si>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MR2601/0005</t>
  </si>
  <si>
    <t>400KV_400KV Badnawar-Pithampur Ckt-II Line</t>
  </si>
  <si>
    <t>400KV_BADNAWAR</t>
  </si>
  <si>
    <t>NON-OCCM-MP</t>
  </si>
  <si>
    <t>Line Maintenance work</t>
  </si>
  <si>
    <t>02-01-2026 10:00:00</t>
  </si>
  <si>
    <t>02-01-2026 18:00:00</t>
  </si>
  <si>
    <t>Kamal Solanki</t>
  </si>
  <si>
    <t>9425805262</t>
  </si>
  <si>
    <t>MR2512/0592</t>
  </si>
  <si>
    <t>Continuous</t>
  </si>
  <si>
    <t>220KV_220kV Bhopal Vidisha ckt</t>
  </si>
  <si>
    <t>400KV_BHOPAL4</t>
  </si>
  <si>
    <t>For modification/shifting work.</t>
  </si>
  <si>
    <t>01-01-2026 09:00:00</t>
  </si>
  <si>
    <t>Rajkumar Bhusare</t>
  </si>
  <si>
    <t>9425820042</t>
  </si>
  <si>
    <t>MR2512/0593</t>
  </si>
  <si>
    <t>400KV_400kV Bhopal Bina Ckt-II</t>
  </si>
  <si>
    <t>For restoration work.</t>
  </si>
  <si>
    <t>02-01-2026 09:00:00</t>
  </si>
  <si>
    <t>03-01-2026 18:00:00</t>
  </si>
  <si>
    <t>Rajkumar bhusare</t>
  </si>
  <si>
    <t>MR2601/0006</t>
  </si>
  <si>
    <t>400KV_315 MVA X-MER-I</t>
  </si>
  <si>
    <t>400KV_BINA4</t>
  </si>
  <si>
    <t>NON-OCCM-WR</t>
  </si>
  <si>
    <t>for 400 kV, 315 MVA X-mer-I &amp; 400 kV,50 MVAR Bus R</t>
  </si>
  <si>
    <t>02-01-2026 17:00:00</t>
  </si>
  <si>
    <t>Er. PN NAMDEO</t>
  </si>
  <si>
    <t>7587951092</t>
  </si>
  <si>
    <t>MR2601/0007</t>
  </si>
  <si>
    <t>220KV_220KV Daloda Nagda Circuit IInd</t>
  </si>
  <si>
    <t>220KV_DALODA</t>
  </si>
  <si>
    <t>For Line Maintenance work</t>
  </si>
  <si>
    <t>02-01-2026 10:30:00</t>
  </si>
  <si>
    <t>Gaurav Goyal</t>
  </si>
  <si>
    <t>9425805120</t>
  </si>
  <si>
    <t>MR2601/0003</t>
  </si>
  <si>
    <t>132KV_132kV Delond - Jhinna Ckt</t>
  </si>
  <si>
    <t>132KV_DEVLOND</t>
  </si>
  <si>
    <t>disc string replacement  Work.</t>
  </si>
  <si>
    <t>02-01-2026 09:30:00</t>
  </si>
  <si>
    <t>G.L Sahu</t>
  </si>
  <si>
    <t>9425805102</t>
  </si>
  <si>
    <t>Daily</t>
  </si>
  <si>
    <t>CONDUCTOR REPLACEMENT AND OTHER MAINTANANCE WORK.</t>
  </si>
  <si>
    <t>RAVINDRA PATIL</t>
  </si>
  <si>
    <t>8305612190</t>
  </si>
  <si>
    <t>MR2512/0471</t>
  </si>
  <si>
    <t>132KV_132 KV NORTHZONE (INDORE) - CHAMBAL CKT-1</t>
  </si>
  <si>
    <t>220KV_INDORE-NZ</t>
  </si>
  <si>
    <t>24-12-2025 07:00:00</t>
  </si>
  <si>
    <t>02-01-2026 19:00:00</t>
  </si>
  <si>
    <t>MR2512/0473</t>
  </si>
  <si>
    <t>132KV_132 KV NORTHZONE (INDORE) - CHAMBAL CKT-2  LINE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</si>
  <si>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</si>
  <si>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</si>
  <si>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</si>
  <si>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</si>
  <si>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</si>
  <si>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</si>
  <si>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</si>
  <si>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</si>
  <si>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</si>
  <si>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</si>
  <si>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22-01-2026 18:00:00</t>
  </si>
  <si>
    <t>pankaj yadav</t>
  </si>
  <si>
    <t>9406713326</t>
  </si>
  <si>
    <t>MR2510/0729</t>
  </si>
  <si>
    <t>29-12-2025 09:00:00</t>
  </si>
  <si>
    <t>MR2510/0738</t>
  </si>
  <si>
    <t>M.M.BAIG</t>
  </si>
  <si>
    <t>MR2512/0532</t>
  </si>
  <si>
    <t>400KV_400KV Pithampur-Badnawar Ckt-II</t>
  </si>
  <si>
    <t>400KV_PITHAMPUR4</t>
  </si>
  <si>
    <t>Post Monsoon maintenance work</t>
  </si>
  <si>
    <t>Rajudas Bairagi</t>
  </si>
  <si>
    <t>9425801532</t>
  </si>
  <si>
    <t>MR2601/0002</t>
  </si>
  <si>
    <t>132KV_132kV Rewa - jhinna Ckt</t>
  </si>
  <si>
    <t>220KV_REWA</t>
  </si>
  <si>
    <t>Tension Tower Disc String Replacement Work.</t>
  </si>
  <si>
    <t>MR2601/0004</t>
  </si>
  <si>
    <t>400KV_400kv Sagar-Bina Lilo line (PGCIL)</t>
  </si>
  <si>
    <t>400KV_SAGAR</t>
  </si>
  <si>
    <t>Line maintenance work</t>
  </si>
  <si>
    <t>J.P. Asati</t>
  </si>
  <si>
    <t>9424445533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</si>
  <si>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</si>
  <si>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</si>
  <si>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</si>
  <si>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</si>
  <si>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</si>
  <si>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</si>
  <si>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</si>
  <si>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</si>
  <si>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MR2601/0001</t>
  </si>
  <si>
    <t>132KV_132 kV Seoni-Chourai</t>
  </si>
  <si>
    <t>220KV_SEONI</t>
  </si>
  <si>
    <t>PG Clamp Remove &amp; J/c, A/h, V/d tightening work</t>
  </si>
  <si>
    <t>A.M.Shende</t>
  </si>
  <si>
    <t>7587951136</t>
  </si>
  <si>
    <t>MR2601/0008</t>
  </si>
  <si>
    <t>33KV_33KV Half Main Bus Section-2</t>
  </si>
  <si>
    <t>132KV_SEONI1</t>
  </si>
  <si>
    <t>33KV keolari feeder main bus isolator replacement</t>
  </si>
  <si>
    <t>02-01-2026 14:00:00</t>
  </si>
  <si>
    <t>Ramkumar Meshram</t>
  </si>
  <si>
    <t>7587951054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</si>
  <si>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</si>
  <si>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</si>
  <si>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</si>
  <si>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</si>
  <si>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</si>
  <si>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</si>
  <si>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</si>
  <si>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</si>
  <si>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deferred, not approved in WR list</t>
  </si>
  <si>
    <t>deferred by EE Testing</t>
  </si>
  <si>
    <t>ok, through sub ld</t>
  </si>
  <si>
    <t>sub ld</t>
  </si>
  <si>
    <t>deferred</t>
  </si>
  <si>
    <t>ok</t>
  </si>
  <si>
    <t>ok, line to be in service</t>
  </si>
  <si>
    <t>real time after 11 hrs</t>
  </si>
  <si>
    <t>o&amp;m consent required</t>
  </si>
  <si>
    <t>deferred due to s/d on rewa-jinna</t>
  </si>
  <si>
    <t>deferred due to high loading and  s/d on 400kv Sagar-Bina Lilo line (PGCIL)</t>
  </si>
  <si>
    <t>shall be considered after normalisation of bhopal 220kv bus s/d</t>
  </si>
  <si>
    <t>pl route the proposal through higher office of T&amp;C and EHT-M along with their comments</t>
  </si>
  <si>
    <t>ITARSI - 220KV - BUS 1</t>
  </si>
  <si>
    <t>400KV-SAGAR-BINA-1</t>
  </si>
  <si>
    <t>220KV-INDORE-INDORE NORTH ZONE-1</t>
  </si>
  <si>
    <t xml:space="preserve">Simultaneous outage of     ITARSI - 220KV - BUS 1  is required for Isolator 204-89A Arm Replacement 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</si>
  <si>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</si>
  <si>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</t>
  </si>
  <si>
    <t>WR</t>
  </si>
  <si>
    <t>deferred by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</si>
</sst>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2" formatCode="[$-1010809]dd\-mm\-yyyy"/>
    <numFmt numFmtId="173" formatCode="[$-1010809]dd/mm/yyyy\ hh:mm"/>
  </numFmts>
  <fonts count="12" x14ac:knownFonts="1">
    <font>
      <sz val="10"/>
      <name val="Arial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sz val="11"/>
      <name val="Calibri"/>
      <family val="2"/>
    </font>
    <font>
      <sz val="10"/>
      <color indexed="8"/>
      <name val="Arial"/>
      <family val="2"/>
    </font>
    <font>
      <b/>
      <sz val="18"/>
      <color indexed="8"/>
      <name val="Arial"/>
      <family val="2"/>
    </font>
    <font>
      <b/>
      <sz val="22"/>
      <color indexed="8"/>
      <name val="Arial"/>
      <family val="2"/>
    </font>
    <font>
      <b/>
      <sz val="20"/>
      <color indexed="8"/>
      <name val="Arial"/>
      <family val="2"/>
    </font>
    <font>
      <b/>
      <sz val="16"/>
      <color indexed="8"/>
      <name val="Arial"/>
      <family val="2"/>
    </font>
    <font>
      <sz val="10"/>
      <name val="Arial"/>
      <family val="2"/>
    </font>
    <font>
      <sz val="16"/>
      <name val="Arial"/>
      <family val="2"/>
    </font>
    <font>
      <b/>
      <sz val="12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72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2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72" fontId="4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173" fontId="8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wrapText="1"/>
    </xf>
    <xf numFmtId="0" fontId="9" fillId="0" borderId="8" xfId="0" applyFont="1" applyBorder="1" applyAlignment="1">
      <alignment wrapText="1"/>
    </xf>
    <xf numFmtId="0" fontId="9" fillId="0" borderId="8" xfId="0" applyFont="1" applyBorder="1"/>
    <xf numFmtId="0" fontId="10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4" xfId="0" applyFont="1" applyBorder="1" applyAlignment="1"/>
    <xf numFmtId="0" fontId="3" fillId="0" borderId="3" xfId="0" applyFont="1" applyBorder="1" applyAlignment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1036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zoomScale="70" zoomScaleNormal="70" workbookViewId="0">
      <selection activeCell="P8" sqref="P8"/>
    </sheetView>
  </sheetViews>
  <sheetFormatPr defaultRowHeight="12.75" x14ac:dyDescent="0.2"/>
  <cols>
    <col min="2" max="2" width="15.42578125" customWidth="1"/>
    <col min="3" max="3" width="13.42578125" customWidth="1"/>
    <col min="4" max="4" width="11" customWidth="1"/>
    <col min="5" max="5" width="59.7109375" style="10" customWidth="1"/>
    <col min="6" max="6" width="25.85546875" style="10" customWidth="1"/>
    <col min="7" max="7" width="16.140625" customWidth="1"/>
    <col min="8" max="8" width="64.28515625" customWidth="1"/>
    <col min="9" max="10" width="19.5703125" customWidth="1"/>
    <col min="11" max="11" width="17.42578125" customWidth="1"/>
    <col min="12" max="12" width="12" customWidth="1"/>
    <col min="13" max="13" width="54.42578125" style="10" customWidth="1"/>
  </cols>
  <sheetData>
    <row r="1" spans="1:13" ht="43.7" customHeight="1" x14ac:dyDescent="0.25">
      <c r="A1" s="1"/>
      <c r="B1" s="32" t="s">
        <v>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4"/>
    </row>
    <row r="2" spans="1:13" ht="42" customHeight="1" x14ac:dyDescent="0.2">
      <c r="A2" s="1" t="s">
        <v>1</v>
      </c>
      <c r="B2" s="2">
        <v>46024</v>
      </c>
      <c r="C2" s="1"/>
      <c r="D2" s="1"/>
      <c r="E2" s="8"/>
      <c r="F2" s="8"/>
      <c r="G2" s="1"/>
      <c r="H2" s="1"/>
      <c r="I2" s="1"/>
      <c r="J2" s="1"/>
      <c r="K2" s="1"/>
      <c r="L2" s="1"/>
      <c r="M2" s="8"/>
    </row>
    <row r="3" spans="1:13" ht="42" customHeight="1" x14ac:dyDescent="0.2">
      <c r="A3" s="3" t="s">
        <v>2</v>
      </c>
      <c r="B3" s="3" t="s">
        <v>3</v>
      </c>
      <c r="C3" s="3" t="s">
        <v>4</v>
      </c>
      <c r="D3" s="3" t="s">
        <v>3</v>
      </c>
      <c r="E3" s="8"/>
      <c r="F3" s="8"/>
      <c r="G3" s="1"/>
      <c r="H3" s="1"/>
      <c r="I3" s="1"/>
      <c r="J3" s="1"/>
      <c r="K3" s="1"/>
      <c r="L3" s="1"/>
      <c r="M3" s="8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9" t="s">
        <v>9</v>
      </c>
      <c r="F4" s="9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35" t="s">
        <v>15</v>
      </c>
      <c r="L4" s="34"/>
      <c r="M4" s="9" t="s">
        <v>16</v>
      </c>
    </row>
    <row r="5" spans="1:13" ht="95.1" customHeight="1" x14ac:dyDescent="0.2">
      <c r="A5" s="4">
        <v>1</v>
      </c>
      <c r="B5" s="5">
        <v>46023.569884259261</v>
      </c>
      <c r="C5" s="4" t="s">
        <v>17</v>
      </c>
      <c r="D5" s="4"/>
      <c r="E5" s="11" t="s">
        <v>18</v>
      </c>
      <c r="F5" s="15" t="s">
        <v>19</v>
      </c>
      <c r="G5" s="4" t="s">
        <v>20</v>
      </c>
      <c r="H5" s="12" t="s">
        <v>21</v>
      </c>
      <c r="I5" s="14" t="s">
        <v>22</v>
      </c>
      <c r="J5" s="14" t="s">
        <v>23</v>
      </c>
      <c r="K5" s="6" t="s">
        <v>24</v>
      </c>
      <c r="L5" s="7" t="s">
        <v>25</v>
      </c>
      <c r="M5" s="13" t="s">
        <v>136</v>
      </c>
    </row>
    <row r="6" spans="1:13" ht="95.1" customHeight="1" x14ac:dyDescent="0.2">
      <c r="A6" s="4">
        <f>A5+1</f>
        <v>2</v>
      </c>
      <c r="B6" s="5">
        <v>46022.685763888891</v>
      </c>
      <c r="C6" s="4" t="s">
        <v>26</v>
      </c>
      <c r="D6" s="4" t="s">
        <v>27</v>
      </c>
      <c r="E6" s="11" t="s">
        <v>28</v>
      </c>
      <c r="F6" s="15" t="s">
        <v>29</v>
      </c>
      <c r="G6" s="4" t="s">
        <v>20</v>
      </c>
      <c r="H6" s="12" t="s">
        <v>30</v>
      </c>
      <c r="I6" s="14" t="s">
        <v>31</v>
      </c>
      <c r="J6" s="14" t="s">
        <v>23</v>
      </c>
      <c r="K6" s="6" t="s">
        <v>32</v>
      </c>
      <c r="L6" s="7" t="s">
        <v>33</v>
      </c>
      <c r="M6" s="13" t="s">
        <v>146</v>
      </c>
    </row>
    <row r="7" spans="1:13" ht="95.1" customHeight="1" x14ac:dyDescent="0.2">
      <c r="A7" s="4">
        <f t="shared" ref="A7:A27" si="0">A6+1</f>
        <v>3</v>
      </c>
      <c r="B7" s="5">
        <v>46022.713645833333</v>
      </c>
      <c r="C7" s="4" t="s">
        <v>34</v>
      </c>
      <c r="D7" s="4" t="s">
        <v>27</v>
      </c>
      <c r="E7" s="11" t="s">
        <v>35</v>
      </c>
      <c r="F7" s="15" t="s">
        <v>29</v>
      </c>
      <c r="G7" s="4" t="s">
        <v>20</v>
      </c>
      <c r="H7" s="12" t="s">
        <v>36</v>
      </c>
      <c r="I7" s="14" t="s">
        <v>37</v>
      </c>
      <c r="J7" s="14" t="s">
        <v>38</v>
      </c>
      <c r="K7" s="6" t="s">
        <v>39</v>
      </c>
      <c r="L7" s="7" t="s">
        <v>33</v>
      </c>
      <c r="M7" s="13" t="s">
        <v>135</v>
      </c>
    </row>
    <row r="8" spans="1:13" ht="95.1" customHeight="1" x14ac:dyDescent="0.2">
      <c r="A8" s="4">
        <f t="shared" si="0"/>
        <v>4</v>
      </c>
      <c r="B8" s="5">
        <v>46023.576956018522</v>
      </c>
      <c r="C8" s="4" t="s">
        <v>40</v>
      </c>
      <c r="D8" s="4"/>
      <c r="E8" s="11" t="s">
        <v>41</v>
      </c>
      <c r="F8" s="15" t="s">
        <v>42</v>
      </c>
      <c r="G8" s="4" t="s">
        <v>43</v>
      </c>
      <c r="H8" s="12" t="s">
        <v>44</v>
      </c>
      <c r="I8" s="14" t="s">
        <v>37</v>
      </c>
      <c r="J8" s="14" t="s">
        <v>45</v>
      </c>
      <c r="K8" s="6" t="s">
        <v>46</v>
      </c>
      <c r="L8" s="7" t="s">
        <v>47</v>
      </c>
      <c r="M8" s="13" t="s">
        <v>145</v>
      </c>
    </row>
    <row r="9" spans="1:13" ht="95.1" customHeight="1" x14ac:dyDescent="0.2">
      <c r="A9" s="4">
        <f t="shared" si="0"/>
        <v>5</v>
      </c>
      <c r="B9" s="5">
        <v>46023.600451388891</v>
      </c>
      <c r="C9" s="4" t="s">
        <v>48</v>
      </c>
      <c r="D9" s="4"/>
      <c r="E9" s="11" t="s">
        <v>49</v>
      </c>
      <c r="F9" s="15" t="s">
        <v>50</v>
      </c>
      <c r="G9" s="4" t="s">
        <v>20</v>
      </c>
      <c r="H9" s="12" t="s">
        <v>51</v>
      </c>
      <c r="I9" s="14" t="s">
        <v>52</v>
      </c>
      <c r="J9" s="14" t="s">
        <v>23</v>
      </c>
      <c r="K9" s="6" t="s">
        <v>53</v>
      </c>
      <c r="L9" s="7" t="s">
        <v>54</v>
      </c>
      <c r="M9" s="13" t="s">
        <v>137</v>
      </c>
    </row>
    <row r="10" spans="1:13" ht="95.1" customHeight="1" x14ac:dyDescent="0.2">
      <c r="A10" s="4">
        <f t="shared" si="0"/>
        <v>6</v>
      </c>
      <c r="B10" s="5">
        <v>46023.502523148149</v>
      </c>
      <c r="C10" s="4" t="s">
        <v>55</v>
      </c>
      <c r="D10" s="4"/>
      <c r="E10" s="11" t="s">
        <v>56</v>
      </c>
      <c r="F10" s="15" t="s">
        <v>57</v>
      </c>
      <c r="G10" s="4" t="s">
        <v>20</v>
      </c>
      <c r="H10" s="12" t="s">
        <v>58</v>
      </c>
      <c r="I10" s="14" t="s">
        <v>59</v>
      </c>
      <c r="J10" s="14" t="s">
        <v>45</v>
      </c>
      <c r="K10" s="6" t="s">
        <v>60</v>
      </c>
      <c r="L10" s="7" t="s">
        <v>61</v>
      </c>
      <c r="M10" s="13" t="s">
        <v>144</v>
      </c>
    </row>
    <row r="11" spans="1:13" ht="95.1" customHeight="1" x14ac:dyDescent="0.2">
      <c r="A11" s="4">
        <f t="shared" si="0"/>
        <v>7</v>
      </c>
      <c r="B11" s="5">
        <v>46014.659282407411</v>
      </c>
      <c r="C11" s="4" t="s">
        <v>66</v>
      </c>
      <c r="D11" s="4" t="s">
        <v>62</v>
      </c>
      <c r="E11" s="11" t="s">
        <v>67</v>
      </c>
      <c r="F11" s="15" t="s">
        <v>68</v>
      </c>
      <c r="G11" s="4" t="s">
        <v>20</v>
      </c>
      <c r="H11" s="12" t="s">
        <v>63</v>
      </c>
      <c r="I11" s="14" t="s">
        <v>69</v>
      </c>
      <c r="J11" s="14" t="s">
        <v>70</v>
      </c>
      <c r="K11" s="6" t="s">
        <v>64</v>
      </c>
      <c r="L11" s="7" t="s">
        <v>65</v>
      </c>
      <c r="M11" s="13" t="s">
        <v>138</v>
      </c>
    </row>
    <row r="12" spans="1:13" ht="95.1" customHeight="1" x14ac:dyDescent="0.2">
      <c r="A12" s="4">
        <f t="shared" si="0"/>
        <v>8</v>
      </c>
      <c r="B12" s="5">
        <v>46014.661435185182</v>
      </c>
      <c r="C12" s="4" t="s">
        <v>71</v>
      </c>
      <c r="D12" s="4" t="s">
        <v>62</v>
      </c>
      <c r="E12" s="11" t="s">
        <v>72</v>
      </c>
      <c r="F12" s="15" t="s">
        <v>68</v>
      </c>
      <c r="G12" s="4" t="s">
        <v>20</v>
      </c>
      <c r="H12" s="12" t="s">
        <v>63</v>
      </c>
      <c r="I12" s="14" t="s">
        <v>69</v>
      </c>
      <c r="J12" s="14" t="s">
        <v>70</v>
      </c>
      <c r="K12" s="6" t="s">
        <v>64</v>
      </c>
      <c r="L12" s="7" t="s">
        <v>65</v>
      </c>
      <c r="M12" s="13" t="s">
        <v>138</v>
      </c>
    </row>
    <row r="13" spans="1:13" ht="95.1" customHeight="1" x14ac:dyDescent="0.2">
      <c r="A13" s="4">
        <f t="shared" si="0"/>
        <v>9</v>
      </c>
      <c r="B13" s="5">
        <v>46023.642534722225</v>
      </c>
      <c r="C13" s="4" t="s">
        <v>80</v>
      </c>
      <c r="D13" s="4" t="s">
        <v>27</v>
      </c>
      <c r="E13" s="11" t="s">
        <v>81</v>
      </c>
      <c r="F13" s="15" t="s">
        <v>74</v>
      </c>
      <c r="G13" s="4" t="s">
        <v>20</v>
      </c>
      <c r="H13" s="12" t="s">
        <v>82</v>
      </c>
      <c r="I13" s="14" t="s">
        <v>37</v>
      </c>
      <c r="J13" s="14" t="s">
        <v>83</v>
      </c>
      <c r="K13" s="6" t="s">
        <v>84</v>
      </c>
      <c r="L13" s="7" t="s">
        <v>85</v>
      </c>
      <c r="M13" s="13" t="s">
        <v>147</v>
      </c>
    </row>
    <row r="14" spans="1:13" ht="95.1" customHeight="1" x14ac:dyDescent="0.2">
      <c r="A14" s="4">
        <f t="shared" si="0"/>
        <v>10</v>
      </c>
      <c r="B14" s="5">
        <v>45961.725763888891</v>
      </c>
      <c r="C14" s="4" t="s">
        <v>86</v>
      </c>
      <c r="D14" s="4" t="s">
        <v>27</v>
      </c>
      <c r="E14" s="11" t="s">
        <v>73</v>
      </c>
      <c r="F14" s="15" t="s">
        <v>74</v>
      </c>
      <c r="G14" s="4" t="s">
        <v>75</v>
      </c>
      <c r="H14" s="12" t="s">
        <v>76</v>
      </c>
      <c r="I14" s="14" t="s">
        <v>87</v>
      </c>
      <c r="J14" s="14" t="s">
        <v>38</v>
      </c>
      <c r="K14" s="6" t="s">
        <v>77</v>
      </c>
      <c r="L14" s="7" t="s">
        <v>78</v>
      </c>
      <c r="M14" s="13" t="s">
        <v>27</v>
      </c>
    </row>
    <row r="15" spans="1:13" ht="95.1" customHeight="1" x14ac:dyDescent="0.2">
      <c r="A15" s="4">
        <f t="shared" si="0"/>
        <v>11</v>
      </c>
      <c r="B15" s="5">
        <v>45961.748831018522</v>
      </c>
      <c r="C15" s="4" t="s">
        <v>88</v>
      </c>
      <c r="D15" s="4" t="s">
        <v>27</v>
      </c>
      <c r="E15" s="11" t="s">
        <v>79</v>
      </c>
      <c r="F15" s="15" t="s">
        <v>74</v>
      </c>
      <c r="G15" s="4" t="s">
        <v>20</v>
      </c>
      <c r="H15" s="12" t="s">
        <v>76</v>
      </c>
      <c r="I15" s="14" t="s">
        <v>87</v>
      </c>
      <c r="J15" s="14" t="s">
        <v>38</v>
      </c>
      <c r="K15" s="6" t="s">
        <v>89</v>
      </c>
      <c r="L15" s="7" t="s">
        <v>78</v>
      </c>
      <c r="M15" s="13" t="s">
        <v>27</v>
      </c>
    </row>
    <row r="16" spans="1:13" ht="95.1" customHeight="1" x14ac:dyDescent="0.2">
      <c r="A16" s="4">
        <f t="shared" si="0"/>
        <v>12</v>
      </c>
      <c r="B16" s="5">
        <v>46017.79241898148</v>
      </c>
      <c r="C16" s="4" t="s">
        <v>90</v>
      </c>
      <c r="D16" s="4"/>
      <c r="E16" s="11" t="s">
        <v>91</v>
      </c>
      <c r="F16" s="15" t="s">
        <v>92</v>
      </c>
      <c r="G16" s="4" t="s">
        <v>20</v>
      </c>
      <c r="H16" s="12" t="s">
        <v>93</v>
      </c>
      <c r="I16" s="14" t="s">
        <v>22</v>
      </c>
      <c r="J16" s="14" t="s">
        <v>23</v>
      </c>
      <c r="K16" s="6" t="s">
        <v>94</v>
      </c>
      <c r="L16" s="7" t="s">
        <v>95</v>
      </c>
      <c r="M16" s="13" t="s">
        <v>139</v>
      </c>
    </row>
    <row r="17" spans="1:13" ht="95.1" customHeight="1" x14ac:dyDescent="0.2">
      <c r="A17" s="4">
        <f t="shared" si="0"/>
        <v>13</v>
      </c>
      <c r="B17" s="5">
        <v>46023.497499999998</v>
      </c>
      <c r="C17" s="4" t="s">
        <v>96</v>
      </c>
      <c r="D17" s="4"/>
      <c r="E17" s="11" t="s">
        <v>97</v>
      </c>
      <c r="F17" s="15" t="s">
        <v>98</v>
      </c>
      <c r="G17" s="4" t="s">
        <v>20</v>
      </c>
      <c r="H17" s="12" t="s">
        <v>99</v>
      </c>
      <c r="I17" s="14" t="s">
        <v>22</v>
      </c>
      <c r="J17" s="14" t="s">
        <v>45</v>
      </c>
      <c r="K17" s="6" t="s">
        <v>60</v>
      </c>
      <c r="L17" s="7" t="s">
        <v>61</v>
      </c>
      <c r="M17" s="13" t="s">
        <v>140</v>
      </c>
    </row>
    <row r="18" spans="1:13" ht="95.1" customHeight="1" x14ac:dyDescent="0.2">
      <c r="A18" s="4">
        <f t="shared" si="0"/>
        <v>14</v>
      </c>
      <c r="B18" s="5">
        <v>46023.518182870372</v>
      </c>
      <c r="C18" s="4" t="s">
        <v>100</v>
      </c>
      <c r="D18" s="4"/>
      <c r="E18" s="11" t="s">
        <v>101</v>
      </c>
      <c r="F18" s="15" t="s">
        <v>102</v>
      </c>
      <c r="G18" s="4" t="s">
        <v>75</v>
      </c>
      <c r="H18" s="12" t="s">
        <v>103</v>
      </c>
      <c r="I18" s="14" t="s">
        <v>37</v>
      </c>
      <c r="J18" s="14" t="s">
        <v>23</v>
      </c>
      <c r="K18" s="6" t="s">
        <v>104</v>
      </c>
      <c r="L18" s="7" t="s">
        <v>105</v>
      </c>
      <c r="M18" s="13" t="s">
        <v>140</v>
      </c>
    </row>
    <row r="19" spans="1:13" ht="95.1" customHeight="1" x14ac:dyDescent="0.2">
      <c r="A19" s="4">
        <f t="shared" si="0"/>
        <v>15</v>
      </c>
      <c r="B19" s="5">
        <v>46016.785428240742</v>
      </c>
      <c r="C19" s="4" t="s">
        <v>106</v>
      </c>
      <c r="D19" s="4" t="s">
        <v>62</v>
      </c>
      <c r="E19" s="11" t="s">
        <v>107</v>
      </c>
      <c r="F19" s="15" t="s">
        <v>108</v>
      </c>
      <c r="G19" s="4" t="s">
        <v>20</v>
      </c>
      <c r="H19" s="12" t="s">
        <v>109</v>
      </c>
      <c r="I19" s="14" t="s">
        <v>110</v>
      </c>
      <c r="J19" s="14" t="s">
        <v>111</v>
      </c>
      <c r="K19" s="6" t="s">
        <v>112</v>
      </c>
      <c r="L19" s="7" t="s">
        <v>113</v>
      </c>
      <c r="M19" s="13" t="s">
        <v>141</v>
      </c>
    </row>
    <row r="20" spans="1:13" ht="95.1" customHeight="1" x14ac:dyDescent="0.2">
      <c r="A20" s="4">
        <f t="shared" si="0"/>
        <v>16</v>
      </c>
      <c r="B20" s="5">
        <v>46023.42564814815</v>
      </c>
      <c r="C20" s="4" t="s">
        <v>114</v>
      </c>
      <c r="D20" s="4"/>
      <c r="E20" s="11" t="s">
        <v>115</v>
      </c>
      <c r="F20" s="15" t="s">
        <v>116</v>
      </c>
      <c r="G20" s="4" t="s">
        <v>20</v>
      </c>
      <c r="H20" s="12" t="s">
        <v>117</v>
      </c>
      <c r="I20" s="14" t="s">
        <v>22</v>
      </c>
      <c r="J20" s="14" t="s">
        <v>45</v>
      </c>
      <c r="K20" s="6" t="s">
        <v>118</v>
      </c>
      <c r="L20" s="7" t="s">
        <v>119</v>
      </c>
      <c r="M20" s="13" t="s">
        <v>142</v>
      </c>
    </row>
    <row r="21" spans="1:13" ht="95.1" customHeight="1" x14ac:dyDescent="0.2">
      <c r="A21" s="4">
        <f t="shared" si="0"/>
        <v>17</v>
      </c>
      <c r="B21" s="5">
        <v>46023.608657407407</v>
      </c>
      <c r="C21" s="4" t="s">
        <v>120</v>
      </c>
      <c r="D21" s="4"/>
      <c r="E21" s="11" t="s">
        <v>121</v>
      </c>
      <c r="F21" s="15" t="s">
        <v>122</v>
      </c>
      <c r="G21" s="4" t="s">
        <v>20</v>
      </c>
      <c r="H21" s="12" t="s">
        <v>123</v>
      </c>
      <c r="I21" s="14" t="s">
        <v>124</v>
      </c>
      <c r="J21" s="14" t="s">
        <v>45</v>
      </c>
      <c r="K21" s="6" t="s">
        <v>125</v>
      </c>
      <c r="L21" s="7" t="s">
        <v>126</v>
      </c>
      <c r="M21" s="13" t="s">
        <v>143</v>
      </c>
    </row>
    <row r="22" spans="1:13" ht="95.1" customHeight="1" x14ac:dyDescent="0.2">
      <c r="A22" s="16">
        <f t="shared" si="0"/>
        <v>18</v>
      </c>
      <c r="B22" s="17">
        <v>46003.541168981479</v>
      </c>
      <c r="C22" s="16" t="s">
        <v>134</v>
      </c>
      <c r="D22" s="16" t="s">
        <v>27</v>
      </c>
      <c r="E22" s="18" t="s">
        <v>127</v>
      </c>
      <c r="F22" s="19" t="s">
        <v>128</v>
      </c>
      <c r="G22" s="16" t="s">
        <v>20</v>
      </c>
      <c r="H22" s="20" t="s">
        <v>129</v>
      </c>
      <c r="I22" s="21" t="s">
        <v>130</v>
      </c>
      <c r="J22" s="21" t="s">
        <v>131</v>
      </c>
      <c r="K22" s="22" t="s">
        <v>132</v>
      </c>
      <c r="L22" s="23" t="s">
        <v>133</v>
      </c>
      <c r="M22" s="24" t="s">
        <v>27</v>
      </c>
    </row>
    <row r="23" spans="1:13" ht="95.1" customHeight="1" x14ac:dyDescent="0.2">
      <c r="A23" s="25">
        <f t="shared" si="0"/>
        <v>19</v>
      </c>
      <c r="B23" s="26"/>
      <c r="C23" s="30">
        <v>281440</v>
      </c>
      <c r="D23" s="26"/>
      <c r="E23" s="18" t="s">
        <v>148</v>
      </c>
      <c r="F23" s="28" t="s">
        <v>154</v>
      </c>
      <c r="G23" s="29" t="s">
        <v>154</v>
      </c>
      <c r="H23" s="19" t="s">
        <v>151</v>
      </c>
      <c r="I23" s="26"/>
      <c r="J23" s="26"/>
      <c r="K23" s="26"/>
      <c r="L23" s="26"/>
      <c r="M23" s="24" t="s">
        <v>140</v>
      </c>
    </row>
    <row r="24" spans="1:13" ht="95.1" customHeight="1" x14ac:dyDescent="0.2">
      <c r="A24" s="25">
        <f t="shared" si="0"/>
        <v>20</v>
      </c>
      <c r="B24" s="26"/>
      <c r="C24" s="30">
        <v>280989</v>
      </c>
      <c r="D24" s="26"/>
      <c r="E24" s="18" t="s">
        <v>149</v>
      </c>
      <c r="F24" s="28" t="s">
        <v>154</v>
      </c>
      <c r="G24" s="29" t="s">
        <v>154</v>
      </c>
      <c r="H24" s="31" t="s">
        <v>152</v>
      </c>
      <c r="I24" s="26"/>
      <c r="J24" s="26"/>
      <c r="K24" s="26"/>
      <c r="L24" s="26"/>
      <c r="M24" s="24" t="s">
        <v>140</v>
      </c>
    </row>
    <row r="25" spans="1:13" ht="95.1" customHeight="1" x14ac:dyDescent="0.2">
      <c r="A25" s="25">
        <f t="shared" si="0"/>
        <v>21</v>
      </c>
      <c r="B25" s="26"/>
      <c r="C25" s="30">
        <v>281020</v>
      </c>
      <c r="D25" s="26"/>
      <c r="E25" s="18" t="s">
        <v>150</v>
      </c>
      <c r="F25" s="28" t="s">
        <v>154</v>
      </c>
      <c r="G25" s="29" t="s">
        <v>154</v>
      </c>
      <c r="H25" s="19" t="s">
        <v>153</v>
      </c>
      <c r="I25" s="26"/>
      <c r="J25" s="26"/>
      <c r="K25" s="26"/>
      <c r="L25" s="26"/>
      <c r="M25" s="24" t="s">
        <v>155</v>
      </c>
    </row>
    <row r="26" spans="1:13" ht="99.95" customHeight="1" x14ac:dyDescent="0.2">
      <c r="A26" s="25">
        <f t="shared" si="0"/>
        <v>22</v>
      </c>
      <c r="B26" s="26"/>
      <c r="C26" s="26"/>
      <c r="D26" s="26"/>
      <c r="E26" s="27"/>
      <c r="F26" s="27"/>
      <c r="G26" s="26"/>
      <c r="H26" s="26"/>
      <c r="I26" s="26"/>
      <c r="J26" s="26"/>
      <c r="K26" s="26"/>
      <c r="L26" s="26"/>
      <c r="M26" s="27"/>
    </row>
    <row r="27" spans="1:13" ht="99.95" customHeight="1" x14ac:dyDescent="0.2">
      <c r="A27" s="25">
        <f t="shared" si="0"/>
        <v>23</v>
      </c>
      <c r="B27" s="26"/>
      <c r="C27" s="26"/>
      <c r="D27" s="26"/>
      <c r="E27" s="27"/>
      <c r="F27" s="27"/>
      <c r="G27" s="26"/>
      <c r="H27" s="26"/>
      <c r="I27" s="26"/>
      <c r="J27" s="26"/>
      <c r="K27" s="26"/>
      <c r="L27" s="26"/>
      <c r="M27" s="27"/>
    </row>
  </sheetData>
  <mergeCells count="2">
    <mergeCell ref="B1:M1"/>
    <mergeCell ref="K4:L4"/>
  </mergeCells>
  <pageMargins left="0.25" right="0.25" top="0.75" bottom="0.75" header="0.5" footer="0.5"/>
  <pageSetup paperSize="9" scale="43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2026-01-01T14:28:12Z</cp:lastPrinted>
  <dcterms:created xsi:type="dcterms:W3CDTF">2026-01-01T17:01:37Z</dcterms:created>
  <dcterms:modified xsi:type="dcterms:W3CDTF">2026-01-01T17:04:50Z</dcterms:modified>
</cp:coreProperties>
</file>
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Sheet0!$A$1:$M$20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1" i="1" l="1"/>
  <c r="A22" i="1"/>
  <c r="A23" i="1" s="1"/>
  <c r="A24" i="1" s="1"/>
  <c r="A25" i="1" s="1"/>
  <c r="A26" i="1" s="1"/>
  <c r="A7" i="1" l="1"/>
  <c r="A8" i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6" i="1"/>
</calcChain>
</file>

<file path=xl/sharedStrings.xml><?xml version="1.0" encoding="utf-8"?>
<sst xmlns="http://schemas.openxmlformats.org/spreadsheetml/2006/main" count="235" uniqueCount="158">
  <si>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</si>
  <si>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</si>
  <si>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</si>
  <si>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</si>
  <si>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</si>
  <si>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</si>
  <si>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</si>
  <si>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</si>
  <si>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</si>
  <si>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</si>
  <si>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</si>
  <si>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</si>
  <si>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</si>
  <si>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</si>
  <si>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</si>
  <si>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</si>
  <si>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</si>
  <si>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MR2605/0032</t>
  </si>
  <si>
    <t>Continuous</t>
  </si>
  <si>
    <t>220KV_Gorabazar</t>
  </si>
  <si>
    <t>220KV_AMARKANTAK</t>
  </si>
  <si>
    <t>NON-OCCM-WR</t>
  </si>
  <si>
    <t>Breaker control shifting in new ecr building</t>
  </si>
  <si>
    <t>02-05-2026 08:00:00</t>
  </si>
  <si>
    <t>03-05-2026 18:00:00</t>
  </si>
  <si>
    <t>Vijay Kothari</t>
  </si>
  <si>
    <t>9425808910</t>
  </si>
  <si>
    <t>MR2604/0405</t>
  </si>
  <si>
    <t>220KV_160MVA BBL TRANSFORMER</t>
  </si>
  <si>
    <t>220KV_ANUPPUR</t>
  </si>
  <si>
    <t>NON-OCCM-MP</t>
  </si>
  <si>
    <t>BELL TANK OIL LEAKAGE ATTENDING WORK</t>
  </si>
  <si>
    <t>17-04-2026 10:00:00</t>
  </si>
  <si>
    <t>06-05-2026 18:00:00</t>
  </si>
  <si>
    <t>SUNIL KUMAR BHALAVI</t>
  </si>
  <si>
    <t>9425804704</t>
  </si>
  <si>
    <t>MR2605/0006</t>
  </si>
  <si>
    <t>132KV_132KV HATTA-BIJAWAR LINE</t>
  </si>
  <si>
    <t>132KV_HATTA</t>
  </si>
  <si>
    <t>REPLACE ACSR PANTHER CONDUCTOR WITH HTLS CONDUCTOR</t>
  </si>
  <si>
    <t>03-05-2026 09:00:00</t>
  </si>
  <si>
    <t>M.M. BAIG</t>
  </si>
  <si>
    <t>9425805067</t>
  </si>
  <si>
    <t>MR2604/0694</t>
  </si>
  <si>
    <t>400KV_UNIT#07</t>
  </si>
  <si>
    <t>400KV_INDIRASAGAR</t>
  </si>
  <si>
    <t>ANNUAL MAINTENANCE OF U#07</t>
  </si>
  <si>
    <t>01-05-2026 06:00:00</t>
  </si>
  <si>
    <t>15-05-2026 18:00:00</t>
  </si>
  <si>
    <t>SANJAY PATEL</t>
  </si>
  <si>
    <t>9575074321</t>
  </si>
  <si>
    <t>MR2604/0676</t>
  </si>
  <si>
    <t>Daily</t>
  </si>
  <si>
    <t>220KV_220 KV Jabalpur-Narsinghpur Line Ckt-II</t>
  </si>
  <si>
    <t>220KV_JABALPUR</t>
  </si>
  <si>
    <t>Resagging work at Loc. No. 15-236</t>
  </si>
  <si>
    <t>30-04-2026 08:00:00</t>
  </si>
  <si>
    <t>03-05-2026 19:00:00</t>
  </si>
  <si>
    <t>Ashish Kumar</t>
  </si>
  <si>
    <t>9425805935</t>
  </si>
  <si>
    <t>MR2605/0013</t>
  </si>
  <si>
    <t>132KV_132 KV KATNI - I.C. LINE CKT - 2ND</t>
  </si>
  <si>
    <t>132KV_KATNI</t>
  </si>
  <si>
    <t>HTLS CONDUCTOR REPLACEMENT WORK</t>
  </si>
  <si>
    <t>02-05-2026 18:00:00</t>
  </si>
  <si>
    <t>03-05-2026 02:00:00</t>
  </si>
  <si>
    <t>MANOJ KUMAR TIWARI</t>
  </si>
  <si>
    <t>9425804993</t>
  </si>
  <si>
    <t>MR2604/0697</t>
  </si>
  <si>
    <t>220KV_Generating Unit No.03</t>
  </si>
  <si>
    <t>220KV_OMKARESHWAR</t>
  </si>
  <si>
    <t>Annual maintenance</t>
  </si>
  <si>
    <t>02-05-2026 10:00:00</t>
  </si>
  <si>
    <t>Sh. M. S. Karunakar</t>
  </si>
  <si>
    <t>7898703187</t>
  </si>
  <si>
    <t>MR2605/0039</t>
  </si>
  <si>
    <t>400KV_400 KV SSTPH-Pithampur ckt 1 line</t>
  </si>
  <si>
    <t>400KV_PITHAMPUR4</t>
  </si>
  <si>
    <t>Tower Restrengthening work on cross arm</t>
  </si>
  <si>
    <t>Naresh Pandre</t>
  </si>
  <si>
    <t>9425806905</t>
  </si>
  <si>
    <t>MR2605/0040</t>
  </si>
  <si>
    <t>400KV_400KV SSTPH Pithampur ckt 2 line</t>
  </si>
  <si>
    <t>MR2605/0036</t>
  </si>
  <si>
    <t>132KV_132 kv main bus</t>
  </si>
  <si>
    <t>132KV_PRITHVIPUR</t>
  </si>
  <si>
    <t>For Main bus extension and jumper work</t>
  </si>
  <si>
    <t>03-05-2026 07:00:00</t>
  </si>
  <si>
    <t>03-05-2026 09:30:00</t>
  </si>
  <si>
    <t>Sameer parte</t>
  </si>
  <si>
    <t>9575673359</t>
  </si>
  <si>
    <t>MR2605/0037</t>
  </si>
  <si>
    <t>Main bus extension and jumper work</t>
  </si>
  <si>
    <t>03-05-2026 17:00:00</t>
  </si>
  <si>
    <t>MR2605/0027</t>
  </si>
  <si>
    <t>132KV_132 kv Satna  â¿¿  Satna IC â¿¿II  Ckt</t>
  </si>
  <si>
    <t>220KV_SATNA</t>
  </si>
  <si>
    <t>for  ACSR Panther Conductor replacement to HTLS Co</t>
  </si>
  <si>
    <t>02-05-2026 05:00:00</t>
  </si>
  <si>
    <t>15-05-2026 14:00:00</t>
  </si>
  <si>
    <t>Mr. R.K.Prajapati</t>
  </si>
  <si>
    <t>9407070182</t>
  </si>
  <si>
    <t>MR2604/0699</t>
  </si>
  <si>
    <t>220KV_220  kV Satna (MPPTCL)  â¿¿  Ajaygarh line</t>
  </si>
  <si>
    <t>Double  fitting work</t>
  </si>
  <si>
    <t>01-05-2026 08:00:00</t>
  </si>
  <si>
    <t>15-05-2026 15:00:00</t>
  </si>
  <si>
    <t>MR2605/0011</t>
  </si>
  <si>
    <t>132KV_132kV Seoni Nainpur Ckt-IInd</t>
  </si>
  <si>
    <t>220KV_SEONI</t>
  </si>
  <si>
    <t>Old OPGW wire removing Work</t>
  </si>
  <si>
    <t>04-05-2026 18:00:00</t>
  </si>
  <si>
    <t>Amol Shende</t>
  </si>
  <si>
    <t>7587951136</t>
  </si>
  <si>
    <t>MR2604/0291</t>
  </si>
  <si>
    <t>132KV_132 KV Shahapura â¿¿  Shrinagar link from Shahapura end on daily basis from 10:00 to 18:00 Hrs to avoid  overload tripping on 33KV Feeders</t>
  </si>
  <si>
    <t>132KV_SHAHPURA</t>
  </si>
  <si>
    <t>proposed to open the 132 KV Shahapura â¿¿  Shrinagar</t>
  </si>
  <si>
    <t>12-04-2026 10:00:00</t>
  </si>
  <si>
    <t>12-05-2026 18:00:00</t>
  </si>
  <si>
    <t>H.L.KOSHTA</t>
  </si>
  <si>
    <t>7587951105</t>
  </si>
  <si>
    <t>MR2603/0710</t>
  </si>
  <si>
    <t>132KV_132kV Waidhan -VSTPP CKt  I</t>
  </si>
  <si>
    <t>132KV_WAIDHAN</t>
  </si>
  <si>
    <t>Panther Conductor Replace to HTLS Conductor</t>
  </si>
  <si>
    <t>04-04-2026 07:00:00</t>
  </si>
  <si>
    <t>25-05-2026 19:00:00</t>
  </si>
  <si>
    <t>G.L Sahu</t>
  </si>
  <si>
    <t>9425805102</t>
  </si>
  <si>
    <t>ok</t>
  </si>
  <si>
    <t>as per system availability</t>
  </si>
  <si>
    <t>ok, after load management</t>
  </si>
  <si>
    <t>deferred, as s/d approved on ckt 2</t>
  </si>
  <si>
    <t>ok, niwari to be supplied through auxiliary bus of prithvipur</t>
  </si>
  <si>
    <t>400KV-ITARSI-INDORE-MP-2</t>
  </si>
  <si>
    <t>400KV-SSP-RAJGARH-1</t>
  </si>
  <si>
    <t>220KV-SATNA-MAIHAR-1</t>
  </si>
  <si>
    <t>132KV-VSTPS-WAIDHAN-2</t>
  </si>
  <si>
    <t>JP-BINA - 400KV - BUS 1</t>
  </si>
  <si>
    <t>400KV-SSP-RAJGARH-2</t>
  </si>
  <si>
    <t>S/I ,SLDC MPPTCL JABALPUR</t>
  </si>
  <si>
    <t>Non auto mode  is required for opportunity work in line for PID scanning</t>
  </si>
  <si>
    <t>DISC INSULATOR STRING REPLACEMENT WORK</t>
  </si>
  <si>
    <t xml:space="preserve">FOR REPLACEMENT OF SINGLE FITTING HARDWARE INTO DOUBLE FITTING HARDWARE AT VARIOUS ROAD CROSSING LOCATIONS </t>
  </si>
  <si>
    <t>FOR REPLACEMENT OF CONDUCTOR WITH HTLS CONDUCTOR</t>
  </si>
  <si>
    <t>TO ATTEND ALL 8 NO. BAYS PENTOGRAPH ISOLATORS</t>
  </si>
  <si>
    <t>03-May-2026</t>
  </si>
  <si>
    <t>08:00</t>
  </si>
  <si>
    <t>18:00</t>
  </si>
  <si>
    <t>06:00</t>
  </si>
  <si>
    <t>19:00</t>
  </si>
  <si>
    <t>16:59</t>
  </si>
  <si>
    <t>01-May-2026</t>
  </si>
  <si>
    <t>08-May-2026</t>
  </si>
  <si>
    <t>ok, through sub ld</t>
  </si>
  <si>
    <t>OCCM-WR</t>
  </si>
  <si>
    <t>APPROVED OUTAGE LIST FOR DTD. 03.05.2026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</si>
</sst>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7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b/>
      <sz val="16"/>
      <color indexed="8"/>
      <name val="Calibri"/>
      <family val="2"/>
      <scheme val="minor"/>
    </font>
    <font>
      <b/>
      <sz val="18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4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3" fillId="0" borderId="3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7"/>
  <sheetViews>
    <sheetView tabSelected="1" zoomScale="80" zoomScaleNormal="80" workbookViewId="0">
      <selection activeCell="B1" sqref="B1:M1"/>
    </sheetView>
  </sheetViews>
  <sheetFormatPr defaultRowHeight="15"/>
  <cols>
    <col min="2" max="2" width="11.140625" customWidth="1"/>
    <col min="3" max="3" width="13.42578125" customWidth="1"/>
    <col min="4" max="4" width="11" customWidth="1"/>
    <col min="5" max="5" width="45.7109375" customWidth="1"/>
    <col min="6" max="6" width="24.140625" customWidth="1"/>
    <col min="7" max="7" width="16.140625" customWidth="1"/>
    <col min="8" max="8" width="64.85546875" customWidth="1"/>
    <col min="9" max="10" width="19.42578125" customWidth="1"/>
    <col min="11" max="11" width="23.5703125" customWidth="1"/>
    <col min="12" max="12" width="12" customWidth="1"/>
    <col min="13" max="13" width="56" customWidth="1"/>
  </cols>
  <sheetData>
    <row r="1" spans="1:13" ht="43.7" customHeight="1">
      <c r="A1" s="1"/>
      <c r="B1" s="7" t="s">
        <v>0</v>
      </c>
      <c r="C1" s="8"/>
      <c r="D1" s="8"/>
      <c r="E1" s="8"/>
      <c r="F1" s="8"/>
      <c r="G1" s="8"/>
      <c r="H1" s="8"/>
      <c r="I1" s="8"/>
      <c r="J1" s="8"/>
      <c r="K1" s="8"/>
      <c r="L1" s="8"/>
      <c r="M1" s="9"/>
    </row>
    <row r="2" spans="1:13" s="17" customFormat="1" ht="42" customHeight="1">
      <c r="A2" s="12" t="s">
        <v>1</v>
      </c>
      <c r="B2" s="13">
        <v>46145</v>
      </c>
      <c r="C2" s="12"/>
      <c r="D2" s="12"/>
      <c r="E2" s="14" t="s">
        <v>157</v>
      </c>
      <c r="F2" s="15"/>
      <c r="G2" s="15"/>
      <c r="H2" s="15"/>
      <c r="I2" s="15"/>
      <c r="J2" s="15"/>
      <c r="K2" s="15"/>
      <c r="L2" s="16"/>
      <c r="M2" s="12"/>
    </row>
    <row r="3" spans="1:13" s="17" customFormat="1" ht="42" customHeight="1">
      <c r="A3" s="18" t="s">
        <v>2</v>
      </c>
      <c r="B3" s="18" t="s">
        <v>3</v>
      </c>
      <c r="C3" s="18" t="s">
        <v>4</v>
      </c>
      <c r="D3" s="18" t="s">
        <v>3</v>
      </c>
      <c r="E3" s="12"/>
      <c r="F3" s="12"/>
      <c r="G3" s="12"/>
      <c r="H3" s="12"/>
      <c r="I3" s="12"/>
      <c r="J3" s="12"/>
      <c r="K3" s="12"/>
      <c r="L3" s="12"/>
      <c r="M3" s="12"/>
    </row>
    <row r="4" spans="1:13" s="17" customFormat="1" ht="42" customHeight="1">
      <c r="A4" s="18" t="s">
        <v>5</v>
      </c>
      <c r="B4" s="18" t="s">
        <v>6</v>
      </c>
      <c r="C4" s="18" t="s">
        <v>7</v>
      </c>
      <c r="D4" s="18" t="s">
        <v>8</v>
      </c>
      <c r="E4" s="18" t="s">
        <v>9</v>
      </c>
      <c r="F4" s="18" t="s">
        <v>10</v>
      </c>
      <c r="G4" s="18" t="s">
        <v>11</v>
      </c>
      <c r="H4" s="18" t="s">
        <v>12</v>
      </c>
      <c r="I4" s="18" t="s">
        <v>13</v>
      </c>
      <c r="J4" s="18" t="s">
        <v>14</v>
      </c>
      <c r="K4" s="19" t="s">
        <v>15</v>
      </c>
      <c r="L4" s="20"/>
      <c r="M4" s="18" t="s">
        <v>16</v>
      </c>
    </row>
    <row r="5" spans="1:13" ht="33.75" customHeight="1">
      <c r="A5" s="2">
        <v>1</v>
      </c>
      <c r="B5" s="3">
        <v>46143.610578703701</v>
      </c>
      <c r="C5" s="2" t="s">
        <v>17</v>
      </c>
      <c r="D5" s="2" t="s">
        <v>18</v>
      </c>
      <c r="E5" s="2" t="s">
        <v>19</v>
      </c>
      <c r="F5" s="2" t="s">
        <v>20</v>
      </c>
      <c r="G5" s="2" t="s">
        <v>21</v>
      </c>
      <c r="H5" s="2" t="s">
        <v>22</v>
      </c>
      <c r="I5" s="4" t="s">
        <v>23</v>
      </c>
      <c r="J5" s="4" t="s">
        <v>24</v>
      </c>
      <c r="K5" s="5" t="s">
        <v>25</v>
      </c>
      <c r="L5" s="6" t="s">
        <v>26</v>
      </c>
      <c r="M5" s="2" t="s">
        <v>18</v>
      </c>
    </row>
    <row r="6" spans="1:13" ht="33.75" customHeight="1">
      <c r="A6" s="2">
        <f>A5+1</f>
        <v>2</v>
      </c>
      <c r="B6" s="3">
        <v>46128.598124999997</v>
      </c>
      <c r="C6" s="2" t="s">
        <v>27</v>
      </c>
      <c r="D6" s="2" t="s">
        <v>18</v>
      </c>
      <c r="E6" s="2" t="s">
        <v>28</v>
      </c>
      <c r="F6" s="2" t="s">
        <v>29</v>
      </c>
      <c r="G6" s="2" t="s">
        <v>30</v>
      </c>
      <c r="H6" s="2" t="s">
        <v>31</v>
      </c>
      <c r="I6" s="4" t="s">
        <v>32</v>
      </c>
      <c r="J6" s="4" t="s">
        <v>33</v>
      </c>
      <c r="K6" s="5" t="s">
        <v>34</v>
      </c>
      <c r="L6" s="6" t="s">
        <v>35</v>
      </c>
      <c r="M6" s="2" t="s">
        <v>18</v>
      </c>
    </row>
    <row r="7" spans="1:13" ht="33.75" customHeight="1">
      <c r="A7" s="2">
        <f t="shared" ref="A7:A26" si="0">A6+1</f>
        <v>3</v>
      </c>
      <c r="B7" s="3">
        <v>46143.525972222225</v>
      </c>
      <c r="C7" s="2" t="s">
        <v>36</v>
      </c>
      <c r="D7" s="2"/>
      <c r="E7" s="2" t="s">
        <v>37</v>
      </c>
      <c r="F7" s="2" t="s">
        <v>38</v>
      </c>
      <c r="G7" s="2" t="s">
        <v>30</v>
      </c>
      <c r="H7" s="2" t="s">
        <v>39</v>
      </c>
      <c r="I7" s="4" t="s">
        <v>40</v>
      </c>
      <c r="J7" s="4" t="s">
        <v>24</v>
      </c>
      <c r="K7" s="5" t="s">
        <v>41</v>
      </c>
      <c r="L7" s="6" t="s">
        <v>42</v>
      </c>
      <c r="M7" s="2" t="s">
        <v>130</v>
      </c>
    </row>
    <row r="8" spans="1:13" ht="33.75" customHeight="1">
      <c r="A8" s="2">
        <f t="shared" si="0"/>
        <v>4</v>
      </c>
      <c r="B8" s="3">
        <v>46141.703472222223</v>
      </c>
      <c r="C8" s="2" t="s">
        <v>43</v>
      </c>
      <c r="D8" s="2" t="s">
        <v>18</v>
      </c>
      <c r="E8" s="2" t="s">
        <v>44</v>
      </c>
      <c r="F8" s="2" t="s">
        <v>45</v>
      </c>
      <c r="G8" s="2" t="s">
        <v>21</v>
      </c>
      <c r="H8" s="2" t="s">
        <v>46</v>
      </c>
      <c r="I8" s="4" t="s">
        <v>47</v>
      </c>
      <c r="J8" s="4" t="s">
        <v>48</v>
      </c>
      <c r="K8" s="5" t="s">
        <v>49</v>
      </c>
      <c r="L8" s="6" t="s">
        <v>50</v>
      </c>
      <c r="M8" s="2" t="s">
        <v>131</v>
      </c>
    </row>
    <row r="9" spans="1:13" ht="33.75" customHeight="1">
      <c r="A9" s="2">
        <f t="shared" si="0"/>
        <v>5</v>
      </c>
      <c r="B9" s="3">
        <v>46141.549629629626</v>
      </c>
      <c r="C9" s="2" t="s">
        <v>51</v>
      </c>
      <c r="D9" s="2" t="s">
        <v>52</v>
      </c>
      <c r="E9" s="2" t="s">
        <v>53</v>
      </c>
      <c r="F9" s="2" t="s">
        <v>54</v>
      </c>
      <c r="G9" s="2" t="s">
        <v>30</v>
      </c>
      <c r="H9" s="2" t="s">
        <v>55</v>
      </c>
      <c r="I9" s="4" t="s">
        <v>56</v>
      </c>
      <c r="J9" s="4" t="s">
        <v>57</v>
      </c>
      <c r="K9" s="5" t="s">
        <v>58</v>
      </c>
      <c r="L9" s="6" t="s">
        <v>59</v>
      </c>
      <c r="M9" s="2" t="s">
        <v>130</v>
      </c>
    </row>
    <row r="10" spans="1:13" ht="33.75" customHeight="1">
      <c r="A10" s="2">
        <f t="shared" si="0"/>
        <v>6</v>
      </c>
      <c r="B10" s="3">
        <v>46143.542592592596</v>
      </c>
      <c r="C10" s="2" t="s">
        <v>60</v>
      </c>
      <c r="D10" s="2" t="s">
        <v>52</v>
      </c>
      <c r="E10" s="2" t="s">
        <v>61</v>
      </c>
      <c r="F10" s="2" t="s">
        <v>62</v>
      </c>
      <c r="G10" s="2" t="s">
        <v>30</v>
      </c>
      <c r="H10" s="2" t="s">
        <v>63</v>
      </c>
      <c r="I10" s="4" t="s">
        <v>64</v>
      </c>
      <c r="J10" s="4" t="s">
        <v>65</v>
      </c>
      <c r="K10" s="5" t="s">
        <v>66</v>
      </c>
      <c r="L10" s="6" t="s">
        <v>67</v>
      </c>
      <c r="M10" s="2" t="s">
        <v>132</v>
      </c>
    </row>
    <row r="11" spans="1:13" ht="33.75" customHeight="1">
      <c r="A11" s="2">
        <f t="shared" si="0"/>
        <v>7</v>
      </c>
      <c r="B11" s="3">
        <v>46142.599212962959</v>
      </c>
      <c r="C11" s="2" t="s">
        <v>68</v>
      </c>
      <c r="D11" s="2" t="s">
        <v>18</v>
      </c>
      <c r="E11" s="2" t="s">
        <v>69</v>
      </c>
      <c r="F11" s="2" t="s">
        <v>70</v>
      </c>
      <c r="G11" s="2" t="s">
        <v>30</v>
      </c>
      <c r="H11" s="2" t="s">
        <v>71</v>
      </c>
      <c r="I11" s="4" t="s">
        <v>72</v>
      </c>
      <c r="J11" s="4" t="s">
        <v>48</v>
      </c>
      <c r="K11" s="5" t="s">
        <v>73</v>
      </c>
      <c r="L11" s="6" t="s">
        <v>74</v>
      </c>
      <c r="M11" s="2" t="s">
        <v>131</v>
      </c>
    </row>
    <row r="12" spans="1:13" ht="33.75" customHeight="1">
      <c r="A12" s="2">
        <f t="shared" si="0"/>
        <v>8</v>
      </c>
      <c r="B12" s="3">
        <v>46144.322141203702</v>
      </c>
      <c r="C12" s="2" t="s">
        <v>75</v>
      </c>
      <c r="D12" s="2" t="s">
        <v>18</v>
      </c>
      <c r="E12" s="2" t="s">
        <v>76</v>
      </c>
      <c r="F12" s="2" t="s">
        <v>77</v>
      </c>
      <c r="G12" s="2" t="s">
        <v>30</v>
      </c>
      <c r="H12" s="2" t="s">
        <v>78</v>
      </c>
      <c r="I12" s="4" t="s">
        <v>23</v>
      </c>
      <c r="J12" s="4" t="s">
        <v>48</v>
      </c>
      <c r="K12" s="5" t="s">
        <v>79</v>
      </c>
      <c r="L12" s="6" t="s">
        <v>80</v>
      </c>
      <c r="M12" s="2" t="s">
        <v>18</v>
      </c>
    </row>
    <row r="13" spans="1:13" ht="33.75" customHeight="1">
      <c r="A13" s="2">
        <f t="shared" si="0"/>
        <v>9</v>
      </c>
      <c r="B13" s="3">
        <v>46144.323842592596</v>
      </c>
      <c r="C13" s="2" t="s">
        <v>81</v>
      </c>
      <c r="D13" s="2" t="s">
        <v>18</v>
      </c>
      <c r="E13" s="2" t="s">
        <v>82</v>
      </c>
      <c r="F13" s="2" t="s">
        <v>77</v>
      </c>
      <c r="G13" s="2" t="s">
        <v>30</v>
      </c>
      <c r="H13" s="2" t="s">
        <v>78</v>
      </c>
      <c r="I13" s="4" t="s">
        <v>23</v>
      </c>
      <c r="J13" s="4" t="s">
        <v>48</v>
      </c>
      <c r="K13" s="5" t="s">
        <v>79</v>
      </c>
      <c r="L13" s="6" t="s">
        <v>80</v>
      </c>
      <c r="M13" s="2" t="s">
        <v>18</v>
      </c>
    </row>
    <row r="14" spans="1:13" ht="33.75" customHeight="1">
      <c r="A14" s="2">
        <f t="shared" si="0"/>
        <v>10</v>
      </c>
      <c r="B14" s="3">
        <v>46143.779386574075</v>
      </c>
      <c r="C14" s="2" t="s">
        <v>83</v>
      </c>
      <c r="D14" s="2"/>
      <c r="E14" s="2" t="s">
        <v>84</v>
      </c>
      <c r="F14" s="2" t="s">
        <v>85</v>
      </c>
      <c r="G14" s="2" t="s">
        <v>30</v>
      </c>
      <c r="H14" s="2" t="s">
        <v>86</v>
      </c>
      <c r="I14" s="4" t="s">
        <v>87</v>
      </c>
      <c r="J14" s="4" t="s">
        <v>88</v>
      </c>
      <c r="K14" s="5" t="s">
        <v>89</v>
      </c>
      <c r="L14" s="6" t="s">
        <v>90</v>
      </c>
      <c r="M14" s="2" t="s">
        <v>134</v>
      </c>
    </row>
    <row r="15" spans="1:13" ht="33.75" customHeight="1">
      <c r="A15" s="2">
        <f t="shared" si="0"/>
        <v>11</v>
      </c>
      <c r="B15" s="3">
        <v>46143.782708333332</v>
      </c>
      <c r="C15" s="2" t="s">
        <v>91</v>
      </c>
      <c r="D15" s="2"/>
      <c r="E15" s="2" t="s">
        <v>84</v>
      </c>
      <c r="F15" s="2" t="s">
        <v>85</v>
      </c>
      <c r="G15" s="2" t="s">
        <v>30</v>
      </c>
      <c r="H15" s="2" t="s">
        <v>92</v>
      </c>
      <c r="I15" s="4" t="s">
        <v>93</v>
      </c>
      <c r="J15" s="4" t="s">
        <v>57</v>
      </c>
      <c r="K15" s="5" t="s">
        <v>89</v>
      </c>
      <c r="L15" s="6" t="s">
        <v>90</v>
      </c>
      <c r="M15" s="2" t="s">
        <v>130</v>
      </c>
    </row>
    <row r="16" spans="1:13" ht="33.75" customHeight="1">
      <c r="A16" s="2">
        <f t="shared" si="0"/>
        <v>12</v>
      </c>
      <c r="B16" s="3">
        <v>46143.576249999998</v>
      </c>
      <c r="C16" s="2" t="s">
        <v>94</v>
      </c>
      <c r="D16" s="2" t="s">
        <v>52</v>
      </c>
      <c r="E16" s="2" t="s">
        <v>95</v>
      </c>
      <c r="F16" s="2" t="s">
        <v>96</v>
      </c>
      <c r="G16" s="2" t="s">
        <v>30</v>
      </c>
      <c r="H16" s="2" t="s">
        <v>97</v>
      </c>
      <c r="I16" s="4" t="s">
        <v>98</v>
      </c>
      <c r="J16" s="4" t="s">
        <v>99</v>
      </c>
      <c r="K16" s="5" t="s">
        <v>100</v>
      </c>
      <c r="L16" s="6" t="s">
        <v>101</v>
      </c>
      <c r="M16" s="2" t="s">
        <v>130</v>
      </c>
    </row>
    <row r="17" spans="1:13" ht="33.75" customHeight="1">
      <c r="A17" s="2">
        <f t="shared" si="0"/>
        <v>13</v>
      </c>
      <c r="B17" s="3">
        <v>46142.633240740739</v>
      </c>
      <c r="C17" s="2" t="s">
        <v>102</v>
      </c>
      <c r="D17" s="2" t="s">
        <v>52</v>
      </c>
      <c r="E17" s="2" t="s">
        <v>103</v>
      </c>
      <c r="F17" s="2" t="s">
        <v>96</v>
      </c>
      <c r="G17" s="2" t="s">
        <v>30</v>
      </c>
      <c r="H17" s="2" t="s">
        <v>104</v>
      </c>
      <c r="I17" s="4" t="s">
        <v>105</v>
      </c>
      <c r="J17" s="4" t="s">
        <v>106</v>
      </c>
      <c r="K17" s="5" t="s">
        <v>100</v>
      </c>
      <c r="L17" s="6" t="s">
        <v>101</v>
      </c>
      <c r="M17" s="2" t="s">
        <v>130</v>
      </c>
    </row>
    <row r="18" spans="1:13" ht="33.75" customHeight="1">
      <c r="A18" s="2">
        <f t="shared" si="0"/>
        <v>14</v>
      </c>
      <c r="B18" s="3">
        <v>46143.531504629631</v>
      </c>
      <c r="C18" s="2" t="s">
        <v>107</v>
      </c>
      <c r="D18" s="2" t="s">
        <v>52</v>
      </c>
      <c r="E18" s="2" t="s">
        <v>108</v>
      </c>
      <c r="F18" s="2" t="s">
        <v>109</v>
      </c>
      <c r="G18" s="2" t="s">
        <v>30</v>
      </c>
      <c r="H18" s="2" t="s">
        <v>110</v>
      </c>
      <c r="I18" s="4" t="s">
        <v>23</v>
      </c>
      <c r="J18" s="4" t="s">
        <v>111</v>
      </c>
      <c r="K18" s="5" t="s">
        <v>112</v>
      </c>
      <c r="L18" s="6" t="s">
        <v>113</v>
      </c>
      <c r="M18" s="2" t="s">
        <v>130</v>
      </c>
    </row>
    <row r="19" spans="1:13" ht="33.75" customHeight="1">
      <c r="A19" s="2">
        <f t="shared" si="0"/>
        <v>15</v>
      </c>
      <c r="B19" s="3">
        <v>46123.698136574072</v>
      </c>
      <c r="C19" s="2" t="s">
        <v>114</v>
      </c>
      <c r="D19" s="2" t="s">
        <v>52</v>
      </c>
      <c r="E19" s="2" t="s">
        <v>115</v>
      </c>
      <c r="F19" s="2" t="s">
        <v>116</v>
      </c>
      <c r="G19" s="2" t="s">
        <v>30</v>
      </c>
      <c r="H19" s="2" t="s">
        <v>117</v>
      </c>
      <c r="I19" s="4" t="s">
        <v>118</v>
      </c>
      <c r="J19" s="4" t="s">
        <v>119</v>
      </c>
      <c r="K19" s="5" t="s">
        <v>120</v>
      </c>
      <c r="L19" s="6" t="s">
        <v>121</v>
      </c>
      <c r="M19" s="2" t="s">
        <v>130</v>
      </c>
    </row>
    <row r="20" spans="1:13" ht="33.75" customHeight="1">
      <c r="A20" s="2">
        <f t="shared" si="0"/>
        <v>16</v>
      </c>
      <c r="B20" s="3">
        <v>46111.697233796294</v>
      </c>
      <c r="C20" s="2" t="s">
        <v>122</v>
      </c>
      <c r="D20" s="2" t="s">
        <v>52</v>
      </c>
      <c r="E20" s="2" t="s">
        <v>123</v>
      </c>
      <c r="F20" s="2" t="s">
        <v>124</v>
      </c>
      <c r="G20" s="2" t="s">
        <v>30</v>
      </c>
      <c r="H20" s="2" t="s">
        <v>125</v>
      </c>
      <c r="I20" s="4" t="s">
        <v>126</v>
      </c>
      <c r="J20" s="4" t="s">
        <v>127</v>
      </c>
      <c r="K20" s="5" t="s">
        <v>128</v>
      </c>
      <c r="L20" s="6" t="s">
        <v>129</v>
      </c>
      <c r="M20" s="2" t="s">
        <v>133</v>
      </c>
    </row>
    <row r="21" spans="1:13">
      <c r="A21" s="2">
        <f t="shared" si="0"/>
        <v>17</v>
      </c>
      <c r="B21" s="3">
        <v>46111.697233796294</v>
      </c>
      <c r="C21" s="2"/>
      <c r="D21" s="2"/>
      <c r="E21" s="2" t="s">
        <v>135</v>
      </c>
      <c r="F21" s="2"/>
      <c r="G21" s="2" t="s">
        <v>156</v>
      </c>
      <c r="H21" s="10" t="s">
        <v>142</v>
      </c>
      <c r="I21" s="4" t="s">
        <v>147</v>
      </c>
      <c r="J21" s="4" t="s">
        <v>148</v>
      </c>
      <c r="K21" s="5" t="s">
        <v>147</v>
      </c>
      <c r="L21" s="6" t="s">
        <v>149</v>
      </c>
      <c r="M21" s="2" t="s">
        <v>155</v>
      </c>
    </row>
    <row r="22" spans="1:13">
      <c r="A22" s="2">
        <f t="shared" si="0"/>
        <v>18</v>
      </c>
      <c r="B22" s="3">
        <v>46111.697233796294</v>
      </c>
      <c r="C22" s="2"/>
      <c r="D22" s="2"/>
      <c r="E22" s="2" t="s">
        <v>136</v>
      </c>
      <c r="F22" s="2"/>
      <c r="G22" s="2" t="s">
        <v>156</v>
      </c>
      <c r="H22" s="10" t="s">
        <v>143</v>
      </c>
      <c r="I22" s="4" t="s">
        <v>147</v>
      </c>
      <c r="J22" s="4" t="s">
        <v>150</v>
      </c>
      <c r="K22" s="5" t="s">
        <v>147</v>
      </c>
      <c r="L22" s="6" t="s">
        <v>149</v>
      </c>
      <c r="M22" s="2" t="s">
        <v>155</v>
      </c>
    </row>
    <row r="23" spans="1:13" ht="25.5">
      <c r="A23" s="2">
        <f t="shared" si="0"/>
        <v>19</v>
      </c>
      <c r="B23" s="3">
        <v>46111.697233796294</v>
      </c>
      <c r="C23" s="2"/>
      <c r="D23" s="2"/>
      <c r="E23" s="2" t="s">
        <v>137</v>
      </c>
      <c r="F23" s="2"/>
      <c r="G23" s="2" t="s">
        <v>156</v>
      </c>
      <c r="H23" s="10" t="s">
        <v>144</v>
      </c>
      <c r="I23" s="4" t="s">
        <v>147</v>
      </c>
      <c r="J23" s="4" t="s">
        <v>148</v>
      </c>
      <c r="K23" s="5" t="s">
        <v>147</v>
      </c>
      <c r="L23" s="6" t="s">
        <v>151</v>
      </c>
      <c r="M23" s="2" t="s">
        <v>130</v>
      </c>
    </row>
    <row r="24" spans="1:13">
      <c r="A24" s="2">
        <f t="shared" si="0"/>
        <v>20</v>
      </c>
      <c r="B24" s="3">
        <v>46111.697233796294</v>
      </c>
      <c r="C24" s="2"/>
      <c r="D24" s="2"/>
      <c r="E24" s="2" t="s">
        <v>138</v>
      </c>
      <c r="F24" s="2"/>
      <c r="G24" s="2" t="s">
        <v>156</v>
      </c>
      <c r="H24" s="10" t="s">
        <v>145</v>
      </c>
      <c r="I24" s="4" t="s">
        <v>147</v>
      </c>
      <c r="J24" s="4" t="s">
        <v>148</v>
      </c>
      <c r="K24" s="5" t="s">
        <v>147</v>
      </c>
      <c r="L24" s="6" t="s">
        <v>152</v>
      </c>
      <c r="M24" s="2" t="s">
        <v>130</v>
      </c>
    </row>
    <row r="25" spans="1:13">
      <c r="A25" s="2">
        <f t="shared" si="0"/>
        <v>21</v>
      </c>
      <c r="B25" s="3">
        <v>46111.697233796294</v>
      </c>
      <c r="C25" s="2"/>
      <c r="D25" s="2"/>
      <c r="E25" s="2" t="s">
        <v>139</v>
      </c>
      <c r="F25" s="2"/>
      <c r="G25" s="2" t="s">
        <v>156</v>
      </c>
      <c r="H25" s="10" t="s">
        <v>146</v>
      </c>
      <c r="I25" s="4" t="s">
        <v>153</v>
      </c>
      <c r="J25" s="4" t="s">
        <v>148</v>
      </c>
      <c r="K25" s="5" t="s">
        <v>154</v>
      </c>
      <c r="L25" s="6" t="s">
        <v>149</v>
      </c>
      <c r="M25" s="2" t="s">
        <v>130</v>
      </c>
    </row>
    <row r="26" spans="1:13">
      <c r="A26" s="2">
        <f t="shared" si="0"/>
        <v>22</v>
      </c>
      <c r="B26" s="3">
        <v>46111.697233796294</v>
      </c>
      <c r="C26" s="2"/>
      <c r="D26" s="2"/>
      <c r="E26" s="2" t="s">
        <v>140</v>
      </c>
      <c r="F26" s="2"/>
      <c r="G26" s="2"/>
      <c r="H26" s="2"/>
      <c r="I26" s="4"/>
      <c r="J26" s="4"/>
      <c r="K26" s="5"/>
      <c r="L26" s="6"/>
      <c r="M26" s="2" t="s">
        <v>130</v>
      </c>
    </row>
    <row r="27" spans="1:13" ht="21">
      <c r="M27" s="11" t="s">
        <v>141</v>
      </c>
    </row>
  </sheetData>
  <mergeCells count="3">
    <mergeCell ref="B1:M1"/>
    <mergeCell ref="K4:L4"/>
    <mergeCell ref="E2:L2"/>
  </mergeCells>
  <pageMargins left="0.25" right="0.25" top="0.75" bottom="0.75" header="0.5" footer="0.5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2026-05-02T11:25:34Z</dcterms:created>
  <dcterms:modified xsi:type="dcterms:W3CDTF">2026-05-02T14:12:59Z</dcterms:modified>
</cp:coreProperties>
</file>
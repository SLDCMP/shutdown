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Sheet0!$A$1:$M$38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9" i="1" l="1"/>
  <c r="A40" i="1" s="1"/>
  <c r="A41" i="1" s="1"/>
  <c r="A42" i="1" s="1"/>
  <c r="A43" i="1" s="1"/>
  <c r="A7" i="1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6" i="1"/>
</calcChain>
</file>

<file path=xl/sharedStrings.xml><?xml version="1.0" encoding="utf-8"?>
<sst xmlns="http://schemas.openxmlformats.org/spreadsheetml/2006/main" count="399" uniqueCount="263">
  <si>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</si>
  <si>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</si>
  <si>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</si>
  <si>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</si>
  <si>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</si>
  <si>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</si>
  <si>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</si>
  <si>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</si>
  <si>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</si>
  <si>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</si>
  <si>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</si>
  <si>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</si>
  <si>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</si>
  <si>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</si>
  <si>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</si>
  <si>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</si>
  <si>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</si>
  <si>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MR2512/0155</t>
  </si>
  <si>
    <t>220KV_220 kV Amarkantak-Sidhi Circuit</t>
  </si>
  <si>
    <t>220KV_AMARKANTAK</t>
  </si>
  <si>
    <t>NON-OCCM-MP</t>
  </si>
  <si>
    <t>F/o disc stringing replacement &amp; other line maint.</t>
  </si>
  <si>
    <t>10-12-2025 10:00:00</t>
  </si>
  <si>
    <t>10-12-2025 17:00:00</t>
  </si>
  <si>
    <t>Jitendra Tiwari</t>
  </si>
  <si>
    <t>9425805298</t>
  </si>
  <si>
    <t>MR2512/0153</t>
  </si>
  <si>
    <t>132KV_63 MVA BBL Xmer</t>
  </si>
  <si>
    <t>132KV_AMARPATAN</t>
  </si>
  <si>
    <t>post monsoon maintenance</t>
  </si>
  <si>
    <t>Arun Kumar</t>
  </si>
  <si>
    <t>9131207339</t>
  </si>
  <si>
    <t>MR2512/0171</t>
  </si>
  <si>
    <t>400KV_400KV Aux. Bus</t>
  </si>
  <si>
    <t>400KV_BADNAWAR</t>
  </si>
  <si>
    <t>For Connecting 400KV Aux Bus for newly 500MVA ICT</t>
  </si>
  <si>
    <t>10-12-2025 12:00:00</t>
  </si>
  <si>
    <t>10-12-2025 18:00:00</t>
  </si>
  <si>
    <t>Er. Abhishek Verma</t>
  </si>
  <si>
    <t>9340855901</t>
  </si>
  <si>
    <t>Daily</t>
  </si>
  <si>
    <t>220KV_220 KV TRANSFER BAY</t>
  </si>
  <si>
    <t>220KV_BAIRAGARH</t>
  </si>
  <si>
    <t>FOR CHECKING THE HEALTHINESS OF 220 KV TR. BAY</t>
  </si>
  <si>
    <t>10-12-2025 11:00:00</t>
  </si>
  <si>
    <t>10-12-2025 14:00:00</t>
  </si>
  <si>
    <t>AMBARISH SHRIPAD JOSHI</t>
  </si>
  <si>
    <t>7587951085</t>
  </si>
  <si>
    <t>MR2512/0160</t>
  </si>
  <si>
    <t>MR2512/0167</t>
  </si>
  <si>
    <t>220KV_220KV Barwaha- Indore-I Feeder</t>
  </si>
  <si>
    <t>220KV_BARWAHA</t>
  </si>
  <si>
    <t>shutdown- Defective TCSR relay replacement &amp; Testi</t>
  </si>
  <si>
    <t>Er. Imran Beg</t>
  </si>
  <si>
    <t>9425805200</t>
  </si>
  <si>
    <t>220KV_220kV Bhopal-Ganjbasoda ckt</t>
  </si>
  <si>
    <t>400KV_BHOPAL4</t>
  </si>
  <si>
    <t>20-12-2025 18:00:00</t>
  </si>
  <si>
    <t>Rajkumar Bhusare</t>
  </si>
  <si>
    <t>9425820042</t>
  </si>
  <si>
    <t>MR2511/0587</t>
  </si>
  <si>
    <t>For 35 year old disc insulator replace.work.</t>
  </si>
  <si>
    <t>28-11-2025 09:00:00</t>
  </si>
  <si>
    <t>MR2512/0152</t>
  </si>
  <si>
    <t>Continuous</t>
  </si>
  <si>
    <t>400KV_50MVAR Bus Reactor (BHEL)</t>
  </si>
  <si>
    <t>400KV_BINA4</t>
  </si>
  <si>
    <t>Main CB and Tie CB C&amp;Relay Panel Replacement</t>
  </si>
  <si>
    <t>17-12-2025 17:00:00</t>
  </si>
  <si>
    <t>Mr.P.N.Namdeo</t>
  </si>
  <si>
    <t>7587951092</t>
  </si>
  <si>
    <t>MR2512/0156</t>
  </si>
  <si>
    <t>132KV_132 kV Shahdol-Birsinghpur Circuit II</t>
  </si>
  <si>
    <t>220KV_BIRSINGHPUR</t>
  </si>
  <si>
    <t>For Jumper cone tightening &amp; other line maint.</t>
  </si>
  <si>
    <t>TOWER STRENGTHENING WORK</t>
  </si>
  <si>
    <t>08-12-2025 09:00:00</t>
  </si>
  <si>
    <t>13-12-2025 18:00:00</t>
  </si>
  <si>
    <t>M.M. BAIG</t>
  </si>
  <si>
    <t>9425805067</t>
  </si>
  <si>
    <t>MR2512/0168</t>
  </si>
  <si>
    <t>220KV_220 KV BUS TIA</t>
  </si>
  <si>
    <t>220KV_DEWAS</t>
  </si>
  <si>
    <t>NON-OCCM-WR</t>
  </si>
  <si>
    <t>CT TAN DELTA MEASURE</t>
  </si>
  <si>
    <t>10-12-2025 11:30:00</t>
  </si>
  <si>
    <t>A.K. JOSHI</t>
  </si>
  <si>
    <t>9424887657</t>
  </si>
  <si>
    <t>MR2512/0154</t>
  </si>
  <si>
    <t>220KV_160 MVA TRANSFORMER -1 MAKE BBL</t>
  </si>
  <si>
    <t>220KV_INDORE-II (JETPURA)</t>
  </si>
  <si>
    <t>POSTMONSSON MAINTENANCE AND TESTING WORK</t>
  </si>
  <si>
    <t>DEEPAK GUPTA</t>
  </si>
  <si>
    <t>9425803845</t>
  </si>
  <si>
    <t>400KV_KATNI4</t>
  </si>
  <si>
    <t>OCCM-MP</t>
  </si>
  <si>
    <t>400KV_400KV KATNI - DAMOH LINE</t>
  </si>
  <si>
    <t>220KV_220KV KATNI - DAMOH LINE</t>
  </si>
  <si>
    <t>MR2510/0726</t>
  </si>
  <si>
    <t>MR2510/0735</t>
  </si>
  <si>
    <t>M.M.BAIG</t>
  </si>
  <si>
    <t>MR2512/0170</t>
  </si>
  <si>
    <t>400KV_315MVA BHEL TRANSFORMER</t>
  </si>
  <si>
    <t>FOR POSTMONSOON MAINTENANCE</t>
  </si>
  <si>
    <t>SK CHATURVEDI</t>
  </si>
  <si>
    <t>9425806938</t>
  </si>
  <si>
    <t>MR2512/0128</t>
  </si>
  <si>
    <t>132KV_132kV kirnapur Dongardh Line</t>
  </si>
  <si>
    <t>400KV_KIRNAPUR</t>
  </si>
  <si>
    <t>FO Disc Replacement Work</t>
  </si>
  <si>
    <t>10-12-2025 09:00:00</t>
  </si>
  <si>
    <t>S.K Bhaladhare</t>
  </si>
  <si>
    <t>9425807264</t>
  </si>
  <si>
    <t>MR2512/0162</t>
  </si>
  <si>
    <t>132KV_132kV Lalbarra Samnapur RTS</t>
  </si>
  <si>
    <t>132KV_LALBARRA</t>
  </si>
  <si>
    <t>Installation of ABT Meter at 132kV HV Side</t>
  </si>
  <si>
    <t>Amol Shende</t>
  </si>
  <si>
    <t>7587951136</t>
  </si>
  <si>
    <t>MR2512/0136</t>
  </si>
  <si>
    <t>132KV_63MVA X MER BBL</t>
  </si>
  <si>
    <t>132KV_MADHOTAL</t>
  </si>
  <si>
    <t>painting work</t>
  </si>
  <si>
    <t>09-12-2025 10:00:00</t>
  </si>
  <si>
    <t>13-12-2025 10:00:00</t>
  </si>
  <si>
    <t>Shree S.K. mehra</t>
  </si>
  <si>
    <t>9425801626</t>
  </si>
  <si>
    <t>MR2512/0165</t>
  </si>
  <si>
    <t>132KV_20 MVA GEC X-MER</t>
  </si>
  <si>
    <t>132KV_MANERI</t>
  </si>
  <si>
    <t>OLTC OIL TOPPING</t>
  </si>
  <si>
    <t>S.K JAIN</t>
  </si>
  <si>
    <t>9425385281</t>
  </si>
  <si>
    <t>MR2512/0157</t>
  </si>
  <si>
    <t>220KV_Nagra-Ratlam-II</t>
  </si>
  <si>
    <t>220KV_NAGRA</t>
  </si>
  <si>
    <t>Post monsoon maintenance work.</t>
  </si>
  <si>
    <t>Er. Nikhil Dunge</t>
  </si>
  <si>
    <t>9425801487</t>
  </si>
  <si>
    <t>MR2512/0161</t>
  </si>
  <si>
    <t>220KV_63 MVA X-MER NO -I MAKE BBL</t>
  </si>
  <si>
    <t>220KV_NARSINGHPUR</t>
  </si>
  <si>
    <t>Relay testing &amp; backup relay replacement work.</t>
  </si>
  <si>
    <t>Er k.K. Choure</t>
  </si>
  <si>
    <t>9425801357</t>
  </si>
  <si>
    <t>MR2512/0158</t>
  </si>
  <si>
    <t>220KV_220 KV Main Bus -I</t>
  </si>
  <si>
    <t>220KV_PITHAMPUR (SEC-III)</t>
  </si>
  <si>
    <t>220 KV BUS COUPLER BUS-1 RYB ISOLATOR REPLACMENT</t>
  </si>
  <si>
    <t>11-12-2025 17:00:00</t>
  </si>
  <si>
    <t>RAJU DAS BAIRAGI</t>
  </si>
  <si>
    <t>9425801532</t>
  </si>
  <si>
    <t>MR2511/0579</t>
  </si>
  <si>
    <t>400KV_400KV SSTPH-Pithampur ckt-2</t>
  </si>
  <si>
    <t>400KV_PITHAMPUR4</t>
  </si>
  <si>
    <t>Hotline permit for OPGW Stringing work</t>
  </si>
  <si>
    <t>02-12-2025 07:00:00</t>
  </si>
  <si>
    <t>12-12-2025 19:00:00</t>
  </si>
  <si>
    <t>Naresh Pandre</t>
  </si>
  <si>
    <t>9425806905</t>
  </si>
  <si>
    <t>MR2512/0169</t>
  </si>
  <si>
    <t>220KV_220kV TBC (Transfer bus coupler)</t>
  </si>
  <si>
    <t>CB CRM testing work</t>
  </si>
  <si>
    <t>10-12-2025 15:00:00</t>
  </si>
  <si>
    <t>Rajudas bairagi</t>
  </si>
  <si>
    <t>MR2511/0578</t>
  </si>
  <si>
    <t>400KV_400KV SSTPH Pithampur ckt-1</t>
  </si>
  <si>
    <t>hotline permit for OPGW Stringing work</t>
  </si>
  <si>
    <t>MR2510/0690</t>
  </si>
  <si>
    <t>400KV_Rajgarh (PGCIL) â¿¿ SSP Ckt-1</t>
  </si>
  <si>
    <t>400KV_RAJGARH-PG</t>
  </si>
  <si>
    <t>for old disc replacement Work</t>
  </si>
  <si>
    <t>01-12-2025 08:00:00</t>
  </si>
  <si>
    <t>15-12-2025 18:00:00</t>
  </si>
  <si>
    <t>V.R. Panadia</t>
  </si>
  <si>
    <t>9425802330</t>
  </si>
  <si>
    <t>MR2512/0139</t>
  </si>
  <si>
    <t>132KV_132 KV Rajghat BINA FEEDER</t>
  </si>
  <si>
    <t>132KV_RAJGHAT</t>
  </si>
  <si>
    <t>Retrofitting of numerical relay</t>
  </si>
  <si>
    <t>14-12-2025 18:00:00</t>
  </si>
  <si>
    <t>Rajghat hps MPPGCL CHANDERI</t>
  </si>
  <si>
    <t>9630685929</t>
  </si>
  <si>
    <t>MR2512/0041</t>
  </si>
  <si>
    <t>220KV_220  kv Satna (MPPTCL)â¿¿ Kotar  line</t>
  </si>
  <si>
    <t>220KV_SATNA</t>
  </si>
  <si>
    <t>Double  fitting work</t>
  </si>
  <si>
    <t>03-12-2025 09:00:00</t>
  </si>
  <si>
    <t>Mr.R.K.Prajapati</t>
  </si>
  <si>
    <t>9407070182</t>
  </si>
  <si>
    <t>MR2511/0385</t>
  </si>
  <si>
    <t>400KV_400 KV SARNI-SEONI</t>
  </si>
  <si>
    <t>400KV_SATPURA TPS</t>
  </si>
  <si>
    <t>For Ruutine testing, genral checking &amp; maintenance</t>
  </si>
  <si>
    <t>Yashwant Warathe</t>
  </si>
  <si>
    <t>9425611046</t>
  </si>
  <si>
    <t>MR2512/0116</t>
  </si>
  <si>
    <t>220KV_220KV Station Transformer-4</t>
  </si>
  <si>
    <t>for routine testing general checking &amp; maintenance</t>
  </si>
  <si>
    <t>YASHWANT WARATHE</t>
  </si>
  <si>
    <t>MR2512/0113</t>
  </si>
  <si>
    <t>400KV_400KV SARNI -ASHTA LINE-II</t>
  </si>
  <si>
    <t>MR2511/0484</t>
  </si>
  <si>
    <t>400KV_SARNI INDIRASAGAR LINE</t>
  </si>
  <si>
    <t>OPGW STRINGING WORK</t>
  </si>
  <si>
    <t>25-11-2025 07:00:00</t>
  </si>
  <si>
    <t>25-12-2025 19:00:00</t>
  </si>
  <si>
    <t>SHIV KUMAR</t>
  </si>
  <si>
    <t>9425806917</t>
  </si>
  <si>
    <t>MR2511/0557</t>
  </si>
  <si>
    <t>400KV_400 KV Katni Ckt-2</t>
  </si>
  <si>
    <t>400KV_SGTPS</t>
  </si>
  <si>
    <t>Third party audit of DPR and DR</t>
  </si>
  <si>
    <t>Pramod Mishra</t>
  </si>
  <si>
    <t>8989973149</t>
  </si>
  <si>
    <t>MR2512/0166</t>
  </si>
  <si>
    <t>132KV_132kV Rewa - Jhinna Ckt</t>
  </si>
  <si>
    <t>220KV_SIDHI</t>
  </si>
  <si>
    <t>Tension Tower Disc String Replacement Work.</t>
  </si>
  <si>
    <t>G.L Sahu</t>
  </si>
  <si>
    <t>9425805102</t>
  </si>
  <si>
    <t>MR2512/0163</t>
  </si>
  <si>
    <t>132KV_50MVA TAL X-mer</t>
  </si>
  <si>
    <t>132KV_WAIDHAN</t>
  </si>
  <si>
    <t>for post monsoon maintenance&amp;testing work</t>
  </si>
  <si>
    <t>R.B. Singh</t>
  </si>
  <si>
    <t>9907230394</t>
  </si>
  <si>
    <t>MR2512/0164</t>
  </si>
  <si>
    <t>132KV_132kv waraseoni -kirnapur bay I&amp;II</t>
  </si>
  <si>
    <t>132KV_WARASEONI</t>
  </si>
  <si>
    <t>Test charging fo</t>
  </si>
  <si>
    <t>Swati bisen ,assistant engineer</t>
  </si>
  <si>
    <t>9425803717</t>
  </si>
  <si>
    <t>ok</t>
  </si>
  <si>
    <t>o&amp;m consent required</t>
  </si>
  <si>
    <t>ok, through sub ld</t>
  </si>
  <si>
    <t>ok, through sub ld, no new charging to be allowed</t>
  </si>
  <si>
    <t>ok, line to be in service</t>
  </si>
  <si>
    <t>deferred by site</t>
  </si>
  <si>
    <t>deferred, not in WR list</t>
  </si>
  <si>
    <t>not being availed by site</t>
  </si>
  <si>
    <t>deferred due to s/d on 400KV KATNI - DAMOH LINE</t>
  </si>
  <si>
    <t>pls confirm last charging dates</t>
  </si>
  <si>
    <t>RTS consent required</t>
  </si>
  <si>
    <t>ABT consent required</t>
  </si>
  <si>
    <t>deferred due to high loading</t>
  </si>
  <si>
    <t>220KV-GWALIOR-MAHALGAON-1</t>
  </si>
  <si>
    <t>220KV-SATNA-MP-SATNA-3</t>
  </si>
  <si>
    <t>220KV-RAJGARH-DHAR-1</t>
  </si>
  <si>
    <t>132KV-KIRNAPUR-DONGARGARH-1</t>
  </si>
  <si>
    <t>220KV-ANNUPUR-KOTMIKALA-1</t>
  </si>
  <si>
    <t>MP_SLDC</t>
  </si>
  <si>
    <t>SLDC_CG</t>
  </si>
  <si>
    <t>FOR BAY MAINTENANCE &amp; TESTING WORK AT SUBSTASTION, REPLACEMENT OF DAMAGED CLAMPS/JUMPERS ETC.</t>
  </si>
  <si>
    <t>FOR LINE MAINTENANCE WORK i.e. CLEANING OF DISC INSULATORS DURING LINE PATROLLING , REPLACEMENT OF FLASHOVERED DISC INSULATORS, TREE BRANCH CUTTING ETC AT VARIOUS TOWER LOCATIONS</t>
  </si>
  <si>
    <t>Annual Maintenance Program (Bay equipment Maintenance) at 220 KV S/s Kotmikala.</t>
  </si>
  <si>
    <t>09:00</t>
  </si>
  <si>
    <t>10:00</t>
  </si>
  <si>
    <t>08:00</t>
  </si>
  <si>
    <t>17:00</t>
  </si>
  <si>
    <t>18:00</t>
  </si>
  <si>
    <t>16:00</t>
  </si>
  <si>
    <t>real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</si>
</sst>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6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165" fontId="4" fillId="4" borderId="5" xfId="0" applyNumberFormat="1" applyFont="1" applyFill="1" applyBorder="1" applyAlignment="1">
      <alignment horizontal="center" vertical="center"/>
    </xf>
    <xf numFmtId="0" fontId="0" fillId="4" borderId="5" xfId="0" applyFill="1" applyBorder="1"/>
    <xf numFmtId="0" fontId="5" fillId="4" borderId="5" xfId="0" applyFont="1" applyFill="1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3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G47" sqref="G47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44.85546875" customWidth="1"/>
    <col min="6" max="6" width="22" customWidth="1"/>
    <col min="7" max="7" width="16.140625" customWidth="1"/>
    <col min="8" max="8" width="54" customWidth="1"/>
    <col min="9" max="10" width="19.5703125" customWidth="1"/>
    <col min="11" max="11" width="27.28515625" customWidth="1"/>
    <col min="12" max="12" width="12" customWidth="1"/>
    <col min="13" max="13" width="68.5703125" customWidth="1"/>
  </cols>
  <sheetData>
    <row r="1" spans="1:13" ht="43.7" customHeight="1" x14ac:dyDescent="0.25">
      <c r="A1" s="1"/>
      <c r="B1" s="10" t="s">
        <v>0</v>
      </c>
      <c r="C1" s="11"/>
      <c r="D1" s="11"/>
      <c r="E1" s="11"/>
      <c r="F1" s="11"/>
      <c r="G1" s="11"/>
      <c r="H1" s="11"/>
      <c r="I1" s="11"/>
      <c r="J1" s="11"/>
      <c r="K1" s="11"/>
      <c r="L1" s="11"/>
      <c r="M1" s="12"/>
    </row>
    <row r="2" spans="1:13" ht="42" customHeight="1" x14ac:dyDescent="0.25">
      <c r="A2" s="1" t="s">
        <v>1</v>
      </c>
      <c r="B2" s="2">
        <v>46001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1"/>
      <c r="H3" s="1"/>
      <c r="I3" s="1"/>
      <c r="J3" s="1"/>
      <c r="K3" s="1"/>
      <c r="L3" s="1"/>
      <c r="M3" s="1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3" t="s">
        <v>15</v>
      </c>
      <c r="L4" s="12"/>
      <c r="M4" s="3" t="s">
        <v>16</v>
      </c>
    </row>
    <row r="5" spans="1:13" ht="34.5" customHeight="1" x14ac:dyDescent="0.25">
      <c r="A5" s="4">
        <v>1</v>
      </c>
      <c r="B5" s="5">
        <v>46000.558391203704</v>
      </c>
      <c r="C5" s="4" t="s">
        <v>17</v>
      </c>
      <c r="D5" s="4"/>
      <c r="E5" s="4" t="s">
        <v>18</v>
      </c>
      <c r="F5" s="4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4" t="s">
        <v>233</v>
      </c>
    </row>
    <row r="6" spans="1:13" ht="34.5" customHeight="1" x14ac:dyDescent="0.25">
      <c r="A6" s="4">
        <f>A5+1</f>
        <v>2</v>
      </c>
      <c r="B6" s="5">
        <v>46000.511979166666</v>
      </c>
      <c r="C6" s="4" t="s">
        <v>26</v>
      </c>
      <c r="D6" s="4"/>
      <c r="E6" s="4" t="s">
        <v>27</v>
      </c>
      <c r="F6" s="4" t="s">
        <v>28</v>
      </c>
      <c r="G6" s="4" t="s">
        <v>20</v>
      </c>
      <c r="H6" s="4" t="s">
        <v>29</v>
      </c>
      <c r="I6" s="6" t="s">
        <v>22</v>
      </c>
      <c r="J6" s="6" t="s">
        <v>23</v>
      </c>
      <c r="K6" s="7" t="s">
        <v>30</v>
      </c>
      <c r="L6" s="8" t="s">
        <v>31</v>
      </c>
      <c r="M6" s="4" t="s">
        <v>234</v>
      </c>
    </row>
    <row r="7" spans="1:13" ht="34.5" customHeight="1" x14ac:dyDescent="0.25">
      <c r="A7" s="4">
        <f t="shared" ref="A7:A43" si="0">A6+1</f>
        <v>3</v>
      </c>
      <c r="B7" s="5">
        <v>46000.707268518519</v>
      </c>
      <c r="C7" s="4" t="s">
        <v>32</v>
      </c>
      <c r="D7" s="4"/>
      <c r="E7" s="9" t="s">
        <v>33</v>
      </c>
      <c r="F7" s="4" t="s">
        <v>34</v>
      </c>
      <c r="G7" s="4" t="s">
        <v>20</v>
      </c>
      <c r="H7" s="4" t="s">
        <v>35</v>
      </c>
      <c r="I7" s="6" t="s">
        <v>36</v>
      </c>
      <c r="J7" s="6" t="s">
        <v>37</v>
      </c>
      <c r="K7" s="7" t="s">
        <v>38</v>
      </c>
      <c r="L7" s="8" t="s">
        <v>39</v>
      </c>
      <c r="M7" s="4" t="s">
        <v>236</v>
      </c>
    </row>
    <row r="8" spans="1:13" ht="34.5" customHeight="1" x14ac:dyDescent="0.25">
      <c r="A8" s="4">
        <f t="shared" si="0"/>
        <v>4</v>
      </c>
      <c r="B8" s="5">
        <v>46000.571192129632</v>
      </c>
      <c r="C8" s="4" t="s">
        <v>48</v>
      </c>
      <c r="D8" s="4"/>
      <c r="E8" s="4" t="s">
        <v>41</v>
      </c>
      <c r="F8" s="4" t="s">
        <v>42</v>
      </c>
      <c r="G8" s="4" t="s">
        <v>20</v>
      </c>
      <c r="H8" s="4" t="s">
        <v>43</v>
      </c>
      <c r="I8" s="6" t="s">
        <v>44</v>
      </c>
      <c r="J8" s="6" t="s">
        <v>45</v>
      </c>
      <c r="K8" s="7" t="s">
        <v>46</v>
      </c>
      <c r="L8" s="8" t="s">
        <v>47</v>
      </c>
      <c r="M8" s="4" t="s">
        <v>235</v>
      </c>
    </row>
    <row r="9" spans="1:13" ht="34.5" customHeight="1" x14ac:dyDescent="0.25">
      <c r="A9" s="4">
        <f t="shared" si="0"/>
        <v>5</v>
      </c>
      <c r="B9" s="5">
        <v>46000.6481712963</v>
      </c>
      <c r="C9" s="4" t="s">
        <v>49</v>
      </c>
      <c r="D9" s="4"/>
      <c r="E9" s="4" t="s">
        <v>50</v>
      </c>
      <c r="F9" s="4" t="s">
        <v>51</v>
      </c>
      <c r="G9" s="4" t="s">
        <v>20</v>
      </c>
      <c r="H9" s="4" t="s">
        <v>52</v>
      </c>
      <c r="I9" s="6" t="s">
        <v>22</v>
      </c>
      <c r="J9" s="6" t="s">
        <v>23</v>
      </c>
      <c r="K9" s="7" t="s">
        <v>53</v>
      </c>
      <c r="L9" s="8" t="s">
        <v>54</v>
      </c>
      <c r="M9" s="4" t="s">
        <v>235</v>
      </c>
    </row>
    <row r="10" spans="1:13" ht="34.5" customHeight="1" x14ac:dyDescent="0.25">
      <c r="A10" s="4">
        <f t="shared" si="0"/>
        <v>6</v>
      </c>
      <c r="B10" s="5">
        <v>45988.581759259258</v>
      </c>
      <c r="C10" s="4" t="s">
        <v>60</v>
      </c>
      <c r="D10" s="4" t="s">
        <v>40</v>
      </c>
      <c r="E10" s="4" t="s">
        <v>55</v>
      </c>
      <c r="F10" s="4" t="s">
        <v>56</v>
      </c>
      <c r="G10" s="4" t="s">
        <v>20</v>
      </c>
      <c r="H10" s="4" t="s">
        <v>61</v>
      </c>
      <c r="I10" s="6" t="s">
        <v>62</v>
      </c>
      <c r="J10" s="6" t="s">
        <v>57</v>
      </c>
      <c r="K10" s="7" t="s">
        <v>58</v>
      </c>
      <c r="L10" s="8" t="s">
        <v>59</v>
      </c>
      <c r="M10" s="4" t="s">
        <v>235</v>
      </c>
    </row>
    <row r="11" spans="1:13" ht="34.5" customHeight="1" x14ac:dyDescent="0.25">
      <c r="A11" s="4">
        <f t="shared" si="0"/>
        <v>7</v>
      </c>
      <c r="B11" s="5">
        <v>46000.478981481479</v>
      </c>
      <c r="C11" s="4" t="s">
        <v>63</v>
      </c>
      <c r="D11" s="4" t="s">
        <v>64</v>
      </c>
      <c r="E11" s="4" t="s">
        <v>65</v>
      </c>
      <c r="F11" s="4" t="s">
        <v>66</v>
      </c>
      <c r="G11" s="4" t="s">
        <v>20</v>
      </c>
      <c r="H11" s="4" t="s">
        <v>67</v>
      </c>
      <c r="I11" s="6" t="s">
        <v>22</v>
      </c>
      <c r="J11" s="6" t="s">
        <v>68</v>
      </c>
      <c r="K11" s="7" t="s">
        <v>69</v>
      </c>
      <c r="L11" s="8" t="s">
        <v>70</v>
      </c>
      <c r="M11" s="4" t="s">
        <v>64</v>
      </c>
    </row>
    <row r="12" spans="1:13" ht="34.5" customHeight="1" x14ac:dyDescent="0.25">
      <c r="A12" s="4">
        <f t="shared" si="0"/>
        <v>8</v>
      </c>
      <c r="B12" s="5">
        <v>46000.560428240744</v>
      </c>
      <c r="C12" s="4" t="s">
        <v>71</v>
      </c>
      <c r="D12" s="4"/>
      <c r="E12" s="4" t="s">
        <v>72</v>
      </c>
      <c r="F12" s="4" t="s">
        <v>73</v>
      </c>
      <c r="G12" s="4" t="s">
        <v>20</v>
      </c>
      <c r="H12" s="4" t="s">
        <v>74</v>
      </c>
      <c r="I12" s="6" t="s">
        <v>22</v>
      </c>
      <c r="J12" s="6" t="s">
        <v>23</v>
      </c>
      <c r="K12" s="7" t="s">
        <v>24</v>
      </c>
      <c r="L12" s="8" t="s">
        <v>25</v>
      </c>
      <c r="M12" s="4" t="s">
        <v>233</v>
      </c>
    </row>
    <row r="13" spans="1:13" ht="34.5" customHeight="1" x14ac:dyDescent="0.25">
      <c r="A13" s="4">
        <f t="shared" si="0"/>
        <v>9</v>
      </c>
      <c r="B13" s="5">
        <v>46000.656597222223</v>
      </c>
      <c r="C13" s="4" t="s">
        <v>80</v>
      </c>
      <c r="D13" s="4"/>
      <c r="E13" s="4" t="s">
        <v>81</v>
      </c>
      <c r="F13" s="4" t="s">
        <v>82</v>
      </c>
      <c r="G13" s="4" t="s">
        <v>83</v>
      </c>
      <c r="H13" s="4" t="s">
        <v>84</v>
      </c>
      <c r="I13" s="6" t="s">
        <v>22</v>
      </c>
      <c r="J13" s="6" t="s">
        <v>85</v>
      </c>
      <c r="K13" s="7" t="s">
        <v>86</v>
      </c>
      <c r="L13" s="8" t="s">
        <v>87</v>
      </c>
      <c r="M13" s="4" t="s">
        <v>235</v>
      </c>
    </row>
    <row r="14" spans="1:13" ht="34.5" customHeight="1" x14ac:dyDescent="0.25">
      <c r="A14" s="4">
        <f t="shared" si="0"/>
        <v>10</v>
      </c>
      <c r="B14" s="5">
        <v>46000.557106481479</v>
      </c>
      <c r="C14" s="4" t="s">
        <v>88</v>
      </c>
      <c r="D14" s="4"/>
      <c r="E14" s="4" t="s">
        <v>89</v>
      </c>
      <c r="F14" s="4" t="s">
        <v>90</v>
      </c>
      <c r="G14" s="4" t="s">
        <v>83</v>
      </c>
      <c r="H14" s="4" t="s">
        <v>91</v>
      </c>
      <c r="I14" s="6" t="s">
        <v>22</v>
      </c>
      <c r="J14" s="6" t="s">
        <v>23</v>
      </c>
      <c r="K14" s="7" t="s">
        <v>92</v>
      </c>
      <c r="L14" s="8" t="s">
        <v>93</v>
      </c>
      <c r="M14" s="4" t="s">
        <v>233</v>
      </c>
    </row>
    <row r="15" spans="1:13" ht="34.5" customHeight="1" x14ac:dyDescent="0.25">
      <c r="A15" s="4">
        <f t="shared" si="0"/>
        <v>11</v>
      </c>
      <c r="B15" s="5">
        <v>45961.717812499999</v>
      </c>
      <c r="C15" s="4" t="s">
        <v>98</v>
      </c>
      <c r="D15" s="4" t="s">
        <v>64</v>
      </c>
      <c r="E15" s="4" t="s">
        <v>96</v>
      </c>
      <c r="F15" s="4" t="s">
        <v>94</v>
      </c>
      <c r="G15" s="4" t="s">
        <v>95</v>
      </c>
      <c r="H15" s="4" t="s">
        <v>75</v>
      </c>
      <c r="I15" s="6" t="s">
        <v>76</v>
      </c>
      <c r="J15" s="6" t="s">
        <v>77</v>
      </c>
      <c r="K15" s="7" t="s">
        <v>78</v>
      </c>
      <c r="L15" s="8" t="s">
        <v>79</v>
      </c>
      <c r="M15" s="4" t="s">
        <v>64</v>
      </c>
    </row>
    <row r="16" spans="1:13" ht="34.5" customHeight="1" x14ac:dyDescent="0.25">
      <c r="A16" s="4">
        <f t="shared" si="0"/>
        <v>12</v>
      </c>
      <c r="B16" s="5">
        <v>45961.743993055556</v>
      </c>
      <c r="C16" s="4" t="s">
        <v>99</v>
      </c>
      <c r="D16" s="4" t="s">
        <v>64</v>
      </c>
      <c r="E16" s="4" t="s">
        <v>97</v>
      </c>
      <c r="F16" s="4" t="s">
        <v>94</v>
      </c>
      <c r="G16" s="4" t="s">
        <v>20</v>
      </c>
      <c r="H16" s="4" t="s">
        <v>75</v>
      </c>
      <c r="I16" s="6" t="s">
        <v>76</v>
      </c>
      <c r="J16" s="6" t="s">
        <v>77</v>
      </c>
      <c r="K16" s="7" t="s">
        <v>100</v>
      </c>
      <c r="L16" s="8" t="s">
        <v>79</v>
      </c>
      <c r="M16" s="4" t="s">
        <v>64</v>
      </c>
    </row>
    <row r="17" spans="1:13" ht="34.5" customHeight="1" x14ac:dyDescent="0.25">
      <c r="A17" s="4">
        <f t="shared" si="0"/>
        <v>13</v>
      </c>
      <c r="B17" s="5">
        <v>46000.683368055557</v>
      </c>
      <c r="C17" s="4" t="s">
        <v>101</v>
      </c>
      <c r="D17" s="4"/>
      <c r="E17" s="4" t="s">
        <v>102</v>
      </c>
      <c r="F17" s="4" t="s">
        <v>94</v>
      </c>
      <c r="G17" s="4" t="s">
        <v>20</v>
      </c>
      <c r="H17" s="4" t="s">
        <v>103</v>
      </c>
      <c r="I17" s="6" t="s">
        <v>22</v>
      </c>
      <c r="J17" s="6" t="s">
        <v>37</v>
      </c>
      <c r="K17" s="7" t="s">
        <v>104</v>
      </c>
      <c r="L17" s="8" t="s">
        <v>105</v>
      </c>
      <c r="M17" s="4" t="s">
        <v>245</v>
      </c>
    </row>
    <row r="18" spans="1:13" ht="34.5" customHeight="1" x14ac:dyDescent="0.25">
      <c r="A18" s="4">
        <f t="shared" si="0"/>
        <v>14</v>
      </c>
      <c r="B18" s="5">
        <v>45999.520972222221</v>
      </c>
      <c r="C18" s="4" t="s">
        <v>106</v>
      </c>
      <c r="D18" s="4"/>
      <c r="E18" s="4" t="s">
        <v>107</v>
      </c>
      <c r="F18" s="4" t="s">
        <v>108</v>
      </c>
      <c r="G18" s="4" t="s">
        <v>95</v>
      </c>
      <c r="H18" s="4" t="s">
        <v>109</v>
      </c>
      <c r="I18" s="6" t="s">
        <v>110</v>
      </c>
      <c r="J18" s="6" t="s">
        <v>37</v>
      </c>
      <c r="K18" s="7" t="s">
        <v>111</v>
      </c>
      <c r="L18" s="8" t="s">
        <v>112</v>
      </c>
      <c r="M18" s="4" t="s">
        <v>233</v>
      </c>
    </row>
    <row r="19" spans="1:13" ht="34.5" customHeight="1" x14ac:dyDescent="0.25">
      <c r="A19" s="4">
        <f t="shared" si="0"/>
        <v>15</v>
      </c>
      <c r="B19" s="5">
        <v>46000.608761574076</v>
      </c>
      <c r="C19" s="4" t="s">
        <v>113</v>
      </c>
      <c r="D19" s="4"/>
      <c r="E19" s="4" t="s">
        <v>114</v>
      </c>
      <c r="F19" s="4" t="s">
        <v>115</v>
      </c>
      <c r="G19" s="4" t="s">
        <v>20</v>
      </c>
      <c r="H19" s="4" t="s">
        <v>116</v>
      </c>
      <c r="I19" s="6" t="s">
        <v>44</v>
      </c>
      <c r="J19" s="6" t="s">
        <v>23</v>
      </c>
      <c r="K19" s="7" t="s">
        <v>117</v>
      </c>
      <c r="L19" s="8" t="s">
        <v>118</v>
      </c>
      <c r="M19" s="4" t="s">
        <v>244</v>
      </c>
    </row>
    <row r="20" spans="1:13" ht="34.5" customHeight="1" x14ac:dyDescent="0.25">
      <c r="A20" s="4">
        <f t="shared" si="0"/>
        <v>16</v>
      </c>
      <c r="B20" s="5">
        <v>45999.665462962963</v>
      </c>
      <c r="C20" s="4" t="s">
        <v>119</v>
      </c>
      <c r="D20" s="4" t="s">
        <v>40</v>
      </c>
      <c r="E20" s="4" t="s">
        <v>120</v>
      </c>
      <c r="F20" s="4" t="s">
        <v>121</v>
      </c>
      <c r="G20" s="4" t="s">
        <v>20</v>
      </c>
      <c r="H20" s="4" t="s">
        <v>122</v>
      </c>
      <c r="I20" s="6" t="s">
        <v>123</v>
      </c>
      <c r="J20" s="6" t="s">
        <v>124</v>
      </c>
      <c r="K20" s="7" t="s">
        <v>125</v>
      </c>
      <c r="L20" s="8" t="s">
        <v>126</v>
      </c>
      <c r="M20" s="4" t="s">
        <v>233</v>
      </c>
    </row>
    <row r="21" spans="1:13" ht="34.5" customHeight="1" x14ac:dyDescent="0.25">
      <c r="A21" s="4">
        <f t="shared" si="0"/>
        <v>17</v>
      </c>
      <c r="B21" s="5">
        <v>46000.631782407407</v>
      </c>
      <c r="C21" s="4" t="s">
        <v>127</v>
      </c>
      <c r="D21" s="4"/>
      <c r="E21" s="4" t="s">
        <v>128</v>
      </c>
      <c r="F21" s="4" t="s">
        <v>129</v>
      </c>
      <c r="G21" s="4" t="s">
        <v>20</v>
      </c>
      <c r="H21" s="4" t="s">
        <v>130</v>
      </c>
      <c r="I21" s="6" t="s">
        <v>36</v>
      </c>
      <c r="J21" s="6" t="s">
        <v>45</v>
      </c>
      <c r="K21" s="7" t="s">
        <v>131</v>
      </c>
      <c r="L21" s="8" t="s">
        <v>132</v>
      </c>
      <c r="M21" s="4" t="s">
        <v>234</v>
      </c>
    </row>
    <row r="22" spans="1:13" ht="34.5" customHeight="1" x14ac:dyDescent="0.25">
      <c r="A22" s="4">
        <f t="shared" si="0"/>
        <v>18</v>
      </c>
      <c r="B22" s="5">
        <v>46000.563576388886</v>
      </c>
      <c r="C22" s="4" t="s">
        <v>133</v>
      </c>
      <c r="D22" s="4"/>
      <c r="E22" s="4" t="s">
        <v>134</v>
      </c>
      <c r="F22" s="4" t="s">
        <v>135</v>
      </c>
      <c r="G22" s="4" t="s">
        <v>20</v>
      </c>
      <c r="H22" s="4" t="s">
        <v>136</v>
      </c>
      <c r="I22" s="6" t="s">
        <v>22</v>
      </c>
      <c r="J22" s="6" t="s">
        <v>23</v>
      </c>
      <c r="K22" s="7" t="s">
        <v>137</v>
      </c>
      <c r="L22" s="8" t="s">
        <v>138</v>
      </c>
      <c r="M22" s="4" t="s">
        <v>235</v>
      </c>
    </row>
    <row r="23" spans="1:13" ht="34.5" customHeight="1" x14ac:dyDescent="0.25">
      <c r="A23" s="4">
        <f t="shared" si="0"/>
        <v>19</v>
      </c>
      <c r="B23" s="5">
        <v>46000.604756944442</v>
      </c>
      <c r="C23" s="4" t="s">
        <v>139</v>
      </c>
      <c r="D23" s="4"/>
      <c r="E23" s="4" t="s">
        <v>140</v>
      </c>
      <c r="F23" s="4" t="s">
        <v>141</v>
      </c>
      <c r="G23" s="4" t="s">
        <v>20</v>
      </c>
      <c r="H23" s="4" t="s">
        <v>142</v>
      </c>
      <c r="I23" s="6" t="s">
        <v>44</v>
      </c>
      <c r="J23" s="6" t="s">
        <v>23</v>
      </c>
      <c r="K23" s="7" t="s">
        <v>143</v>
      </c>
      <c r="L23" s="8" t="s">
        <v>144</v>
      </c>
      <c r="M23" s="4" t="s">
        <v>233</v>
      </c>
    </row>
    <row r="24" spans="1:13" ht="34.5" customHeight="1" x14ac:dyDescent="0.25">
      <c r="A24" s="4">
        <f t="shared" si="0"/>
        <v>20</v>
      </c>
      <c r="B24" s="5">
        <v>46000.564780092594</v>
      </c>
      <c r="C24" s="4" t="s">
        <v>145</v>
      </c>
      <c r="D24" s="4" t="s">
        <v>64</v>
      </c>
      <c r="E24" s="9" t="s">
        <v>146</v>
      </c>
      <c r="F24" s="4" t="s">
        <v>147</v>
      </c>
      <c r="G24" s="4" t="s">
        <v>20</v>
      </c>
      <c r="H24" s="4" t="s">
        <v>148</v>
      </c>
      <c r="I24" s="6" t="s">
        <v>22</v>
      </c>
      <c r="J24" s="6" t="s">
        <v>149</v>
      </c>
      <c r="K24" s="7" t="s">
        <v>150</v>
      </c>
      <c r="L24" s="8" t="s">
        <v>151</v>
      </c>
      <c r="M24" s="4" t="s">
        <v>235</v>
      </c>
    </row>
    <row r="25" spans="1:13" ht="34.5" customHeight="1" x14ac:dyDescent="0.25">
      <c r="A25" s="4">
        <f t="shared" si="0"/>
        <v>21</v>
      </c>
      <c r="B25" s="5">
        <v>45988.354861111111</v>
      </c>
      <c r="C25" s="4" t="s">
        <v>152</v>
      </c>
      <c r="D25" s="4" t="s">
        <v>40</v>
      </c>
      <c r="E25" s="4" t="s">
        <v>153</v>
      </c>
      <c r="F25" s="4" t="s">
        <v>154</v>
      </c>
      <c r="G25" s="4" t="s">
        <v>20</v>
      </c>
      <c r="H25" s="4" t="s">
        <v>155</v>
      </c>
      <c r="I25" s="6" t="s">
        <v>156</v>
      </c>
      <c r="J25" s="6" t="s">
        <v>157</v>
      </c>
      <c r="K25" s="7" t="s">
        <v>158</v>
      </c>
      <c r="L25" s="8" t="s">
        <v>159</v>
      </c>
      <c r="M25" s="4" t="s">
        <v>237</v>
      </c>
    </row>
    <row r="26" spans="1:13" ht="34.5" customHeight="1" x14ac:dyDescent="0.25">
      <c r="A26" s="4">
        <f t="shared" si="0"/>
        <v>22</v>
      </c>
      <c r="B26" s="5">
        <v>46000.679027777776</v>
      </c>
      <c r="C26" s="4" t="s">
        <v>160</v>
      </c>
      <c r="D26" s="4"/>
      <c r="E26" s="9" t="s">
        <v>161</v>
      </c>
      <c r="F26" s="4" t="s">
        <v>154</v>
      </c>
      <c r="G26" s="4" t="s">
        <v>20</v>
      </c>
      <c r="H26" s="4" t="s">
        <v>162</v>
      </c>
      <c r="I26" s="6" t="s">
        <v>22</v>
      </c>
      <c r="J26" s="6" t="s">
        <v>163</v>
      </c>
      <c r="K26" s="7" t="s">
        <v>164</v>
      </c>
      <c r="L26" s="8" t="s">
        <v>151</v>
      </c>
      <c r="M26" s="4" t="s">
        <v>235</v>
      </c>
    </row>
    <row r="27" spans="1:13" ht="34.5" customHeight="1" x14ac:dyDescent="0.25">
      <c r="A27" s="4">
        <f t="shared" si="0"/>
        <v>23</v>
      </c>
      <c r="B27" s="5">
        <v>45988.353136574071</v>
      </c>
      <c r="C27" s="4" t="s">
        <v>165</v>
      </c>
      <c r="D27" s="4" t="s">
        <v>40</v>
      </c>
      <c r="E27" s="4" t="s">
        <v>166</v>
      </c>
      <c r="F27" s="4" t="s">
        <v>154</v>
      </c>
      <c r="G27" s="4" t="s">
        <v>20</v>
      </c>
      <c r="H27" s="4" t="s">
        <v>167</v>
      </c>
      <c r="I27" s="6" t="s">
        <v>156</v>
      </c>
      <c r="J27" s="6" t="s">
        <v>157</v>
      </c>
      <c r="K27" s="7" t="s">
        <v>158</v>
      </c>
      <c r="L27" s="8" t="s">
        <v>159</v>
      </c>
      <c r="M27" s="4" t="s">
        <v>237</v>
      </c>
    </row>
    <row r="28" spans="1:13" ht="34.5" customHeight="1" x14ac:dyDescent="0.25">
      <c r="A28" s="4">
        <f t="shared" si="0"/>
        <v>24</v>
      </c>
      <c r="B28" s="5">
        <v>45960.566990740743</v>
      </c>
      <c r="C28" s="4" t="s">
        <v>168</v>
      </c>
      <c r="D28" s="4" t="s">
        <v>40</v>
      </c>
      <c r="E28" s="4" t="s">
        <v>169</v>
      </c>
      <c r="F28" s="4" t="s">
        <v>170</v>
      </c>
      <c r="G28" s="4" t="s">
        <v>20</v>
      </c>
      <c r="H28" s="4" t="s">
        <v>171</v>
      </c>
      <c r="I28" s="6" t="s">
        <v>172</v>
      </c>
      <c r="J28" s="6" t="s">
        <v>173</v>
      </c>
      <c r="K28" s="7" t="s">
        <v>174</v>
      </c>
      <c r="L28" s="8" t="s">
        <v>175</v>
      </c>
      <c r="M28" s="4" t="s">
        <v>238</v>
      </c>
    </row>
    <row r="29" spans="1:13" ht="34.5" customHeight="1" x14ac:dyDescent="0.25">
      <c r="A29" s="4">
        <f t="shared" si="0"/>
        <v>25</v>
      </c>
      <c r="B29" s="5">
        <v>45999.684027777781</v>
      </c>
      <c r="C29" s="4" t="s">
        <v>176</v>
      </c>
      <c r="D29" s="4" t="s">
        <v>64</v>
      </c>
      <c r="E29" s="4" t="s">
        <v>177</v>
      </c>
      <c r="F29" s="4" t="s">
        <v>178</v>
      </c>
      <c r="G29" s="4" t="s">
        <v>95</v>
      </c>
      <c r="H29" s="4" t="s">
        <v>179</v>
      </c>
      <c r="I29" s="6" t="s">
        <v>123</v>
      </c>
      <c r="J29" s="6" t="s">
        <v>180</v>
      </c>
      <c r="K29" s="7" t="s">
        <v>181</v>
      </c>
      <c r="L29" s="8" t="s">
        <v>182</v>
      </c>
      <c r="M29" s="4" t="s">
        <v>64</v>
      </c>
    </row>
    <row r="30" spans="1:13" ht="34.5" customHeight="1" x14ac:dyDescent="0.25">
      <c r="A30" s="4">
        <f t="shared" si="0"/>
        <v>26</v>
      </c>
      <c r="B30" s="5">
        <v>45993.564918981479</v>
      </c>
      <c r="C30" s="4" t="s">
        <v>183</v>
      </c>
      <c r="D30" s="4" t="s">
        <v>40</v>
      </c>
      <c r="E30" s="4" t="s">
        <v>184</v>
      </c>
      <c r="F30" s="4" t="s">
        <v>185</v>
      </c>
      <c r="G30" s="4" t="s">
        <v>20</v>
      </c>
      <c r="H30" s="4" t="s">
        <v>186</v>
      </c>
      <c r="I30" s="6" t="s">
        <v>187</v>
      </c>
      <c r="J30" s="6" t="s">
        <v>23</v>
      </c>
      <c r="K30" s="7" t="s">
        <v>188</v>
      </c>
      <c r="L30" s="8" t="s">
        <v>189</v>
      </c>
      <c r="M30" s="4" t="s">
        <v>233</v>
      </c>
    </row>
    <row r="31" spans="1:13" ht="34.5" customHeight="1" x14ac:dyDescent="0.25">
      <c r="A31" s="4">
        <f t="shared" si="0"/>
        <v>27</v>
      </c>
      <c r="B31" s="5">
        <v>45978.715694444443</v>
      </c>
      <c r="C31" s="4" t="s">
        <v>190</v>
      </c>
      <c r="D31" s="4"/>
      <c r="E31" s="4" t="s">
        <v>191</v>
      </c>
      <c r="F31" s="4" t="s">
        <v>192</v>
      </c>
      <c r="G31" s="4" t="s">
        <v>20</v>
      </c>
      <c r="H31" s="4" t="s">
        <v>193</v>
      </c>
      <c r="I31" s="6" t="s">
        <v>110</v>
      </c>
      <c r="J31" s="6" t="s">
        <v>37</v>
      </c>
      <c r="K31" s="7" t="s">
        <v>194</v>
      </c>
      <c r="L31" s="8" t="s">
        <v>195</v>
      </c>
      <c r="M31" s="4" t="s">
        <v>239</v>
      </c>
    </row>
    <row r="32" spans="1:13" ht="34.5" customHeight="1" x14ac:dyDescent="0.25">
      <c r="A32" s="4">
        <f t="shared" si="0"/>
        <v>28</v>
      </c>
      <c r="B32" s="5">
        <v>45997.713958333334</v>
      </c>
      <c r="C32" s="4" t="s">
        <v>196</v>
      </c>
      <c r="D32" s="4"/>
      <c r="E32" s="4" t="s">
        <v>197</v>
      </c>
      <c r="F32" s="4" t="s">
        <v>192</v>
      </c>
      <c r="G32" s="4" t="s">
        <v>20</v>
      </c>
      <c r="H32" s="4" t="s">
        <v>198</v>
      </c>
      <c r="I32" s="6" t="s">
        <v>110</v>
      </c>
      <c r="J32" s="6" t="s">
        <v>37</v>
      </c>
      <c r="K32" s="7" t="s">
        <v>199</v>
      </c>
      <c r="L32" s="8" t="s">
        <v>195</v>
      </c>
      <c r="M32" s="4" t="s">
        <v>243</v>
      </c>
    </row>
    <row r="33" spans="1:13" ht="34.5" customHeight="1" x14ac:dyDescent="0.25">
      <c r="A33" s="4">
        <f t="shared" si="0"/>
        <v>29</v>
      </c>
      <c r="B33" s="5">
        <v>45997.707708333335</v>
      </c>
      <c r="C33" s="4" t="s">
        <v>200</v>
      </c>
      <c r="D33" s="4"/>
      <c r="E33" s="4" t="s">
        <v>201</v>
      </c>
      <c r="F33" s="4" t="s">
        <v>192</v>
      </c>
      <c r="G33" s="4" t="s">
        <v>20</v>
      </c>
      <c r="H33" s="4" t="s">
        <v>198</v>
      </c>
      <c r="I33" s="6" t="s">
        <v>110</v>
      </c>
      <c r="J33" s="6" t="s">
        <v>37</v>
      </c>
      <c r="K33" s="7" t="s">
        <v>199</v>
      </c>
      <c r="L33" s="8" t="s">
        <v>195</v>
      </c>
      <c r="M33" s="4" t="s">
        <v>233</v>
      </c>
    </row>
    <row r="34" spans="1:13" ht="34.5" customHeight="1" x14ac:dyDescent="0.25">
      <c r="A34" s="14">
        <f t="shared" si="0"/>
        <v>30</v>
      </c>
      <c r="B34" s="15">
        <v>45982.62771990741</v>
      </c>
      <c r="C34" s="14" t="s">
        <v>202</v>
      </c>
      <c r="D34" s="14" t="s">
        <v>40</v>
      </c>
      <c r="E34" s="14" t="s">
        <v>203</v>
      </c>
      <c r="F34" s="14" t="s">
        <v>192</v>
      </c>
      <c r="G34" s="14" t="s">
        <v>20</v>
      </c>
      <c r="H34" s="14" t="s">
        <v>204</v>
      </c>
      <c r="I34" s="16" t="s">
        <v>205</v>
      </c>
      <c r="J34" s="16" t="s">
        <v>206</v>
      </c>
      <c r="K34" s="17" t="s">
        <v>207</v>
      </c>
      <c r="L34" s="18" t="s">
        <v>208</v>
      </c>
      <c r="M34" s="14" t="s">
        <v>240</v>
      </c>
    </row>
    <row r="35" spans="1:13" ht="34.5" customHeight="1" x14ac:dyDescent="0.25">
      <c r="A35" s="19">
        <f t="shared" si="0"/>
        <v>31</v>
      </c>
      <c r="B35" s="20">
        <v>45987.458564814813</v>
      </c>
      <c r="C35" s="19" t="s">
        <v>209</v>
      </c>
      <c r="D35" s="19"/>
      <c r="E35" s="19" t="s">
        <v>210</v>
      </c>
      <c r="F35" s="19" t="s">
        <v>211</v>
      </c>
      <c r="G35" s="19" t="s">
        <v>83</v>
      </c>
      <c r="H35" s="19" t="s">
        <v>212</v>
      </c>
      <c r="I35" s="21" t="s">
        <v>110</v>
      </c>
      <c r="J35" s="21" t="s">
        <v>37</v>
      </c>
      <c r="K35" s="19" t="s">
        <v>213</v>
      </c>
      <c r="L35" s="19" t="s">
        <v>214</v>
      </c>
      <c r="M35" s="19" t="s">
        <v>241</v>
      </c>
    </row>
    <row r="36" spans="1:13" ht="34.5" customHeight="1" x14ac:dyDescent="0.25">
      <c r="A36" s="19">
        <f t="shared" si="0"/>
        <v>32</v>
      </c>
      <c r="B36" s="20">
        <v>46000.646377314813</v>
      </c>
      <c r="C36" s="19" t="s">
        <v>215</v>
      </c>
      <c r="D36" s="19"/>
      <c r="E36" s="19" t="s">
        <v>216</v>
      </c>
      <c r="F36" s="19" t="s">
        <v>217</v>
      </c>
      <c r="G36" s="19" t="s">
        <v>20</v>
      </c>
      <c r="H36" s="19" t="s">
        <v>218</v>
      </c>
      <c r="I36" s="21" t="s">
        <v>22</v>
      </c>
      <c r="J36" s="21" t="s">
        <v>23</v>
      </c>
      <c r="K36" s="19" t="s">
        <v>219</v>
      </c>
      <c r="L36" s="19" t="s">
        <v>220</v>
      </c>
      <c r="M36" s="19" t="s">
        <v>233</v>
      </c>
    </row>
    <row r="37" spans="1:13" ht="34.5" customHeight="1" x14ac:dyDescent="0.25">
      <c r="A37" s="19">
        <f t="shared" si="0"/>
        <v>33</v>
      </c>
      <c r="B37" s="20">
        <v>46000.614016203705</v>
      </c>
      <c r="C37" s="19" t="s">
        <v>221</v>
      </c>
      <c r="D37" s="19"/>
      <c r="E37" s="19" t="s">
        <v>222</v>
      </c>
      <c r="F37" s="19" t="s">
        <v>223</v>
      </c>
      <c r="G37" s="19" t="s">
        <v>95</v>
      </c>
      <c r="H37" s="19" t="s">
        <v>224</v>
      </c>
      <c r="I37" s="21" t="s">
        <v>110</v>
      </c>
      <c r="J37" s="21" t="s">
        <v>37</v>
      </c>
      <c r="K37" s="19" t="s">
        <v>225</v>
      </c>
      <c r="L37" s="19" t="s">
        <v>226</v>
      </c>
      <c r="M37" s="19" t="s">
        <v>233</v>
      </c>
    </row>
    <row r="38" spans="1:13" ht="34.5" customHeight="1" x14ac:dyDescent="0.25">
      <c r="A38" s="19">
        <f t="shared" si="0"/>
        <v>34</v>
      </c>
      <c r="B38" s="20">
        <v>46000.625856481478</v>
      </c>
      <c r="C38" s="19" t="s">
        <v>227</v>
      </c>
      <c r="D38" s="19"/>
      <c r="E38" s="19" t="s">
        <v>228</v>
      </c>
      <c r="F38" s="19" t="s">
        <v>229</v>
      </c>
      <c r="G38" s="19" t="s">
        <v>83</v>
      </c>
      <c r="H38" s="19" t="s">
        <v>230</v>
      </c>
      <c r="I38" s="21" t="s">
        <v>44</v>
      </c>
      <c r="J38" s="21" t="s">
        <v>36</v>
      </c>
      <c r="K38" s="19" t="s">
        <v>231</v>
      </c>
      <c r="L38" s="19" t="s">
        <v>232</v>
      </c>
      <c r="M38" s="19" t="s">
        <v>242</v>
      </c>
    </row>
    <row r="39" spans="1:13" ht="45" x14ac:dyDescent="0.25">
      <c r="A39" s="19">
        <f t="shared" si="0"/>
        <v>35</v>
      </c>
      <c r="B39" s="22"/>
      <c r="C39" s="23">
        <v>275233</v>
      </c>
      <c r="D39" s="22"/>
      <c r="E39" s="23" t="s">
        <v>246</v>
      </c>
      <c r="F39" s="23" t="s">
        <v>251</v>
      </c>
      <c r="G39" s="22"/>
      <c r="H39" s="23" t="s">
        <v>253</v>
      </c>
      <c r="I39" s="23" t="s">
        <v>256</v>
      </c>
      <c r="J39" s="23" t="s">
        <v>259</v>
      </c>
      <c r="K39" s="22"/>
      <c r="L39" s="22"/>
      <c r="M39" s="24" t="s">
        <v>262</v>
      </c>
    </row>
    <row r="40" spans="1:13" ht="60" x14ac:dyDescent="0.25">
      <c r="A40" s="19">
        <f t="shared" si="0"/>
        <v>36</v>
      </c>
      <c r="B40" s="22"/>
      <c r="C40" s="23">
        <v>275234</v>
      </c>
      <c r="D40" s="22"/>
      <c r="E40" s="23" t="s">
        <v>247</v>
      </c>
      <c r="F40" s="23" t="s">
        <v>251</v>
      </c>
      <c r="G40" s="22"/>
      <c r="H40" s="23" t="s">
        <v>254</v>
      </c>
      <c r="I40" s="23" t="s">
        <v>257</v>
      </c>
      <c r="J40" s="23" t="s">
        <v>259</v>
      </c>
      <c r="K40" s="22"/>
      <c r="L40" s="22"/>
      <c r="M40" s="24" t="s">
        <v>262</v>
      </c>
    </row>
    <row r="41" spans="1:13" ht="60" x14ac:dyDescent="0.25">
      <c r="A41" s="19">
        <f t="shared" si="0"/>
        <v>37</v>
      </c>
      <c r="B41" s="22"/>
      <c r="C41" s="23">
        <v>275236</v>
      </c>
      <c r="D41" s="22"/>
      <c r="E41" s="23" t="s">
        <v>248</v>
      </c>
      <c r="F41" s="23" t="s">
        <v>251</v>
      </c>
      <c r="G41" s="22"/>
      <c r="H41" s="23" t="s">
        <v>254</v>
      </c>
      <c r="I41" s="23" t="s">
        <v>258</v>
      </c>
      <c r="J41" s="23" t="s">
        <v>260</v>
      </c>
      <c r="K41" s="22"/>
      <c r="L41" s="22"/>
      <c r="M41" s="24" t="s">
        <v>262</v>
      </c>
    </row>
    <row r="42" spans="1:13" ht="60" x14ac:dyDescent="0.25">
      <c r="A42" s="19">
        <f t="shared" si="0"/>
        <v>38</v>
      </c>
      <c r="B42" s="22"/>
      <c r="C42" s="23">
        <v>275310</v>
      </c>
      <c r="D42" s="22"/>
      <c r="E42" s="23" t="s">
        <v>249</v>
      </c>
      <c r="F42" s="23" t="s">
        <v>251</v>
      </c>
      <c r="G42" s="22"/>
      <c r="H42" s="23" t="s">
        <v>254</v>
      </c>
      <c r="I42" s="23" t="s">
        <v>256</v>
      </c>
      <c r="J42" s="23" t="s">
        <v>260</v>
      </c>
      <c r="K42" s="22"/>
      <c r="L42" s="22"/>
      <c r="M42" s="24" t="s">
        <v>233</v>
      </c>
    </row>
    <row r="43" spans="1:13" ht="30" x14ac:dyDescent="0.25">
      <c r="A43" s="19">
        <f t="shared" si="0"/>
        <v>39</v>
      </c>
      <c r="B43" s="22"/>
      <c r="C43" s="23">
        <v>275991</v>
      </c>
      <c r="D43" s="22"/>
      <c r="E43" s="23" t="s">
        <v>250</v>
      </c>
      <c r="F43" s="23" t="s">
        <v>252</v>
      </c>
      <c r="G43" s="22"/>
      <c r="H43" s="23" t="s">
        <v>255</v>
      </c>
      <c r="I43" s="23" t="s">
        <v>257</v>
      </c>
      <c r="J43" s="23" t="s">
        <v>261</v>
      </c>
      <c r="K43" s="22"/>
      <c r="L43" s="22"/>
      <c r="M43" s="24"/>
    </row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2025-12-09T13:12:58Z</dcterms:created>
  <dcterms:modified xsi:type="dcterms:W3CDTF">2025-12-09T14:16:34Z</dcterms:modified>
</cp:coreProperties>
</file>
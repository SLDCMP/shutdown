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Sheet0!$A$1:$M$52</definedName>
  </definedNames>
  <calcPr calcId="162913"/>
</workbook>
</file>

<file path=xl/calcChain.xml><?xml version="1.0" encoding="utf-8"?>
<calcChain xmlns="http://schemas.openxmlformats.org/spreadsheetml/2006/main">
  <c r="A43" i="1" l="1"/>
  <c r="A45" i="1"/>
  <c r="A47" i="1"/>
  <c r="A49" i="1"/>
  <c r="A51" i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</calcChain>
</file>

<file path=xl/sharedStrings.xml><?xml version="1.0" encoding="utf-8"?>
<sst xmlns="http://schemas.openxmlformats.org/spreadsheetml/2006/main" count="464" uniqueCount="296">
  <si>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</si>
  <si>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</si>
  <si>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</si>
  <si>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</si>
  <si>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</si>
  <si>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</si>
  <si>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</si>
  <si>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</si>
  <si>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</si>
  <si>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</si>
  <si>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</si>
  <si>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</si>
  <si>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</si>
  <si>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</si>
  <si>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</si>
  <si>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</si>
  <si>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</si>
  <si>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MR2610/0189</t>
  </si>
  <si>
    <t>132KV_40 MVA XMER</t>
  </si>
  <si>
    <t>132KV_ARON</t>
  </si>
  <si>
    <t>NON-OCCM-MP</t>
  </si>
  <si>
    <t>POST MONSOON MAINTAINANCE</t>
  </si>
  <si>
    <t>09-10-2026 10:00:00</t>
  </si>
  <si>
    <t>09-10-2026 18:00:00</t>
  </si>
  <si>
    <t>RAKESH SUMAN</t>
  </si>
  <si>
    <t>7587951093</t>
  </si>
  <si>
    <t>MR2610/0185</t>
  </si>
  <si>
    <t>220KV_220 KV 160 MVA X-MER 1 MAKE AREVA</t>
  </si>
  <si>
    <t>400KV_ASHTA4</t>
  </si>
  <si>
    <t>POST MAN SOON MAINTENANCE WORK</t>
  </si>
  <si>
    <t>09-10-2026 08:00:00</t>
  </si>
  <si>
    <t>DEVESH KUMAR UIKEY</t>
  </si>
  <si>
    <t>7987106006</t>
  </si>
  <si>
    <t>MR2610/0174</t>
  </si>
  <si>
    <t>132KV_132KV Badnagar-Depalpur line</t>
  </si>
  <si>
    <t>220KV_BADNAGAR</t>
  </si>
  <si>
    <t>F/o disc insulator replacement work</t>
  </si>
  <si>
    <t>Er.Kumar Vishal</t>
  </si>
  <si>
    <t>9425805018</t>
  </si>
  <si>
    <t>MR2610/0175</t>
  </si>
  <si>
    <t>220KV_160MVA XMER_I MAKe_AREVA</t>
  </si>
  <si>
    <t>220KV_BADOD</t>
  </si>
  <si>
    <t>NON-OCCM-WR</t>
  </si>
  <si>
    <t>Post Monsoon Bay maintenance &amp; Xmer testing work</t>
  </si>
  <si>
    <t>09-10-2026 09:00:00</t>
  </si>
  <si>
    <t>09-10-2026 16:00:00</t>
  </si>
  <si>
    <t>ER Y K RATHORE AE</t>
  </si>
  <si>
    <t>9425804968</t>
  </si>
  <si>
    <t>MR2610/0073</t>
  </si>
  <si>
    <t>220KV_160 MVA X MER-3</t>
  </si>
  <si>
    <t>220KV_BAIRAGARH</t>
  </si>
  <si>
    <t>POST MONSOON MAINTENANCE</t>
  </si>
  <si>
    <t>09-10-2026 09:30:00</t>
  </si>
  <si>
    <t>09-10-2026 17:30:00</t>
  </si>
  <si>
    <t>AMBARISH SHRIPAD JOSHI</t>
  </si>
  <si>
    <t>7587951085</t>
  </si>
  <si>
    <t>MR2610/0186</t>
  </si>
  <si>
    <t>132KV_40  MVA X-Mer no.-1 (NGEF)</t>
  </si>
  <si>
    <t>132KV_BALAGHAT</t>
  </si>
  <si>
    <t>S/D For Post-monsoon maint. work</t>
  </si>
  <si>
    <t>Sandeep Damahe</t>
  </si>
  <si>
    <t>9425805009</t>
  </si>
  <si>
    <t>MR2610/0178</t>
  </si>
  <si>
    <t>220KV_160 MVA BHEL TRANSFORMER</t>
  </si>
  <si>
    <t>220KV_BINA</t>
  </si>
  <si>
    <t>POST MONSOON MAINTENANCE WORK</t>
  </si>
  <si>
    <t>ER. LALIT SINGH</t>
  </si>
  <si>
    <t>9425806845</t>
  </si>
  <si>
    <t>MR2610/0197</t>
  </si>
  <si>
    <t>132KV_132/33kV_50MVA_IMP_X-mer.</t>
  </si>
  <si>
    <t>132KV_BISNOOR</t>
  </si>
  <si>
    <t>Post Monsoon Maintenance work</t>
  </si>
  <si>
    <t>Er. SANJAY KUMAR PAWAR</t>
  </si>
  <si>
    <t>9425656425</t>
  </si>
  <si>
    <t>MR2610/0027</t>
  </si>
  <si>
    <t>Daily</t>
  </si>
  <si>
    <t>132KV_132KV Budha Neemuch Line</t>
  </si>
  <si>
    <t>132KV_BUDHA</t>
  </si>
  <si>
    <t>Hotline shutdown for crossing work</t>
  </si>
  <si>
    <t>03-10-2026 08:00:00</t>
  </si>
  <si>
    <t>15-10-2026 19:00:00</t>
  </si>
  <si>
    <t>Gaurav Goyal</t>
  </si>
  <si>
    <t>9425805120</t>
  </si>
  <si>
    <t>MR2610/0184</t>
  </si>
  <si>
    <t>220KV_220 kV Chhindwara-Betul</t>
  </si>
  <si>
    <t>220KV_CHHINDWARA</t>
  </si>
  <si>
    <t>F/o disc replacement &amp; Jumper cone tightening</t>
  </si>
  <si>
    <t>A.M. Shende</t>
  </si>
  <si>
    <t>7587951136</t>
  </si>
  <si>
    <t>MR2610/0195</t>
  </si>
  <si>
    <t>160MVA_220/132KV_BHEL_X'mer_2</t>
  </si>
  <si>
    <t>Post monsoon maintenance and testing work</t>
  </si>
  <si>
    <t>Er. Dinesh Pawar</t>
  </si>
  <si>
    <t>7587951131</t>
  </si>
  <si>
    <t>MR2610/0118</t>
  </si>
  <si>
    <t>220KV_220 kV Jabalpur- Amarkantak</t>
  </si>
  <si>
    <t>220KV_JABALPUR</t>
  </si>
  <si>
    <t>Jumper tightening by Contract basis</t>
  </si>
  <si>
    <t>07-10-2026 08:00:00</t>
  </si>
  <si>
    <t>12-10-2026 18:00:00</t>
  </si>
  <si>
    <t>Jitendra Tiwari</t>
  </si>
  <si>
    <t>9425805298</t>
  </si>
  <si>
    <t>MR2610/0192</t>
  </si>
  <si>
    <t>132KV_132 kV Jabalpur- Vinoba Bhave</t>
  </si>
  <si>
    <t>Unbalance Disc string repairing at loc. 30R, 31R</t>
  </si>
  <si>
    <t>Continuous</t>
  </si>
  <si>
    <t>400KV_400kV Bus-1 (Bus-A)</t>
  </si>
  <si>
    <t>400KV_JP BINA</t>
  </si>
  <si>
    <t>PM of Bus 1(Bus A,  Bay-1 &amp; BAY-5)</t>
  </si>
  <si>
    <t>05-10-2026 09:00:00</t>
  </si>
  <si>
    <t>KRISHNA SINGH  THAKUR</t>
  </si>
  <si>
    <t>7987976012</t>
  </si>
  <si>
    <t>MR2609/0040</t>
  </si>
  <si>
    <t>MR2610/0156</t>
  </si>
  <si>
    <t>132KV_132/33 kv 40 MVA IMP-2 X-MER</t>
  </si>
  <si>
    <t>132KV_KARAPGAON</t>
  </si>
  <si>
    <t>SD for for Post Monsoon Maintenance and Testing wo</t>
  </si>
  <si>
    <t>09-10-2026 17:00:00</t>
  </si>
  <si>
    <t>Ranjeet kori</t>
  </si>
  <si>
    <t>8120625357</t>
  </si>
  <si>
    <t>MR2610/0183</t>
  </si>
  <si>
    <t>132KV_132kv main bus no 2 &amp;132kv IC Katni-1 line</t>
  </si>
  <si>
    <t>400KV_KATNI4</t>
  </si>
  <si>
    <t>For replacement of isolator of main bus no2</t>
  </si>
  <si>
    <t>SK chaturvedi</t>
  </si>
  <si>
    <t>9425806938</t>
  </si>
  <si>
    <t>MR2610/0182</t>
  </si>
  <si>
    <t>220KV_220/132KV 160 MVA BHEL 1st</t>
  </si>
  <si>
    <t>220KV_MAHALGAON</t>
  </si>
  <si>
    <t>Post Monsoon Maint.</t>
  </si>
  <si>
    <t>P Datey</t>
  </si>
  <si>
    <t>9425805110</t>
  </si>
  <si>
    <t>MR2609/0610</t>
  </si>
  <si>
    <t>132KV_132 kv 50 MVA Xmer &amp; 33 kv Half Main Bus Section-l</t>
  </si>
  <si>
    <t>220KV_MALANPUR</t>
  </si>
  <si>
    <t>Post Monsoon Maint. &amp; Hot point attend work</t>
  </si>
  <si>
    <t>01-10-2026 10:00:00</t>
  </si>
  <si>
    <t>27-10-2026 17:00:00</t>
  </si>
  <si>
    <t>Vikram Ahirwar</t>
  </si>
  <si>
    <t>9039761183</t>
  </si>
  <si>
    <t>MR2609/0450</t>
  </si>
  <si>
    <t>132KV_132KV Neemuch-Malharagarh single circuit Line</t>
  </si>
  <si>
    <t>132KV_MALHARGARH</t>
  </si>
  <si>
    <t>Hotline shutdown for Crossing work</t>
  </si>
  <si>
    <t>25-09-2026 08:00:00</t>
  </si>
  <si>
    <t>10-10-2026 18:00:00</t>
  </si>
  <si>
    <t>MR2610/0114</t>
  </si>
  <si>
    <t>132KV_132kV Mandla-Bichhiya Ckt I &amp; II Line</t>
  </si>
  <si>
    <t>132KV_MANDLA</t>
  </si>
  <si>
    <t>Issue of OPGW Hot Line Work &amp; Other Line Maintenan</t>
  </si>
  <si>
    <t>07-10-2026 07:00:00</t>
  </si>
  <si>
    <t>16-10-2026 19:00:00</t>
  </si>
  <si>
    <t>S.K. BHALADHARE</t>
  </si>
  <si>
    <t>9425807264</t>
  </si>
  <si>
    <t>MR2610/0180</t>
  </si>
  <si>
    <t>220KV_200 MVA X-MER CG POWER</t>
  </si>
  <si>
    <t>220KV_MANGLIA2</t>
  </si>
  <si>
    <t>POST MONSOON MAINTENANCE &amp; TESTING WORK</t>
  </si>
  <si>
    <t>RAM BABU NAGAR</t>
  </si>
  <si>
    <t>9425802879</t>
  </si>
  <si>
    <t>MR2610/0206</t>
  </si>
  <si>
    <t>132KV_132kv morwa Bargawan (TBCB) ckt  II</t>
  </si>
  <si>
    <t>132KV_MORWA</t>
  </si>
  <si>
    <t>VD provided work</t>
  </si>
  <si>
    <t>GL sahu</t>
  </si>
  <si>
    <t>9425805102</t>
  </si>
  <si>
    <t>MR2610/0176</t>
  </si>
  <si>
    <t>132KV_40 Mva BBL-1</t>
  </si>
  <si>
    <t>132KV_NAINPUR</t>
  </si>
  <si>
    <t>OLTC Oil filtration &amp; 33kv CB B ph pole replacmen</t>
  </si>
  <si>
    <t>09-10-2026 19:00:00</t>
  </si>
  <si>
    <t>Arshad Qureshi</t>
  </si>
  <si>
    <t>7000771014</t>
  </si>
  <si>
    <t>MR2610/0190</t>
  </si>
  <si>
    <t>220KV_220/132KV 160 MVA BHEL -1 X-MER</t>
  </si>
  <si>
    <t>220KV_NARSINGHPUR</t>
  </si>
  <si>
    <t>POST MANSOON MAINTENANCE WORK</t>
  </si>
  <si>
    <t>DINESH KUSHWAHA</t>
  </si>
  <si>
    <t>9425182413</t>
  </si>
  <si>
    <t>MR2610/0052</t>
  </si>
  <si>
    <t>220KV_220 KV NIMRANI-MAHESHWAR II line</t>
  </si>
  <si>
    <t>220KV_NIMRANI</t>
  </si>
  <si>
    <t>220 kv CB overhouling work</t>
  </si>
  <si>
    <t>pradip patidar</t>
  </si>
  <si>
    <t>9425801217</t>
  </si>
  <si>
    <t>MR2609/0636</t>
  </si>
  <si>
    <t>220KV_220KV Omkareshwar Khandwa PGCIl line</t>
  </si>
  <si>
    <t>220KV_OMKARESHWAR</t>
  </si>
  <si>
    <t>OCCM-MP</t>
  </si>
  <si>
    <t>For modification/shifting work</t>
  </si>
  <si>
    <t>20-10-2026 18:00:00</t>
  </si>
  <si>
    <t>Kamal solanki</t>
  </si>
  <si>
    <t>9425805262</t>
  </si>
  <si>
    <t>06-10-2026 08:00:00</t>
  </si>
  <si>
    <t>MR2610/0093</t>
  </si>
  <si>
    <t>220KV_220kv omk-chhegaon line</t>
  </si>
  <si>
    <t>for modification shifting work</t>
  </si>
  <si>
    <t>20-10-2026 20:00:00</t>
  </si>
  <si>
    <t>MR2610/0095</t>
  </si>
  <si>
    <t>220KV_220KV OMK- Julwania line</t>
  </si>
  <si>
    <t>MR2610/0187</t>
  </si>
  <si>
    <t>132KV_132kv RAJGHAT-BINA FEEDER</t>
  </si>
  <si>
    <t>132KV_RAJGHAT</t>
  </si>
  <si>
    <t>TESTING OF CT R PHASE AND OIL TOP UP AND DC EARTH</t>
  </si>
  <si>
    <t>NARENDRA SINGH TANDEL</t>
  </si>
  <si>
    <t>9630685929</t>
  </si>
  <si>
    <t>MR2610/0173</t>
  </si>
  <si>
    <t>220KV_220kv Sabalgarh Morena Ckt</t>
  </si>
  <si>
    <t>220KV_SABALGARH</t>
  </si>
  <si>
    <t>Line Maintenance work</t>
  </si>
  <si>
    <t>Suraj Pawar</t>
  </si>
  <si>
    <t>9425814079</t>
  </si>
  <si>
    <t>MR2610/0198</t>
  </si>
  <si>
    <t>400KV_400KV SAGAR - BHOPAL LINE</t>
  </si>
  <si>
    <t>400KV_SAGAR</t>
  </si>
  <si>
    <t>FOR LINE MAINTENANCE WORK</t>
  </si>
  <si>
    <t>M.M. BAIG</t>
  </si>
  <si>
    <t>9425805067</t>
  </si>
  <si>
    <t>220KV_SHAHDOL</t>
  </si>
  <si>
    <t>9893349422</t>
  </si>
  <si>
    <t>220KV_220/132/33KV 160MVA IMP make treansformer</t>
  </si>
  <si>
    <t>post monsoon maintenance work</t>
  </si>
  <si>
    <t>vijay sahu</t>
  </si>
  <si>
    <t>MR2610/0194</t>
  </si>
  <si>
    <t>MR2610/0157</t>
  </si>
  <si>
    <t>132KV_132kv Shivpuri Karahal Ckt-1</t>
  </si>
  <si>
    <t>220KV_SHIVPURI</t>
  </si>
  <si>
    <t>Suraj pawar</t>
  </si>
  <si>
    <t>MR2610/0177</t>
  </si>
  <si>
    <t>220KV_220/132/33KV 160 MVA BHEL X-MER</t>
  </si>
  <si>
    <t>220KV_SIDHI</t>
  </si>
  <si>
    <t>160MVA BHEL X-MER HV SIDE RYB CT REPLACEMENT WORK</t>
  </si>
  <si>
    <t>VISHAL BHALADHARE</t>
  </si>
  <si>
    <t>9425804690</t>
  </si>
  <si>
    <t>MR2610/0210</t>
  </si>
  <si>
    <t>132KV_40MVAX-MER-2 MAKE BHEL</t>
  </si>
  <si>
    <t>132KV_SIRONJ</t>
  </si>
  <si>
    <t>POST MANSOON MAINT. WORK</t>
  </si>
  <si>
    <t>132KV S/S SIRONJ</t>
  </si>
  <si>
    <t>9425804364</t>
  </si>
  <si>
    <t>MR2610/0200</t>
  </si>
  <si>
    <t>400KV_400KV Ujjain Ashta CKT 1st</t>
  </si>
  <si>
    <t>400KV_UJJAIN4</t>
  </si>
  <si>
    <t>For bay maintenance work and fire wadge connector</t>
  </si>
  <si>
    <t>Santosh Chavrasia</t>
  </si>
  <si>
    <t>9425804677</t>
  </si>
  <si>
    <t>MR2610/0179</t>
  </si>
  <si>
    <t>400KV_400KV UJJAIN ASHTA CKT 1</t>
  </si>
  <si>
    <t>OCCM-WR</t>
  </si>
  <si>
    <t>LINE MAINTENNACE WORK</t>
  </si>
  <si>
    <t>K SACHINDRA</t>
  </si>
  <si>
    <t>9425805295</t>
  </si>
  <si>
    <t>MR2610/0196</t>
  </si>
  <si>
    <t>132KV_63 MVA XMER BBL &amp; PRE-MONSOON MAINTENANCE</t>
  </si>
  <si>
    <t>132KV_VINOBA BHAVE</t>
  </si>
  <si>
    <t>SUBSTATION UPGRADATION SYSTEM STRENGTHNING</t>
  </si>
  <si>
    <t>09-10-2026 06:00:00</t>
  </si>
  <si>
    <t>09-10-2026 12:00:00</t>
  </si>
  <si>
    <t>ASHOK BINGHADE</t>
  </si>
  <si>
    <t>7509148945</t>
  </si>
  <si>
    <t>sub ld</t>
  </si>
  <si>
    <t>ok, through sub ld</t>
  </si>
  <si>
    <t>deferred due to s/d on Bairagarh</t>
  </si>
  <si>
    <t>ok</t>
  </si>
  <si>
    <t>real time as per loading conditions</t>
  </si>
  <si>
    <t>deferred by site</t>
  </si>
  <si>
    <t>ok, line to be in service</t>
  </si>
  <si>
    <t>as opportunity s/d</t>
  </si>
  <si>
    <t>o&amp;m consent required</t>
  </si>
  <si>
    <t>as per real time load management</t>
  </si>
  <si>
    <t>AMP works</t>
  </si>
  <si>
    <t>Replacement of Disc Insulator string with CLR  identified in PID of 400kv Itarsi - Indore ckt1</t>
  </si>
  <si>
    <t>Simultaneius Non auto mode of 400KV Neemuch-Mandsaur # 1&amp; 2 is requested by M/s Greenko for hot line crossing of newly constructed line 400KV D/C Greenko- Mandsaur PS line by M/s Greenko</t>
  </si>
  <si>
    <t>FOR LINE MAINTENANCE WORK I.E. CLEANING OF DISC INSULATORS DURING LINE PATROLLING, REPLACEMENT OF FLASHOVERED DISC INSULATORS, TREE BRANCH CUTTING ETC AT VARIOUS TOWER LOCATIONS</t>
  </si>
  <si>
    <t>FOR BAY MAINTENANCE &amp; TESTING WORK AT SUBSTASTION, REPLACEMENT OF DAMAGED CLAMPS/JUMPERS ETC.</t>
  </si>
  <si>
    <t xml:space="preserve">FOR REPLACEMENT OF SINGLE FITTING HARDWARE INTO DOUBLE FITTING HARDWARE AT VARIOUS ROAD CROSSING LOCATIONS </t>
  </si>
  <si>
    <t>GWALIOR - 220KV - BUS 1</t>
  </si>
  <si>
    <t>400KV-ITARSI-INDORE-MP-1</t>
  </si>
  <si>
    <t>400KV-NEEMUCH-MANDSAUR-MP-1</t>
  </si>
  <si>
    <t>400KV-NEEMUCH-MANDSAUR-MP-2</t>
  </si>
  <si>
    <t>400KV-SSP-RAJGARH-1</t>
  </si>
  <si>
    <t>220KV-HOSHANGABAD-ITARSI-2</t>
  </si>
  <si>
    <t>220KV-MORENA-MORENA-MP-1</t>
  </si>
  <si>
    <t>220KV-SATNA-MAIHAR-1</t>
  </si>
  <si>
    <t>220KV-AJAYGARH-SATNA-1</t>
  </si>
  <si>
    <t>real time</t>
  </si>
  <si>
    <t>09:00</t>
  </si>
  <si>
    <t>08:00</t>
  </si>
  <si>
    <t>18:00</t>
  </si>
  <si>
    <t>16:00</t>
  </si>
  <si>
    <t>17:00</t>
  </si>
  <si>
    <t>19:00</t>
  </si>
  <si>
    <t>POWERGRID_WR2</t>
  </si>
  <si>
    <t>MP_SLDC</t>
  </si>
  <si>
    <t>APPROVED  OUTAGE LIST FOR DTD. 09.10.26</t>
  </si>
  <si>
    <t>S/I SLDC JABAL 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</si>
</sst>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tabSelected="1" workbookViewId="0">
      <pane xSplit="5" ySplit="1" topLeftCell="I41" activePane="bottomRight" state="frozen"/>
      <selection pane="topRight" activeCell="F1" sqref="F1"/>
      <selection pane="bottomLeft" activeCell="A2" sqref="A2"/>
      <selection pane="bottomRight" activeCell="K52" sqref="K52:M52"/>
    </sheetView>
  </sheetViews>
  <sheetFormatPr defaultRowHeight="15" x14ac:dyDescent="0.25"/>
  <cols>
    <col min="2" max="2" width="11.140625" customWidth="1"/>
    <col min="3" max="3" width="13.42578125" customWidth="1"/>
    <col min="5" max="5" width="49.140625" style="12" customWidth="1"/>
    <col min="6" max="6" width="21.85546875" customWidth="1"/>
    <col min="7" max="7" width="16.140625" customWidth="1"/>
    <col min="8" max="8" width="48.140625" customWidth="1"/>
    <col min="9" max="10" width="19.42578125" customWidth="1"/>
    <col min="11" max="11" width="27.42578125" customWidth="1"/>
    <col min="12" max="12" width="12" customWidth="1"/>
    <col min="13" max="13" width="51.28515625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46304</v>
      </c>
      <c r="C2" s="1"/>
      <c r="D2" s="1"/>
      <c r="E2" s="24" t="s">
        <v>294</v>
      </c>
      <c r="F2" s="25"/>
      <c r="G2" s="25"/>
      <c r="H2" s="25"/>
      <c r="I2" s="25"/>
      <c r="J2" s="25"/>
      <c r="K2" s="26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0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1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3" t="s">
        <v>16</v>
      </c>
    </row>
    <row r="5" spans="1:13" ht="25.5" customHeight="1" x14ac:dyDescent="0.25">
      <c r="A5" s="4">
        <v>1</v>
      </c>
      <c r="B5" s="5">
        <v>46303.625358796293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9" t="s">
        <v>260</v>
      </c>
    </row>
    <row r="6" spans="1:13" ht="25.5" customHeight="1" x14ac:dyDescent="0.25">
      <c r="A6" s="4">
        <f>A5+1</f>
        <v>2</v>
      </c>
      <c r="B6" s="5">
        <v>46303.59175925926</v>
      </c>
      <c r="C6" s="4" t="s">
        <v>26</v>
      </c>
      <c r="D6" s="4"/>
      <c r="E6" s="11" t="s">
        <v>27</v>
      </c>
      <c r="F6" s="4" t="s">
        <v>28</v>
      </c>
      <c r="G6" s="4" t="s">
        <v>20</v>
      </c>
      <c r="H6" s="4" t="s">
        <v>29</v>
      </c>
      <c r="I6" s="6" t="s">
        <v>30</v>
      </c>
      <c r="J6" s="6" t="s">
        <v>23</v>
      </c>
      <c r="K6" s="7" t="s">
        <v>31</v>
      </c>
      <c r="L6" s="8" t="s">
        <v>32</v>
      </c>
      <c r="M6" s="9" t="s">
        <v>262</v>
      </c>
    </row>
    <row r="7" spans="1:13" ht="25.5" customHeight="1" x14ac:dyDescent="0.25">
      <c r="A7" s="4">
        <f t="shared" ref="A7:A40" si="0">A6+1</f>
        <v>3</v>
      </c>
      <c r="B7" s="5">
        <v>46303.5231712963</v>
      </c>
      <c r="C7" s="4" t="s">
        <v>33</v>
      </c>
      <c r="D7" s="4"/>
      <c r="E7" s="11" t="s">
        <v>34</v>
      </c>
      <c r="F7" s="4" t="s">
        <v>35</v>
      </c>
      <c r="G7" s="4" t="s">
        <v>20</v>
      </c>
      <c r="H7" s="4" t="s">
        <v>36</v>
      </c>
      <c r="I7" s="6" t="s">
        <v>22</v>
      </c>
      <c r="J7" s="6" t="s">
        <v>23</v>
      </c>
      <c r="K7" s="7" t="s">
        <v>37</v>
      </c>
      <c r="L7" s="8" t="s">
        <v>38</v>
      </c>
      <c r="M7" s="9" t="s">
        <v>260</v>
      </c>
    </row>
    <row r="8" spans="1:13" ht="25.5" customHeight="1" x14ac:dyDescent="0.25">
      <c r="A8" s="4">
        <f t="shared" si="0"/>
        <v>4</v>
      </c>
      <c r="B8" s="5">
        <v>46303.52716435185</v>
      </c>
      <c r="C8" s="4" t="s">
        <v>39</v>
      </c>
      <c r="D8" s="4"/>
      <c r="E8" s="11" t="s">
        <v>40</v>
      </c>
      <c r="F8" s="4" t="s">
        <v>41</v>
      </c>
      <c r="G8" s="4" t="s">
        <v>42</v>
      </c>
      <c r="H8" s="4" t="s">
        <v>43</v>
      </c>
      <c r="I8" s="6" t="s">
        <v>44</v>
      </c>
      <c r="J8" s="6" t="s">
        <v>45</v>
      </c>
      <c r="K8" s="7" t="s">
        <v>46</v>
      </c>
      <c r="L8" s="8" t="s">
        <v>47</v>
      </c>
      <c r="M8" s="9" t="s">
        <v>261</v>
      </c>
    </row>
    <row r="9" spans="1:13" ht="25.5" customHeight="1" x14ac:dyDescent="0.25">
      <c r="A9" s="4">
        <f t="shared" si="0"/>
        <v>5</v>
      </c>
      <c r="B9" s="5">
        <v>46300.512696759259</v>
      </c>
      <c r="C9" s="4" t="s">
        <v>48</v>
      </c>
      <c r="D9" s="4"/>
      <c r="E9" s="11" t="s">
        <v>49</v>
      </c>
      <c r="F9" s="4" t="s">
        <v>50</v>
      </c>
      <c r="G9" s="4" t="s">
        <v>20</v>
      </c>
      <c r="H9" s="4" t="s">
        <v>51</v>
      </c>
      <c r="I9" s="6" t="s">
        <v>52</v>
      </c>
      <c r="J9" s="6" t="s">
        <v>53</v>
      </c>
      <c r="K9" s="7" t="s">
        <v>54</v>
      </c>
      <c r="L9" s="8" t="s">
        <v>55</v>
      </c>
      <c r="M9" s="9" t="s">
        <v>261</v>
      </c>
    </row>
    <row r="10" spans="1:13" ht="25.5" customHeight="1" x14ac:dyDescent="0.25">
      <c r="A10" s="4">
        <f t="shared" si="0"/>
        <v>6</v>
      </c>
      <c r="B10" s="5">
        <v>46303.598923611113</v>
      </c>
      <c r="C10" s="4" t="s">
        <v>56</v>
      </c>
      <c r="D10" s="4"/>
      <c r="E10" s="11" t="s">
        <v>57</v>
      </c>
      <c r="F10" s="4" t="s">
        <v>58</v>
      </c>
      <c r="G10" s="4" t="s">
        <v>20</v>
      </c>
      <c r="H10" s="4" t="s">
        <v>59</v>
      </c>
      <c r="I10" s="6" t="s">
        <v>44</v>
      </c>
      <c r="J10" s="6" t="s">
        <v>23</v>
      </c>
      <c r="K10" s="7" t="s">
        <v>60</v>
      </c>
      <c r="L10" s="8" t="s">
        <v>61</v>
      </c>
      <c r="M10" s="9" t="s">
        <v>263</v>
      </c>
    </row>
    <row r="11" spans="1:13" ht="25.5" customHeight="1" x14ac:dyDescent="0.25">
      <c r="A11" s="4">
        <f t="shared" si="0"/>
        <v>7</v>
      </c>
      <c r="B11" s="5">
        <v>46303.549745370372</v>
      </c>
      <c r="C11" s="4" t="s">
        <v>62</v>
      </c>
      <c r="D11" s="4"/>
      <c r="E11" s="11" t="s">
        <v>63</v>
      </c>
      <c r="F11" s="4" t="s">
        <v>64</v>
      </c>
      <c r="G11" s="4" t="s">
        <v>20</v>
      </c>
      <c r="H11" s="4" t="s">
        <v>65</v>
      </c>
      <c r="I11" s="6" t="s">
        <v>52</v>
      </c>
      <c r="J11" s="6" t="s">
        <v>23</v>
      </c>
      <c r="K11" s="7" t="s">
        <v>66</v>
      </c>
      <c r="L11" s="8" t="s">
        <v>67</v>
      </c>
      <c r="M11" s="9" t="s">
        <v>261</v>
      </c>
    </row>
    <row r="12" spans="1:13" ht="25.5" customHeight="1" x14ac:dyDescent="0.25">
      <c r="A12" s="4">
        <f t="shared" si="0"/>
        <v>8</v>
      </c>
      <c r="B12" s="5">
        <v>46303.670127314814</v>
      </c>
      <c r="C12" s="4" t="s">
        <v>68</v>
      </c>
      <c r="D12" s="4"/>
      <c r="E12" s="11" t="s">
        <v>69</v>
      </c>
      <c r="F12" s="4" t="s">
        <v>70</v>
      </c>
      <c r="G12" s="4" t="s">
        <v>20</v>
      </c>
      <c r="H12" s="4" t="s">
        <v>71</v>
      </c>
      <c r="I12" s="6" t="s">
        <v>22</v>
      </c>
      <c r="J12" s="6" t="s">
        <v>23</v>
      </c>
      <c r="K12" s="7" t="s">
        <v>72</v>
      </c>
      <c r="L12" s="8" t="s">
        <v>73</v>
      </c>
      <c r="M12" s="9" t="s">
        <v>260</v>
      </c>
    </row>
    <row r="13" spans="1:13" ht="25.5" customHeight="1" x14ac:dyDescent="0.25">
      <c r="A13" s="4">
        <f t="shared" si="0"/>
        <v>9</v>
      </c>
      <c r="B13" s="5">
        <v>46297.642893518518</v>
      </c>
      <c r="C13" s="4" t="s">
        <v>74</v>
      </c>
      <c r="D13" s="4" t="s">
        <v>75</v>
      </c>
      <c r="E13" s="11" t="s">
        <v>76</v>
      </c>
      <c r="F13" s="4" t="s">
        <v>77</v>
      </c>
      <c r="G13" s="4" t="s">
        <v>20</v>
      </c>
      <c r="H13" s="4" t="s">
        <v>78</v>
      </c>
      <c r="I13" s="6" t="s">
        <v>79</v>
      </c>
      <c r="J13" s="6" t="s">
        <v>80</v>
      </c>
      <c r="K13" s="7" t="s">
        <v>81</v>
      </c>
      <c r="L13" s="8" t="s">
        <v>82</v>
      </c>
      <c r="M13" s="9" t="s">
        <v>260</v>
      </c>
    </row>
    <row r="14" spans="1:13" ht="25.5" customHeight="1" x14ac:dyDescent="0.25">
      <c r="A14" s="4">
        <f t="shared" si="0"/>
        <v>10</v>
      </c>
      <c r="B14" s="5">
        <v>46303.591423611113</v>
      </c>
      <c r="C14" s="4" t="s">
        <v>83</v>
      </c>
      <c r="D14" s="4"/>
      <c r="E14" s="11" t="s">
        <v>84</v>
      </c>
      <c r="F14" s="4" t="s">
        <v>85</v>
      </c>
      <c r="G14" s="4" t="s">
        <v>20</v>
      </c>
      <c r="H14" s="4" t="s">
        <v>86</v>
      </c>
      <c r="I14" s="6" t="s">
        <v>44</v>
      </c>
      <c r="J14" s="6" t="s">
        <v>23</v>
      </c>
      <c r="K14" s="7" t="s">
        <v>87</v>
      </c>
      <c r="L14" s="8" t="s">
        <v>88</v>
      </c>
      <c r="M14" s="9" t="s">
        <v>263</v>
      </c>
    </row>
    <row r="15" spans="1:13" ht="25.5" customHeight="1" x14ac:dyDescent="0.25">
      <c r="A15" s="4">
        <f t="shared" si="0"/>
        <v>11</v>
      </c>
      <c r="B15" s="5">
        <v>46303.654861111114</v>
      </c>
      <c r="C15" s="4" t="s">
        <v>89</v>
      </c>
      <c r="D15" s="4"/>
      <c r="E15" s="11" t="s">
        <v>90</v>
      </c>
      <c r="F15" s="4" t="s">
        <v>85</v>
      </c>
      <c r="G15" s="4" t="s">
        <v>20</v>
      </c>
      <c r="H15" s="4" t="s">
        <v>91</v>
      </c>
      <c r="I15" s="6" t="s">
        <v>44</v>
      </c>
      <c r="J15" s="6" t="s">
        <v>23</v>
      </c>
      <c r="K15" s="7" t="s">
        <v>92</v>
      </c>
      <c r="L15" s="8" t="s">
        <v>93</v>
      </c>
      <c r="M15" s="9" t="s">
        <v>263</v>
      </c>
    </row>
    <row r="16" spans="1:13" ht="25.5" customHeight="1" x14ac:dyDescent="0.25">
      <c r="A16" s="4">
        <f t="shared" si="0"/>
        <v>12</v>
      </c>
      <c r="B16" s="5">
        <v>46301.582430555558</v>
      </c>
      <c r="C16" s="4" t="s">
        <v>94</v>
      </c>
      <c r="D16" s="4" t="s">
        <v>75</v>
      </c>
      <c r="E16" s="11" t="s">
        <v>95</v>
      </c>
      <c r="F16" s="4" t="s">
        <v>96</v>
      </c>
      <c r="G16" s="4" t="s">
        <v>20</v>
      </c>
      <c r="H16" s="4" t="s">
        <v>97</v>
      </c>
      <c r="I16" s="6" t="s">
        <v>98</v>
      </c>
      <c r="J16" s="6" t="s">
        <v>99</v>
      </c>
      <c r="K16" s="7" t="s">
        <v>100</v>
      </c>
      <c r="L16" s="8" t="s">
        <v>101</v>
      </c>
      <c r="M16" s="9" t="s">
        <v>263</v>
      </c>
    </row>
    <row r="17" spans="1:13" ht="25.5" customHeight="1" x14ac:dyDescent="0.25">
      <c r="A17" s="4">
        <f t="shared" si="0"/>
        <v>13</v>
      </c>
      <c r="B17" s="5">
        <v>46303.635509259257</v>
      </c>
      <c r="C17" s="4" t="s">
        <v>102</v>
      </c>
      <c r="D17" s="4"/>
      <c r="E17" s="11" t="s">
        <v>103</v>
      </c>
      <c r="F17" s="4" t="s">
        <v>96</v>
      </c>
      <c r="G17" s="4" t="s">
        <v>20</v>
      </c>
      <c r="H17" s="4" t="s">
        <v>104</v>
      </c>
      <c r="I17" s="6" t="s">
        <v>30</v>
      </c>
      <c r="J17" s="6" t="s">
        <v>23</v>
      </c>
      <c r="K17" s="7" t="s">
        <v>100</v>
      </c>
      <c r="L17" s="8" t="s">
        <v>101</v>
      </c>
      <c r="M17" s="9" t="s">
        <v>264</v>
      </c>
    </row>
    <row r="18" spans="1:13" ht="25.5" customHeight="1" x14ac:dyDescent="0.25">
      <c r="A18" s="4">
        <f t="shared" si="0"/>
        <v>14</v>
      </c>
      <c r="B18" s="5">
        <v>46268.865428240744</v>
      </c>
      <c r="C18" s="4" t="s">
        <v>112</v>
      </c>
      <c r="D18" s="4" t="s">
        <v>105</v>
      </c>
      <c r="E18" s="11" t="s">
        <v>106</v>
      </c>
      <c r="F18" s="4" t="s">
        <v>107</v>
      </c>
      <c r="G18" s="4" t="s">
        <v>42</v>
      </c>
      <c r="H18" s="4" t="s">
        <v>108</v>
      </c>
      <c r="I18" s="6" t="s">
        <v>109</v>
      </c>
      <c r="J18" s="6" t="s">
        <v>99</v>
      </c>
      <c r="K18" s="7" t="s">
        <v>110</v>
      </c>
      <c r="L18" s="8" t="s">
        <v>111</v>
      </c>
      <c r="M18" s="9" t="s">
        <v>265</v>
      </c>
    </row>
    <row r="19" spans="1:13" ht="25.5" customHeight="1" x14ac:dyDescent="0.25">
      <c r="A19" s="4">
        <f t="shared" si="0"/>
        <v>15</v>
      </c>
      <c r="B19" s="5">
        <v>46302.633958333332</v>
      </c>
      <c r="C19" s="4" t="s">
        <v>113</v>
      </c>
      <c r="D19" s="4"/>
      <c r="E19" s="11" t="s">
        <v>114</v>
      </c>
      <c r="F19" s="4" t="s">
        <v>115</v>
      </c>
      <c r="G19" s="4" t="s">
        <v>20</v>
      </c>
      <c r="H19" s="4" t="s">
        <v>116</v>
      </c>
      <c r="I19" s="6" t="s">
        <v>22</v>
      </c>
      <c r="J19" s="6" t="s">
        <v>117</v>
      </c>
      <c r="K19" s="7" t="s">
        <v>118</v>
      </c>
      <c r="L19" s="8" t="s">
        <v>119</v>
      </c>
      <c r="M19" s="9" t="s">
        <v>268</v>
      </c>
    </row>
    <row r="20" spans="1:13" ht="25.5" customHeight="1" x14ac:dyDescent="0.25">
      <c r="A20" s="4">
        <f t="shared" si="0"/>
        <v>16</v>
      </c>
      <c r="B20" s="5">
        <v>46303.583402777775</v>
      </c>
      <c r="C20" s="4" t="s">
        <v>120</v>
      </c>
      <c r="D20" s="4"/>
      <c r="E20" s="11" t="s">
        <v>121</v>
      </c>
      <c r="F20" s="4" t="s">
        <v>122</v>
      </c>
      <c r="G20" s="4" t="s">
        <v>20</v>
      </c>
      <c r="H20" s="4" t="s">
        <v>123</v>
      </c>
      <c r="I20" s="6" t="s">
        <v>22</v>
      </c>
      <c r="J20" s="6" t="s">
        <v>23</v>
      </c>
      <c r="K20" s="7" t="s">
        <v>124</v>
      </c>
      <c r="L20" s="8" t="s">
        <v>125</v>
      </c>
      <c r="M20" s="9" t="s">
        <v>264</v>
      </c>
    </row>
    <row r="21" spans="1:13" ht="25.5" customHeight="1" x14ac:dyDescent="0.25">
      <c r="A21" s="4">
        <f t="shared" si="0"/>
        <v>17</v>
      </c>
      <c r="B21" s="5">
        <v>46303.580648148149</v>
      </c>
      <c r="C21" s="4" t="s">
        <v>126</v>
      </c>
      <c r="D21" s="4"/>
      <c r="E21" s="11" t="s">
        <v>127</v>
      </c>
      <c r="F21" s="4" t="s">
        <v>128</v>
      </c>
      <c r="G21" s="4" t="s">
        <v>20</v>
      </c>
      <c r="H21" s="4" t="s">
        <v>129</v>
      </c>
      <c r="I21" s="6" t="s">
        <v>22</v>
      </c>
      <c r="J21" s="6" t="s">
        <v>23</v>
      </c>
      <c r="K21" s="7" t="s">
        <v>130</v>
      </c>
      <c r="L21" s="8" t="s">
        <v>131</v>
      </c>
      <c r="M21" s="9" t="s">
        <v>261</v>
      </c>
    </row>
    <row r="22" spans="1:13" ht="25.5" customHeight="1" x14ac:dyDescent="0.25">
      <c r="A22" s="4">
        <f t="shared" si="0"/>
        <v>18</v>
      </c>
      <c r="B22" s="5">
        <v>46295.47079861111</v>
      </c>
      <c r="C22" s="4" t="s">
        <v>132</v>
      </c>
      <c r="D22" s="4" t="s">
        <v>75</v>
      </c>
      <c r="E22" s="11" t="s">
        <v>133</v>
      </c>
      <c r="F22" s="4" t="s">
        <v>134</v>
      </c>
      <c r="G22" s="4" t="s">
        <v>20</v>
      </c>
      <c r="H22" s="4" t="s">
        <v>135</v>
      </c>
      <c r="I22" s="6" t="s">
        <v>136</v>
      </c>
      <c r="J22" s="6" t="s">
        <v>137</v>
      </c>
      <c r="K22" s="7" t="s">
        <v>138</v>
      </c>
      <c r="L22" s="8" t="s">
        <v>139</v>
      </c>
      <c r="M22" s="9" t="s">
        <v>260</v>
      </c>
    </row>
    <row r="23" spans="1:13" ht="25.5" customHeight="1" x14ac:dyDescent="0.25">
      <c r="A23" s="4">
        <f t="shared" si="0"/>
        <v>19</v>
      </c>
      <c r="B23" s="5">
        <v>46289.514745370368</v>
      </c>
      <c r="C23" s="4" t="s">
        <v>140</v>
      </c>
      <c r="D23" s="4" t="s">
        <v>75</v>
      </c>
      <c r="E23" s="11" t="s">
        <v>141</v>
      </c>
      <c r="F23" s="4" t="s">
        <v>142</v>
      </c>
      <c r="G23" s="4" t="s">
        <v>20</v>
      </c>
      <c r="H23" s="4" t="s">
        <v>143</v>
      </c>
      <c r="I23" s="6" t="s">
        <v>144</v>
      </c>
      <c r="J23" s="6" t="s">
        <v>145</v>
      </c>
      <c r="K23" s="7" t="s">
        <v>81</v>
      </c>
      <c r="L23" s="8" t="s">
        <v>82</v>
      </c>
      <c r="M23" s="9" t="s">
        <v>260</v>
      </c>
    </row>
    <row r="24" spans="1:13" ht="25.5" customHeight="1" x14ac:dyDescent="0.25">
      <c r="A24" s="4">
        <f t="shared" si="0"/>
        <v>20</v>
      </c>
      <c r="B24" s="5">
        <v>46301.558275462965</v>
      </c>
      <c r="C24" s="4" t="s">
        <v>146</v>
      </c>
      <c r="D24" s="4" t="s">
        <v>75</v>
      </c>
      <c r="E24" s="11" t="s">
        <v>147</v>
      </c>
      <c r="F24" s="4" t="s">
        <v>148</v>
      </c>
      <c r="G24" s="4" t="s">
        <v>20</v>
      </c>
      <c r="H24" s="4" t="s">
        <v>149</v>
      </c>
      <c r="I24" s="6" t="s">
        <v>150</v>
      </c>
      <c r="J24" s="6" t="s">
        <v>151</v>
      </c>
      <c r="K24" s="7" t="s">
        <v>152</v>
      </c>
      <c r="L24" s="8" t="s">
        <v>153</v>
      </c>
      <c r="M24" s="9" t="s">
        <v>266</v>
      </c>
    </row>
    <row r="25" spans="1:13" ht="25.5" customHeight="1" x14ac:dyDescent="0.25">
      <c r="A25" s="4">
        <f t="shared" si="0"/>
        <v>21</v>
      </c>
      <c r="B25" s="5">
        <v>46303.573599537034</v>
      </c>
      <c r="C25" s="4" t="s">
        <v>154</v>
      </c>
      <c r="D25" s="4"/>
      <c r="E25" s="11" t="s">
        <v>155</v>
      </c>
      <c r="F25" s="4" t="s">
        <v>156</v>
      </c>
      <c r="G25" s="4" t="s">
        <v>20</v>
      </c>
      <c r="H25" s="4" t="s">
        <v>157</v>
      </c>
      <c r="I25" s="6" t="s">
        <v>44</v>
      </c>
      <c r="J25" s="6" t="s">
        <v>45</v>
      </c>
      <c r="K25" s="7" t="s">
        <v>158</v>
      </c>
      <c r="L25" s="8" t="s">
        <v>159</v>
      </c>
      <c r="M25" s="9" t="s">
        <v>261</v>
      </c>
    </row>
    <row r="26" spans="1:13" ht="25.5" customHeight="1" x14ac:dyDescent="0.25">
      <c r="A26" s="4">
        <f t="shared" si="0"/>
        <v>22</v>
      </c>
      <c r="B26" s="5">
        <v>46303.683449074073</v>
      </c>
      <c r="C26" s="4" t="s">
        <v>160</v>
      </c>
      <c r="D26" s="4"/>
      <c r="E26" s="11" t="s">
        <v>161</v>
      </c>
      <c r="F26" s="4" t="s">
        <v>162</v>
      </c>
      <c r="G26" s="4" t="s">
        <v>20</v>
      </c>
      <c r="H26" s="4" t="s">
        <v>163</v>
      </c>
      <c r="I26" s="6" t="s">
        <v>22</v>
      </c>
      <c r="J26" s="6" t="s">
        <v>117</v>
      </c>
      <c r="K26" s="7" t="s">
        <v>164</v>
      </c>
      <c r="L26" s="8" t="s">
        <v>165</v>
      </c>
      <c r="M26" s="9" t="s">
        <v>263</v>
      </c>
    </row>
    <row r="27" spans="1:13" ht="25.5" customHeight="1" x14ac:dyDescent="0.25">
      <c r="A27" s="4">
        <f t="shared" si="0"/>
        <v>23</v>
      </c>
      <c r="B27" s="5">
        <v>46303.53707175926</v>
      </c>
      <c r="C27" s="4" t="s">
        <v>166</v>
      </c>
      <c r="D27" s="4"/>
      <c r="E27" s="11" t="s">
        <v>167</v>
      </c>
      <c r="F27" s="4" t="s">
        <v>168</v>
      </c>
      <c r="G27" s="4" t="s">
        <v>20</v>
      </c>
      <c r="H27" s="4" t="s">
        <v>169</v>
      </c>
      <c r="I27" s="6" t="s">
        <v>22</v>
      </c>
      <c r="J27" s="6" t="s">
        <v>170</v>
      </c>
      <c r="K27" s="7" t="s">
        <v>171</v>
      </c>
      <c r="L27" s="8" t="s">
        <v>172</v>
      </c>
      <c r="M27" s="9" t="s">
        <v>268</v>
      </c>
    </row>
    <row r="28" spans="1:13" ht="25.5" customHeight="1" x14ac:dyDescent="0.25">
      <c r="A28" s="4">
        <f t="shared" si="0"/>
        <v>24</v>
      </c>
      <c r="B28" s="5">
        <v>46303.634745370371</v>
      </c>
      <c r="C28" s="4" t="s">
        <v>173</v>
      </c>
      <c r="D28" s="4"/>
      <c r="E28" s="11" t="s">
        <v>174</v>
      </c>
      <c r="F28" s="4" t="s">
        <v>175</v>
      </c>
      <c r="G28" s="4" t="s">
        <v>20</v>
      </c>
      <c r="H28" s="4" t="s">
        <v>176</v>
      </c>
      <c r="I28" s="6" t="s">
        <v>52</v>
      </c>
      <c r="J28" s="6" t="s">
        <v>23</v>
      </c>
      <c r="K28" s="7" t="s">
        <v>177</v>
      </c>
      <c r="L28" s="8" t="s">
        <v>178</v>
      </c>
      <c r="M28" s="9" t="s">
        <v>263</v>
      </c>
    </row>
    <row r="29" spans="1:13" ht="25.5" customHeight="1" x14ac:dyDescent="0.25">
      <c r="A29" s="4">
        <f t="shared" si="0"/>
        <v>25</v>
      </c>
      <c r="B29" s="5">
        <v>46299.501793981479</v>
      </c>
      <c r="C29" s="4" t="s">
        <v>179</v>
      </c>
      <c r="D29" s="4" t="s">
        <v>105</v>
      </c>
      <c r="E29" s="11" t="s">
        <v>180</v>
      </c>
      <c r="F29" s="4" t="s">
        <v>181</v>
      </c>
      <c r="G29" s="4" t="s">
        <v>20</v>
      </c>
      <c r="H29" s="4" t="s">
        <v>182</v>
      </c>
      <c r="I29" s="6" t="s">
        <v>109</v>
      </c>
      <c r="J29" s="6" t="s">
        <v>23</v>
      </c>
      <c r="K29" s="7" t="s">
        <v>183</v>
      </c>
      <c r="L29" s="8" t="s">
        <v>184</v>
      </c>
      <c r="M29" s="9" t="s">
        <v>105</v>
      </c>
    </row>
    <row r="30" spans="1:13" ht="25.5" customHeight="1" x14ac:dyDescent="0.25">
      <c r="A30" s="4">
        <f t="shared" si="0"/>
        <v>26</v>
      </c>
      <c r="B30" s="5">
        <v>46295.685486111113</v>
      </c>
      <c r="C30" s="4" t="s">
        <v>185</v>
      </c>
      <c r="D30" s="4" t="s">
        <v>105</v>
      </c>
      <c r="E30" s="11" t="s">
        <v>186</v>
      </c>
      <c r="F30" s="4" t="s">
        <v>187</v>
      </c>
      <c r="G30" s="4" t="s">
        <v>188</v>
      </c>
      <c r="H30" s="4" t="s">
        <v>189</v>
      </c>
      <c r="I30" s="6" t="s">
        <v>79</v>
      </c>
      <c r="J30" s="6" t="s">
        <v>190</v>
      </c>
      <c r="K30" s="7" t="s">
        <v>191</v>
      </c>
      <c r="L30" s="8" t="s">
        <v>192</v>
      </c>
      <c r="M30" s="9" t="s">
        <v>105</v>
      </c>
    </row>
    <row r="31" spans="1:13" ht="25.5" customHeight="1" x14ac:dyDescent="0.25">
      <c r="A31" s="4">
        <f t="shared" si="0"/>
        <v>27</v>
      </c>
      <c r="B31" s="5">
        <v>46300.699803240743</v>
      </c>
      <c r="C31" s="4" t="s">
        <v>194</v>
      </c>
      <c r="D31" s="4" t="s">
        <v>105</v>
      </c>
      <c r="E31" s="11" t="s">
        <v>195</v>
      </c>
      <c r="F31" s="4" t="s">
        <v>187</v>
      </c>
      <c r="G31" s="4" t="s">
        <v>20</v>
      </c>
      <c r="H31" s="4" t="s">
        <v>196</v>
      </c>
      <c r="I31" s="6" t="s">
        <v>193</v>
      </c>
      <c r="J31" s="6" t="s">
        <v>197</v>
      </c>
      <c r="K31" s="7" t="s">
        <v>191</v>
      </c>
      <c r="L31" s="8" t="s">
        <v>192</v>
      </c>
      <c r="M31" s="9" t="s">
        <v>105</v>
      </c>
    </row>
    <row r="32" spans="1:13" ht="25.5" customHeight="1" x14ac:dyDescent="0.25">
      <c r="A32" s="4">
        <f t="shared" si="0"/>
        <v>28</v>
      </c>
      <c r="B32" s="5">
        <v>46300.707997685182</v>
      </c>
      <c r="C32" s="4" t="s">
        <v>198</v>
      </c>
      <c r="D32" s="4" t="s">
        <v>105</v>
      </c>
      <c r="E32" s="11" t="s">
        <v>199</v>
      </c>
      <c r="F32" s="4" t="s">
        <v>187</v>
      </c>
      <c r="G32" s="4" t="s">
        <v>20</v>
      </c>
      <c r="H32" s="4" t="s">
        <v>189</v>
      </c>
      <c r="I32" s="6" t="s">
        <v>193</v>
      </c>
      <c r="J32" s="6" t="s">
        <v>197</v>
      </c>
      <c r="K32" s="7" t="s">
        <v>191</v>
      </c>
      <c r="L32" s="8" t="s">
        <v>192</v>
      </c>
      <c r="M32" s="9" t="s">
        <v>105</v>
      </c>
    </row>
    <row r="33" spans="1:13" ht="25.5" customHeight="1" x14ac:dyDescent="0.25">
      <c r="A33" s="4">
        <f t="shared" si="0"/>
        <v>29</v>
      </c>
      <c r="B33" s="5">
        <v>46303.615104166667</v>
      </c>
      <c r="C33" s="4" t="s">
        <v>200</v>
      </c>
      <c r="D33" s="4"/>
      <c r="E33" s="11" t="s">
        <v>201</v>
      </c>
      <c r="F33" s="4" t="s">
        <v>202</v>
      </c>
      <c r="G33" s="4" t="s">
        <v>188</v>
      </c>
      <c r="H33" s="4" t="s">
        <v>203</v>
      </c>
      <c r="I33" s="6" t="s">
        <v>22</v>
      </c>
      <c r="J33" s="6" t="s">
        <v>117</v>
      </c>
      <c r="K33" s="7" t="s">
        <v>204</v>
      </c>
      <c r="L33" s="8" t="s">
        <v>205</v>
      </c>
      <c r="M33" s="9" t="s">
        <v>261</v>
      </c>
    </row>
    <row r="34" spans="1:13" ht="25.5" customHeight="1" x14ac:dyDescent="0.25">
      <c r="A34" s="4">
        <f t="shared" si="0"/>
        <v>30</v>
      </c>
      <c r="B34" s="5">
        <v>46303.491412037038</v>
      </c>
      <c r="C34" s="4" t="s">
        <v>206</v>
      </c>
      <c r="D34" s="4"/>
      <c r="E34" s="11" t="s">
        <v>207</v>
      </c>
      <c r="F34" s="4" t="s">
        <v>208</v>
      </c>
      <c r="G34" s="4" t="s">
        <v>20</v>
      </c>
      <c r="H34" s="4" t="s">
        <v>209</v>
      </c>
      <c r="I34" s="6" t="s">
        <v>22</v>
      </c>
      <c r="J34" s="6" t="s">
        <v>23</v>
      </c>
      <c r="K34" s="7" t="s">
        <v>210</v>
      </c>
      <c r="L34" s="8" t="s">
        <v>211</v>
      </c>
      <c r="M34" s="9" t="s">
        <v>261</v>
      </c>
    </row>
    <row r="35" spans="1:13" ht="25.5" customHeight="1" x14ac:dyDescent="0.25">
      <c r="A35" s="4">
        <f t="shared" si="0"/>
        <v>31</v>
      </c>
      <c r="B35" s="5">
        <v>46303.672500000001</v>
      </c>
      <c r="C35" s="4" t="s">
        <v>212</v>
      </c>
      <c r="D35" s="4"/>
      <c r="E35" s="11" t="s">
        <v>213</v>
      </c>
      <c r="F35" s="4" t="s">
        <v>214</v>
      </c>
      <c r="G35" s="4" t="s">
        <v>188</v>
      </c>
      <c r="H35" s="4" t="s">
        <v>215</v>
      </c>
      <c r="I35" s="6" t="s">
        <v>44</v>
      </c>
      <c r="J35" s="6" t="s">
        <v>23</v>
      </c>
      <c r="K35" s="7" t="s">
        <v>216</v>
      </c>
      <c r="L35" s="8" t="s">
        <v>217</v>
      </c>
      <c r="M35" s="9" t="s">
        <v>267</v>
      </c>
    </row>
    <row r="36" spans="1:13" ht="25.5" customHeight="1" x14ac:dyDescent="0.25">
      <c r="A36" s="4">
        <f t="shared" si="0"/>
        <v>32</v>
      </c>
      <c r="B36" s="5">
        <v>46303.638761574075</v>
      </c>
      <c r="C36" s="4" t="s">
        <v>223</v>
      </c>
      <c r="D36" s="4"/>
      <c r="E36" s="11" t="s">
        <v>220</v>
      </c>
      <c r="F36" s="4" t="s">
        <v>218</v>
      </c>
      <c r="G36" s="4" t="s">
        <v>20</v>
      </c>
      <c r="H36" s="4" t="s">
        <v>221</v>
      </c>
      <c r="I36" s="6" t="s">
        <v>22</v>
      </c>
      <c r="J36" s="6" t="s">
        <v>23</v>
      </c>
      <c r="K36" s="7" t="s">
        <v>222</v>
      </c>
      <c r="L36" s="8" t="s">
        <v>219</v>
      </c>
      <c r="M36" s="9" t="s">
        <v>269</v>
      </c>
    </row>
    <row r="37" spans="1:13" ht="25.5" customHeight="1" x14ac:dyDescent="0.25">
      <c r="A37" s="4">
        <f t="shared" si="0"/>
        <v>33</v>
      </c>
      <c r="B37" s="5">
        <v>46302.639224537037</v>
      </c>
      <c r="C37" s="4" t="s">
        <v>224</v>
      </c>
      <c r="D37" s="4"/>
      <c r="E37" s="11" t="s">
        <v>225</v>
      </c>
      <c r="F37" s="4" t="s">
        <v>226</v>
      </c>
      <c r="G37" s="4" t="s">
        <v>20</v>
      </c>
      <c r="H37" s="4" t="s">
        <v>209</v>
      </c>
      <c r="I37" s="6" t="s">
        <v>22</v>
      </c>
      <c r="J37" s="6" t="s">
        <v>23</v>
      </c>
      <c r="K37" s="7" t="s">
        <v>227</v>
      </c>
      <c r="L37" s="8" t="s">
        <v>211</v>
      </c>
      <c r="M37" s="9" t="s">
        <v>260</v>
      </c>
    </row>
    <row r="38" spans="1:13" ht="25.5" customHeight="1" x14ac:dyDescent="0.25">
      <c r="A38" s="4">
        <f t="shared" si="0"/>
        <v>34</v>
      </c>
      <c r="B38" s="5">
        <v>46303.548159722224</v>
      </c>
      <c r="C38" s="4" t="s">
        <v>228</v>
      </c>
      <c r="D38" s="4"/>
      <c r="E38" s="11" t="s">
        <v>229</v>
      </c>
      <c r="F38" s="4" t="s">
        <v>230</v>
      </c>
      <c r="G38" s="4" t="s">
        <v>20</v>
      </c>
      <c r="H38" s="4" t="s">
        <v>231</v>
      </c>
      <c r="I38" s="6" t="s">
        <v>44</v>
      </c>
      <c r="J38" s="6" t="s">
        <v>117</v>
      </c>
      <c r="K38" s="7" t="s">
        <v>232</v>
      </c>
      <c r="L38" s="8" t="s">
        <v>233</v>
      </c>
      <c r="M38" s="9" t="s">
        <v>263</v>
      </c>
    </row>
    <row r="39" spans="1:13" ht="25.5" customHeight="1" x14ac:dyDescent="0.25">
      <c r="A39" s="4">
        <f t="shared" si="0"/>
        <v>35</v>
      </c>
      <c r="B39" s="5">
        <v>46303.68613425926</v>
      </c>
      <c r="C39" s="4" t="s">
        <v>234</v>
      </c>
      <c r="D39" s="4"/>
      <c r="E39" s="11" t="s">
        <v>235</v>
      </c>
      <c r="F39" s="4" t="s">
        <v>236</v>
      </c>
      <c r="G39" s="4" t="s">
        <v>20</v>
      </c>
      <c r="H39" s="4" t="s">
        <v>237</v>
      </c>
      <c r="I39" s="6" t="s">
        <v>22</v>
      </c>
      <c r="J39" s="6" t="s">
        <v>23</v>
      </c>
      <c r="K39" s="7" t="s">
        <v>238</v>
      </c>
      <c r="L39" s="8" t="s">
        <v>239</v>
      </c>
      <c r="M39" s="9" t="s">
        <v>260</v>
      </c>
    </row>
    <row r="40" spans="1:13" ht="25.5" customHeight="1" x14ac:dyDescent="0.25">
      <c r="A40" s="4">
        <f t="shared" si="0"/>
        <v>36</v>
      </c>
      <c r="B40" s="5">
        <v>46303.675856481481</v>
      </c>
      <c r="C40" s="4" t="s">
        <v>240</v>
      </c>
      <c r="D40" s="4"/>
      <c r="E40" s="11" t="s">
        <v>241</v>
      </c>
      <c r="F40" s="4" t="s">
        <v>242</v>
      </c>
      <c r="G40" s="4" t="s">
        <v>188</v>
      </c>
      <c r="H40" s="4" t="s">
        <v>243</v>
      </c>
      <c r="I40" s="6" t="s">
        <v>22</v>
      </c>
      <c r="J40" s="6" t="s">
        <v>117</v>
      </c>
      <c r="K40" s="7" t="s">
        <v>244</v>
      </c>
      <c r="L40" s="8" t="s">
        <v>245</v>
      </c>
      <c r="M40" s="9" t="s">
        <v>267</v>
      </c>
    </row>
    <row r="41" spans="1:13" ht="25.5" customHeight="1" x14ac:dyDescent="0.25">
      <c r="A41" s="4">
        <f>A40+1</f>
        <v>37</v>
      </c>
      <c r="B41" s="5">
        <v>46303.5700462963</v>
      </c>
      <c r="C41" s="4" t="s">
        <v>246</v>
      </c>
      <c r="D41" s="4"/>
      <c r="E41" s="11" t="s">
        <v>247</v>
      </c>
      <c r="F41" s="4" t="s">
        <v>242</v>
      </c>
      <c r="G41" s="4" t="s">
        <v>248</v>
      </c>
      <c r="H41" s="4" t="s">
        <v>249</v>
      </c>
      <c r="I41" s="6" t="s">
        <v>30</v>
      </c>
      <c r="J41" s="6" t="s">
        <v>23</v>
      </c>
      <c r="K41" s="7" t="s">
        <v>250</v>
      </c>
      <c r="L41" s="8" t="s">
        <v>251</v>
      </c>
      <c r="M41" s="9" t="s">
        <v>261</v>
      </c>
    </row>
    <row r="42" spans="1:13" ht="25.5" customHeight="1" x14ac:dyDescent="0.25">
      <c r="A42" s="4">
        <v>38</v>
      </c>
      <c r="B42" s="5">
        <v>46303.668877314813</v>
      </c>
      <c r="C42" s="4" t="s">
        <v>252</v>
      </c>
      <c r="D42" s="4"/>
      <c r="E42" s="11" t="s">
        <v>253</v>
      </c>
      <c r="F42" s="4" t="s">
        <v>254</v>
      </c>
      <c r="G42" s="4" t="s">
        <v>20</v>
      </c>
      <c r="H42" s="4" t="s">
        <v>255</v>
      </c>
      <c r="I42" s="6" t="s">
        <v>256</v>
      </c>
      <c r="J42" s="6" t="s">
        <v>257</v>
      </c>
      <c r="K42" s="7" t="s">
        <v>258</v>
      </c>
      <c r="L42" s="8" t="s">
        <v>259</v>
      </c>
      <c r="M42" s="22" t="s">
        <v>263</v>
      </c>
    </row>
    <row r="43" spans="1:13" ht="25.5" customHeight="1" x14ac:dyDescent="0.25">
      <c r="A43" s="4">
        <f t="shared" ref="A43:A51" si="1">A42+1</f>
        <v>39</v>
      </c>
      <c r="B43" s="5"/>
      <c r="C43" s="4"/>
      <c r="D43" s="4"/>
      <c r="E43" s="21" t="s">
        <v>276</v>
      </c>
      <c r="F43" s="17" t="s">
        <v>292</v>
      </c>
      <c r="G43" s="18"/>
      <c r="H43" s="17" t="s">
        <v>270</v>
      </c>
      <c r="I43" s="17" t="s">
        <v>286</v>
      </c>
      <c r="J43" s="17" t="s">
        <v>288</v>
      </c>
      <c r="K43" s="19"/>
      <c r="L43" s="20"/>
      <c r="M43" s="23" t="s">
        <v>263</v>
      </c>
    </row>
    <row r="44" spans="1:13" ht="42" customHeight="1" x14ac:dyDescent="0.25">
      <c r="A44" s="4">
        <v>39</v>
      </c>
      <c r="B44" s="5"/>
      <c r="C44" s="4"/>
      <c r="D44" s="4"/>
      <c r="E44" s="21" t="s">
        <v>277</v>
      </c>
      <c r="F44" s="17" t="s">
        <v>292</v>
      </c>
      <c r="G44" s="18"/>
      <c r="H44" s="17" t="s">
        <v>271</v>
      </c>
      <c r="I44" s="17" t="s">
        <v>287</v>
      </c>
      <c r="J44" s="17" t="s">
        <v>288</v>
      </c>
      <c r="K44" s="19"/>
      <c r="L44" s="20"/>
      <c r="M44" s="23" t="s">
        <v>261</v>
      </c>
    </row>
    <row r="45" spans="1:13" ht="49.5" customHeight="1" x14ac:dyDescent="0.25">
      <c r="A45" s="4">
        <f t="shared" ref="A45:A51" si="2">A44+1</f>
        <v>40</v>
      </c>
      <c r="B45" s="5"/>
      <c r="C45" s="4"/>
      <c r="D45" s="4"/>
      <c r="E45" s="21" t="s">
        <v>278</v>
      </c>
      <c r="F45" s="17" t="s">
        <v>292</v>
      </c>
      <c r="G45" s="18"/>
      <c r="H45" s="17" t="s">
        <v>272</v>
      </c>
      <c r="I45" s="17" t="s">
        <v>286</v>
      </c>
      <c r="J45" s="17" t="s">
        <v>288</v>
      </c>
      <c r="K45" s="19"/>
      <c r="L45" s="20"/>
      <c r="M45" s="23" t="s">
        <v>266</v>
      </c>
    </row>
    <row r="46" spans="1:13" ht="49.5" customHeight="1" x14ac:dyDescent="0.25">
      <c r="A46" s="4">
        <v>40</v>
      </c>
      <c r="B46" s="5"/>
      <c r="C46" s="4"/>
      <c r="D46" s="4"/>
      <c r="E46" s="21" t="s">
        <v>279</v>
      </c>
      <c r="F46" s="17" t="s">
        <v>292</v>
      </c>
      <c r="G46" s="18"/>
      <c r="H46" s="17" t="s">
        <v>272</v>
      </c>
      <c r="I46" s="17" t="s">
        <v>286</v>
      </c>
      <c r="J46" s="17" t="s">
        <v>288</v>
      </c>
      <c r="K46" s="19"/>
      <c r="L46" s="20"/>
      <c r="M46" s="23" t="s">
        <v>266</v>
      </c>
    </row>
    <row r="47" spans="1:13" ht="45" customHeight="1" x14ac:dyDescent="0.25">
      <c r="A47" s="4">
        <f t="shared" ref="A47:A51" si="3">A46+1</f>
        <v>41</v>
      </c>
      <c r="B47" s="5"/>
      <c r="C47" s="4"/>
      <c r="D47" s="4"/>
      <c r="E47" s="21" t="s">
        <v>280</v>
      </c>
      <c r="F47" s="17" t="s">
        <v>293</v>
      </c>
      <c r="G47" s="18"/>
      <c r="H47" s="17" t="s">
        <v>273</v>
      </c>
      <c r="I47" s="17" t="s">
        <v>287</v>
      </c>
      <c r="J47" s="17" t="s">
        <v>289</v>
      </c>
      <c r="K47" s="19"/>
      <c r="L47" s="20"/>
      <c r="M47" s="23" t="s">
        <v>285</v>
      </c>
    </row>
    <row r="48" spans="1:13" ht="53.25" customHeight="1" x14ac:dyDescent="0.25">
      <c r="A48" s="4">
        <v>41</v>
      </c>
      <c r="B48" s="5"/>
      <c r="C48" s="4"/>
      <c r="D48" s="4"/>
      <c r="E48" s="21" t="s">
        <v>281</v>
      </c>
      <c r="F48" s="17" t="s">
        <v>293</v>
      </c>
      <c r="G48" s="18"/>
      <c r="H48" s="17" t="s">
        <v>274</v>
      </c>
      <c r="I48" s="17" t="s">
        <v>287</v>
      </c>
      <c r="J48" s="17" t="s">
        <v>290</v>
      </c>
      <c r="K48" s="19"/>
      <c r="L48" s="20"/>
      <c r="M48" s="23" t="s">
        <v>285</v>
      </c>
    </row>
    <row r="49" spans="1:13" ht="52.5" customHeight="1" x14ac:dyDescent="0.25">
      <c r="A49" s="4">
        <f t="shared" ref="A49:A51" si="4">A48+1</f>
        <v>42</v>
      </c>
      <c r="B49" s="5"/>
      <c r="C49" s="4"/>
      <c r="D49" s="4"/>
      <c r="E49" s="21" t="s">
        <v>282</v>
      </c>
      <c r="F49" s="17" t="s">
        <v>293</v>
      </c>
      <c r="G49" s="18"/>
      <c r="H49" s="17" t="s">
        <v>273</v>
      </c>
      <c r="I49" s="17" t="s">
        <v>286</v>
      </c>
      <c r="J49" s="17" t="s">
        <v>290</v>
      </c>
      <c r="K49" s="19"/>
      <c r="L49" s="20"/>
      <c r="M49" s="23" t="s">
        <v>285</v>
      </c>
    </row>
    <row r="50" spans="1:13" ht="58.5" customHeight="1" x14ac:dyDescent="0.25">
      <c r="A50" s="4">
        <v>42</v>
      </c>
      <c r="B50" s="5"/>
      <c r="C50" s="4"/>
      <c r="D50" s="4"/>
      <c r="E50" s="21" t="s">
        <v>283</v>
      </c>
      <c r="F50" s="17" t="s">
        <v>293</v>
      </c>
      <c r="G50" s="18"/>
      <c r="H50" s="17" t="s">
        <v>273</v>
      </c>
      <c r="I50" s="17" t="s">
        <v>287</v>
      </c>
      <c r="J50" s="17" t="s">
        <v>291</v>
      </c>
      <c r="K50" s="19"/>
      <c r="L50" s="20"/>
      <c r="M50" s="23" t="s">
        <v>285</v>
      </c>
    </row>
    <row r="51" spans="1:13" ht="50.25" customHeight="1" x14ac:dyDescent="0.25">
      <c r="A51" s="4">
        <f t="shared" ref="A51" si="5">A50+1</f>
        <v>43</v>
      </c>
      <c r="B51" s="5"/>
      <c r="C51" s="4"/>
      <c r="D51" s="4"/>
      <c r="E51" s="21" t="s">
        <v>284</v>
      </c>
      <c r="F51" s="17" t="s">
        <v>293</v>
      </c>
      <c r="G51" s="18"/>
      <c r="H51" s="17" t="s">
        <v>275</v>
      </c>
      <c r="I51" s="17" t="s">
        <v>287</v>
      </c>
      <c r="J51" s="17" t="s">
        <v>291</v>
      </c>
      <c r="K51" s="19"/>
      <c r="L51" s="20"/>
      <c r="M51" s="23" t="s">
        <v>285</v>
      </c>
    </row>
    <row r="52" spans="1:13" ht="25.5" customHeight="1" x14ac:dyDescent="0.25">
      <c r="A52" s="27"/>
      <c r="B52" s="28"/>
      <c r="C52" s="28"/>
      <c r="D52" s="28"/>
      <c r="E52" s="28"/>
      <c r="F52" s="28"/>
      <c r="G52" s="28"/>
      <c r="H52" s="28"/>
      <c r="I52" s="28"/>
      <c r="J52" s="29"/>
      <c r="K52" s="27" t="s">
        <v>295</v>
      </c>
      <c r="L52" s="28"/>
      <c r="M52" s="29"/>
    </row>
  </sheetData>
  <mergeCells count="5">
    <mergeCell ref="B1:M1"/>
    <mergeCell ref="K4:L4"/>
    <mergeCell ref="E2:K2"/>
    <mergeCell ref="A52:J52"/>
    <mergeCell ref="K52:M52"/>
  </mergeCells>
  <pageMargins left="0.23622047244094491" right="0.23622047244094491" top="0.74803149606299213" bottom="0.74803149606299213" header="0.51181102362204722" footer="0.51181102362204722"/>
  <pageSetup paperSize="9" scale="4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2026-10-08T13:12:09Z</cp:lastPrinted>
  <dcterms:created xsi:type="dcterms:W3CDTF">2026-10-08T12:20:38Z</dcterms:created>
  <dcterms:modified xsi:type="dcterms:W3CDTF">2026-10-08T13:24:03Z</dcterms:modified>
</cp:coreProperties>
</file>
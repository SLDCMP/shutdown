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 s="1"/>
  <c r="A39" i="1" s="1"/>
  <c r="A40" i="1" s="1"/>
  <c r="A41" i="1" s="1"/>
  <c r="A42" i="1" s="1"/>
  <c r="A43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<sst xmlns="http://schemas.openxmlformats.org/spreadsheetml/2006/main" count="408" uniqueCount="278">
  <si>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</si>
  <si>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</si>
  <si>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</si>
  <si>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</si>
  <si>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</si>
  <si>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</si>
  <si>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</si>
  <si>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</si>
  <si>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</si>
  <si>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</si>
  <si>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</si>
  <si>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</si>
  <si>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</si>
  <si>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</si>
  <si>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</si>
  <si>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</si>
  <si>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</si>
  <si>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MR2606/0048</t>
  </si>
  <si>
    <t>Continuous</t>
  </si>
  <si>
    <t>220KV_Anuppur traction 2</t>
  </si>
  <si>
    <t>220KV_AMARKANTAK</t>
  </si>
  <si>
    <t>NON-OCCM-WR</t>
  </si>
  <si>
    <t>03-06-2026 21:00:00</t>
  </si>
  <si>
    <t>04-06-2026 09:00:00</t>
  </si>
  <si>
    <t>Vijay Kothari</t>
  </si>
  <si>
    <t>9425808910</t>
  </si>
  <si>
    <t>MR2606/0049</t>
  </si>
  <si>
    <t>220KV_220 kV Amarkantak-Anuppur Circuit I</t>
  </si>
  <si>
    <t>NON-OCCM-MP</t>
  </si>
  <si>
    <t>For OPGW shifting work</t>
  </si>
  <si>
    <t>04-06-2026 08:00:00</t>
  </si>
  <si>
    <t>04-06-2026 18:00:00</t>
  </si>
  <si>
    <t>Jagdish Prasad Asati</t>
  </si>
  <si>
    <t>9424445533</t>
  </si>
  <si>
    <t>MR2606/0062</t>
  </si>
  <si>
    <t>220KV_220KV Main Bus 1</t>
  </si>
  <si>
    <t>shifting of OPGW cable by MPPTCL</t>
  </si>
  <si>
    <t>Ajay parteti</t>
  </si>
  <si>
    <t>9425808877</t>
  </si>
  <si>
    <t>MR2605/0367</t>
  </si>
  <si>
    <t>Daily</t>
  </si>
  <si>
    <t>220KV_220 kV Anuppur-Kotmikala Circuit I</t>
  </si>
  <si>
    <t>220KV_ANUPPUR</t>
  </si>
  <si>
    <t>For Conductor re-sagging work maintained</t>
  </si>
  <si>
    <t>25-05-2026 08:00:00</t>
  </si>
  <si>
    <t>08-06-2026 18:00:00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</si>
  <si>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</si>
  <si>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</si>
  <si>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</si>
  <si>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</si>
  <si>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</si>
  <si>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</si>
  <si>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</si>
  <si>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</si>
  <si>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</si>
  <si>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</si>
  <si>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</si>
  <si>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</si>
  <si>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</si>
  <si>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</si>
  <si>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</si>
  <si>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</si>
  <si>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MR2606/0045</t>
  </si>
  <si>
    <t>220KV_160MVA X-MER MAKE BHEL</t>
  </si>
  <si>
    <t>220KV_GUDGAON2</t>
  </si>
  <si>
    <t>OIL LEAKAGE ATTENDING WORK</t>
  </si>
  <si>
    <t>04-06-2026 10:00:00</t>
  </si>
  <si>
    <t>ER SANJAY KUMAR PAWAR</t>
  </si>
  <si>
    <t>9425802293</t>
  </si>
  <si>
    <t>MR2605/0727</t>
  </si>
  <si>
    <t>400KV_U#05</t>
  </si>
  <si>
    <t>400KV_INDIRASAGAR</t>
  </si>
  <si>
    <t>ANNUAL MAINTENANCE</t>
  </si>
  <si>
    <t>01-06-2026 06:00:00</t>
  </si>
  <si>
    <t>15-06-2026 18:00:00</t>
  </si>
  <si>
    <t>SANJAY PATEL</t>
  </si>
  <si>
    <t>9575074321</t>
  </si>
  <si>
    <t>MR2606/0044</t>
  </si>
  <si>
    <t>220KV_220/132KV 160MVA Transformer No.-02</t>
  </si>
  <si>
    <t>220KV_ITARSI</t>
  </si>
  <si>
    <t>Pre Monsoon Maintanence work.</t>
  </si>
  <si>
    <t>04-06-2026 07:00:00</t>
  </si>
  <si>
    <t>04-06-2026 16:00:00</t>
  </si>
  <si>
    <t>J.D.Khoria</t>
  </si>
  <si>
    <t>9425804975</t>
  </si>
  <si>
    <t>MR2606/0053</t>
  </si>
  <si>
    <t>220KV_160 MVA BHEL X-MER</t>
  </si>
  <si>
    <t>220KV_JABALPUR</t>
  </si>
  <si>
    <t>OLI LIKEG ATTAND WORK</t>
  </si>
  <si>
    <t>04-06-2026 19:00:00</t>
  </si>
  <si>
    <t>D.N. PODDAR</t>
  </si>
  <si>
    <t>9425805034</t>
  </si>
  <si>
    <t>MR2606/0028</t>
  </si>
  <si>
    <t>220KV_220KV Jabalpur-Narsingpur CKT-II</t>
  </si>
  <si>
    <t>erection &amp; stringing work of 132 Jabalpur-Shahpura</t>
  </si>
  <si>
    <t>03-06-2026 09:00:00</t>
  </si>
  <si>
    <t>20-06-2026 17:00:00</t>
  </si>
  <si>
    <t>Rajesh Tiwari</t>
  </si>
  <si>
    <t>7898239595</t>
  </si>
  <si>
    <t>01-06-2026 09:00:00</t>
  </si>
  <si>
    <t>220KV_220 kv bus coupler</t>
  </si>
  <si>
    <t>220KV_JAORA</t>
  </si>
  <si>
    <t>PreeMANSOON MAINTANCE WORK</t>
  </si>
  <si>
    <t>04-06-2026 13:00:00</t>
  </si>
  <si>
    <t>RAKESH BADGOTYA</t>
  </si>
  <si>
    <t>7587951143</t>
  </si>
  <si>
    <t>MR2606/0057</t>
  </si>
  <si>
    <t>MR2605/0721</t>
  </si>
  <si>
    <t>132KV_132 KV KATNI - KAYMORE LINE CKT - 1st &amp; 2nd</t>
  </si>
  <si>
    <t>400KV_KATNI4</t>
  </si>
  <si>
    <t>Re-sagging  of  Conductor and  other line maintena</t>
  </si>
  <si>
    <t>10-06-2026 18:00:00</t>
  </si>
  <si>
    <t>MANOJ KUMAR TIWARI</t>
  </si>
  <si>
    <t>9425804993</t>
  </si>
  <si>
    <t>MR2606/0055</t>
  </si>
  <si>
    <t>132KV_40 MVA (BHEL) X-MER -1</t>
  </si>
  <si>
    <t>132KV_KHURAI</t>
  </si>
  <si>
    <t>Transformer panting  work.</t>
  </si>
  <si>
    <t>Bhupendra Khawse</t>
  </si>
  <si>
    <t>9425806471</t>
  </si>
  <si>
    <t>220KV_220 KV  Kotar - Tons Ckt-II</t>
  </si>
  <si>
    <t>220KV_KOTAR</t>
  </si>
  <si>
    <t>For double fitting work</t>
  </si>
  <si>
    <t>26-05-2026 09:00:00</t>
  </si>
  <si>
    <t>10-06-2026 17:00:00</t>
  </si>
  <si>
    <t>Mr. R.K.Prajapati</t>
  </si>
  <si>
    <t>9407070182</t>
  </si>
  <si>
    <t>MR2605/0635</t>
  </si>
  <si>
    <t>MR2606/0058</t>
  </si>
  <si>
    <t>220KV_220KV Mehgaon Auraiya line</t>
  </si>
  <si>
    <t>220KV_MEHGAON</t>
  </si>
  <si>
    <t>OCCM-MP</t>
  </si>
  <si>
    <t>Old insulator replacement work &amp; line maintenanace</t>
  </si>
  <si>
    <t>Baidyanath Kumar</t>
  </si>
  <si>
    <t>6265588473</t>
  </si>
  <si>
    <t>MR2606/0051</t>
  </si>
  <si>
    <t>220KV_220kv nagda UJJAIN CKT 1</t>
  </si>
  <si>
    <t>400KV_NAGDA4</t>
  </si>
  <si>
    <t>RE SAGGING B/W LOC NO 14-20</t>
  </si>
  <si>
    <t>K SACHINDRA</t>
  </si>
  <si>
    <t>9425805295</t>
  </si>
  <si>
    <t>MR2606/0027</t>
  </si>
  <si>
    <t>220KV_220KV Neemuch Mandsaur Circuit IInd</t>
  </si>
  <si>
    <t>220KV_NEEMUCH</t>
  </si>
  <si>
    <t>765KV Power Line Crossing Work</t>
  </si>
  <si>
    <t>03-06-2026 08:00:00</t>
  </si>
  <si>
    <t>07-06-2026 19:00:00</t>
  </si>
  <si>
    <t>Gaurav Goyal</t>
  </si>
  <si>
    <t>9425805120</t>
  </si>
  <si>
    <t>MR2606/0026</t>
  </si>
  <si>
    <t>220KV_220KV Neemuch Mandsaur circuit Ist</t>
  </si>
  <si>
    <t>765KV Power line crossing work</t>
  </si>
  <si>
    <t>Gaurav  Goyal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</si>
  <si>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</si>
  <si>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</si>
  <si>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</si>
  <si>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</si>
  <si>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</si>
  <si>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</si>
  <si>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</si>
  <si>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MR2605/0379</t>
  </si>
  <si>
    <t>220KV_PANDHURNA BETUL PGCIL</t>
  </si>
  <si>
    <t>220KV_PANDHURNA</t>
  </si>
  <si>
    <t>RESAGGING WORK BETWEEN LOC. NO. 178-194</t>
  </si>
  <si>
    <t>01-06-2026 07:00:00</t>
  </si>
  <si>
    <t>06-06-2026 18:00:00</t>
  </si>
  <si>
    <t>SHIV KUMAR</t>
  </si>
  <si>
    <t>9425806917</t>
  </si>
  <si>
    <t>MR2606/0061</t>
  </si>
  <si>
    <t>220KV_220KV Inter connector-2 (400kv S/s Pithampur -220kv S/s Pithampur-3)</t>
  </si>
  <si>
    <t>400KV_PITHAMPUR4</t>
  </si>
  <si>
    <t>For Y phase CVT installation work</t>
  </si>
  <si>
    <t>Rajudas bairagi</t>
  </si>
  <si>
    <t>9425801532</t>
  </si>
  <si>
    <t>MR2605/0713</t>
  </si>
  <si>
    <t>220KV_220KV Inter-Connector-II (Pithampur-Pithampur Sec-III)</t>
  </si>
  <si>
    <t>For Pre-monsoon maintenance &amp; Testing work</t>
  </si>
  <si>
    <t>04-06-2026 17:00:00</t>
  </si>
  <si>
    <t>Rajudas Bairagi</t>
  </si>
  <si>
    <t>MR2606/0054</t>
  </si>
  <si>
    <t>132KV_132kv Sabalgarh Motijheel Ckt</t>
  </si>
  <si>
    <t>220KV_SABALGARH</t>
  </si>
  <si>
    <t>Line Maintenance work</t>
  </si>
  <si>
    <t>Suraj Pawar</t>
  </si>
  <si>
    <t>9425814079</t>
  </si>
  <si>
    <t>MR2606/0050</t>
  </si>
  <si>
    <t>132KV_40 MVA-X-MER BHEL</t>
  </si>
  <si>
    <t>220KV_SARNI</t>
  </si>
  <si>
    <t>132 KV CT REPLACEMENT WORK</t>
  </si>
  <si>
    <t>Er. Anup kumar Dange</t>
  </si>
  <si>
    <t>9425814073</t>
  </si>
  <si>
    <t>MR2605/0726</t>
  </si>
  <si>
    <t>220KV_220  kv Satna (MPPTCL)  â¿¿  Kotar  line</t>
  </si>
  <si>
    <t>220KV_SATNA</t>
  </si>
  <si>
    <t>For double  fitting work</t>
  </si>
  <si>
    <t>31-05-2026 08:00:00</t>
  </si>
  <si>
    <t>09-06-2026 19:00:00</t>
  </si>
  <si>
    <t>MR2606/0047</t>
  </si>
  <si>
    <t>132KV_132kV Seoni Lakhnadon SC Feeder</t>
  </si>
  <si>
    <t>220KV_SEONI</t>
  </si>
  <si>
    <t>Work for replacement of flashover disc insulator</t>
  </si>
  <si>
    <t>Amol Shende</t>
  </si>
  <si>
    <t>7587951136</t>
  </si>
  <si>
    <t>MR2606/0060</t>
  </si>
  <si>
    <t>132KV_132 KV Shahpura-RTS Line</t>
  </si>
  <si>
    <t>132KV_SHAHPURA</t>
  </si>
  <si>
    <t>Pre - Monsoon Maintenance work.</t>
  </si>
  <si>
    <t>04-06-2026 11:00:00</t>
  </si>
  <si>
    <t>Shri Ashish Kumar</t>
  </si>
  <si>
    <t>9425805935</t>
  </si>
  <si>
    <t>MR2606/0063</t>
  </si>
  <si>
    <t>220KV_220 KV Singaji to Chhegaon CKT-01</t>
  </si>
  <si>
    <t>400KV_SINGHAJI TPS</t>
  </si>
  <si>
    <t>Preventive maintenance of switchyard</t>
  </si>
  <si>
    <t>Yogesh Chouhan</t>
  </si>
  <si>
    <t>7999328631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</si>
  <si>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</si>
  <si>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</si>
  <si>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</si>
  <si>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</si>
  <si>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</si>
  <si>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</si>
  <si>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</si>
  <si>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</si>
  <si>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MR2606/0043</t>
  </si>
  <si>
    <t>220KV_160MVA X-MER-III BHEL</t>
  </si>
  <si>
    <t>220KV_VIDISHA</t>
  </si>
  <si>
    <t>Air Cell maintenance by company Engineer</t>
  </si>
  <si>
    <t>SHRI A A QURESHI</t>
  </si>
  <si>
    <t>9425804318</t>
  </si>
  <si>
    <t>MR2606/0059</t>
  </si>
  <si>
    <t>132KV_132kV vidisha Raisen CKT-I</t>
  </si>
  <si>
    <t>for conductor reparing work</t>
  </si>
  <si>
    <t>Rajkumar Bhusare</t>
  </si>
  <si>
    <t>9425820042</t>
  </si>
  <si>
    <t>deferred, not in WR list</t>
  </si>
  <si>
    <t>ok, through sub ld</t>
  </si>
  <si>
    <t>as per system availability</t>
  </si>
  <si>
    <t>real time</t>
  </si>
  <si>
    <t>ok</t>
  </si>
  <si>
    <t>deferred</t>
  </si>
  <si>
    <t>deferred due to s/d on 220KV-PITHAMPUR-RAJGARH-1</t>
  </si>
  <si>
    <t>sub ld</t>
  </si>
  <si>
    <t>deferred due to s/d on 220  kv Satna (MPPTCL) - Kotar  line</t>
  </si>
  <si>
    <t>RTS consent required</t>
  </si>
  <si>
    <t>o&amp;m consnet required</t>
  </si>
  <si>
    <t>shifting of OPGW cable work</t>
  </si>
  <si>
    <t>ok, as per RTS consent</t>
  </si>
  <si>
    <t>deferred due to high SSTPS generation</t>
  </si>
  <si>
    <t>ok, timely normalisation is required</t>
  </si>
  <si>
    <t>220KV-PITHAMPUR-RAJGARH-1</t>
  </si>
  <si>
    <t>400KV-INDORE-MP-ASOJ-2</t>
  </si>
  <si>
    <t>ITARSI - 220KV - BUS 1</t>
  </si>
  <si>
    <t>220KV-SHUJALPUR-SHUJALPUR-MP-1</t>
  </si>
  <si>
    <t>220KV-SATNA-MAIHAR-1</t>
  </si>
  <si>
    <t>132KV-VSTPS-WAIDHAN-1</t>
  </si>
  <si>
    <t>220KV-MEHGAON-AURIYA-1</t>
  </si>
  <si>
    <t>MP_SLDC</t>
  </si>
  <si>
    <t>POWERGRID_WR2</t>
  </si>
  <si>
    <t>For LA replacement work</t>
  </si>
  <si>
    <t>line reactor to taken out due to OFFLINE filtration work at Indore MP end.</t>
  </si>
  <si>
    <t>For Attending Hot Spot in 207-89A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</si>
  <si>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</si>
  <si>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</si>
  <si>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</si>
  <si>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04-Jun-2026</t>
  </si>
  <si>
    <t>08:00</t>
  </si>
  <si>
    <t>18:59</t>
  </si>
  <si>
    <t>11:00</t>
  </si>
  <si>
    <t>13:00</t>
  </si>
  <si>
    <t>09:00</t>
  </si>
  <si>
    <t>18:00</t>
  </si>
  <si>
    <t>17:00</t>
  </si>
  <si>
    <t>19:00</t>
  </si>
  <si>
    <t xml:space="preserve">OK TORUGH SUB LD </t>
  </si>
  <si>
    <t>OK</t>
  </si>
  <si>
    <t xml:space="preserve">REAL TIME </t>
  </si>
  <si>
    <t xml:space="preserve">deferred , DUE TO RELAIBILTY ISSUE , PGCIL MAY EXPLOR OTHER OPTION FOR AVAILING THE SHUTDOWN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</si>
</sst>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14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20" fontId="5" fillId="3" borderId="5" xfId="0" applyNumberFormat="1" applyFont="1" applyFill="1" applyBorder="1" applyAlignment="1">
      <alignment horizontal="center" vertical="center" wrapText="1"/>
    </xf>
    <xf numFmtId="15" fontId="5" fillId="3" borderId="5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wrapText="1"/>
    </xf>
    <xf numFmtId="0" fontId="9" fillId="0" borderId="0" xfId="0" applyFont="1" applyAlignment="1">
      <alignment wrapText="1"/>
    </xf>
    <xf numFmtId="0" fontId="9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55"/>
  <sheetViews>
    <sheetView tabSelected="1" workbookViewId="0">
      <selection activeCell="E7" sqref="E7"/>
    </sheetView>
  </sheetViews>
  <sheetFormatPr defaultRowHeight="46.5" customHeight="1" x14ac:dyDescent="0.3"/>
  <cols>
    <col min="1" max="1" width="9.140625" style="4"/>
    <col min="2" max="2" width="11.140625" style="4" customWidth="1"/>
    <col min="3" max="3" width="8.85546875" style="4" customWidth="1"/>
    <col min="4" max="4" width="8" style="4" customWidth="1"/>
    <col min="5" max="5" width="51.5703125" style="33" customWidth="1"/>
    <col min="6" max="6" width="35.42578125" style="33" customWidth="1"/>
    <col min="7" max="7" width="9.42578125" style="4" customWidth="1"/>
    <col min="8" max="8" width="46.5703125" style="33" customWidth="1"/>
    <col min="9" max="9" width="12" style="4" customWidth="1"/>
    <col min="10" max="10" width="11.7109375" style="4" customWidth="1"/>
    <col min="11" max="11" width="11.140625" style="4" customWidth="1"/>
    <col min="12" max="12" width="6.140625" style="4" customWidth="1"/>
    <col min="13" max="13" width="44.28515625" style="33" customWidth="1"/>
    <col min="14" max="16384" width="9.140625" style="4"/>
  </cols>
  <sheetData>
    <row r="1" spans="1:13" ht="46.5" customHeight="1" x14ac:dyDescent="0.25">
      <c r="A1" s="1"/>
      <c r="B1" s="5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ht="46.5" customHeight="1" x14ac:dyDescent="0.25">
      <c r="A2" s="1" t="s">
        <v>1</v>
      </c>
      <c r="B2" s="14">
        <v>46177</v>
      </c>
      <c r="C2" s="1"/>
      <c r="D2" s="1"/>
      <c r="E2" s="27"/>
      <c r="F2" s="27"/>
      <c r="G2" s="1"/>
      <c r="H2" s="27"/>
      <c r="I2" s="1"/>
      <c r="J2" s="1"/>
      <c r="K2" s="1"/>
      <c r="L2" s="1"/>
      <c r="M2" s="27"/>
    </row>
    <row r="3" spans="1:13" ht="46.5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27"/>
      <c r="F3" s="27"/>
      <c r="G3" s="1"/>
      <c r="H3" s="27"/>
      <c r="I3" s="1"/>
      <c r="J3" s="1"/>
      <c r="K3" s="1"/>
      <c r="L3" s="1"/>
      <c r="M3" s="27"/>
    </row>
    <row r="4" spans="1:13" ht="46.5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8" t="s">
        <v>9</v>
      </c>
      <c r="F4" s="28" t="s">
        <v>10</v>
      </c>
      <c r="G4" s="2" t="s">
        <v>11</v>
      </c>
      <c r="H4" s="28" t="s">
        <v>12</v>
      </c>
      <c r="I4" s="2" t="s">
        <v>13</v>
      </c>
      <c r="J4" s="2" t="s">
        <v>14</v>
      </c>
      <c r="K4" s="15" t="s">
        <v>15</v>
      </c>
      <c r="L4" s="13"/>
      <c r="M4" s="28" t="s">
        <v>16</v>
      </c>
    </row>
    <row r="5" spans="1:13" ht="46.5" customHeight="1" x14ac:dyDescent="0.25">
      <c r="A5" s="3">
        <v>1</v>
      </c>
      <c r="B5" s="16">
        <v>46176.566990740743</v>
      </c>
      <c r="C5" s="3" t="s">
        <v>17</v>
      </c>
      <c r="D5" s="3" t="s">
        <v>18</v>
      </c>
      <c r="E5" s="28" t="s">
        <v>19</v>
      </c>
      <c r="F5" s="28" t="s">
        <v>20</v>
      </c>
      <c r="G5" s="3" t="s">
        <v>21</v>
      </c>
      <c r="H5" s="28" t="s">
        <v>246</v>
      </c>
      <c r="I5" s="17" t="s">
        <v>22</v>
      </c>
      <c r="J5" s="17" t="s">
        <v>23</v>
      </c>
      <c r="K5" s="18" t="s">
        <v>24</v>
      </c>
      <c r="L5" s="19" t="s">
        <v>25</v>
      </c>
      <c r="M5" s="28" t="s">
        <v>247</v>
      </c>
    </row>
    <row r="6" spans="1:13" ht="46.5" customHeight="1" x14ac:dyDescent="0.25">
      <c r="A6" s="3">
        <f>A5+1</f>
        <v>2</v>
      </c>
      <c r="B6" s="16">
        <v>46176.568865740737</v>
      </c>
      <c r="C6" s="3" t="s">
        <v>26</v>
      </c>
      <c r="D6" s="3"/>
      <c r="E6" s="36" t="s">
        <v>27</v>
      </c>
      <c r="F6" s="28" t="s">
        <v>20</v>
      </c>
      <c r="G6" s="3" t="s">
        <v>28</v>
      </c>
      <c r="H6" s="28" t="s">
        <v>29</v>
      </c>
      <c r="I6" s="17" t="s">
        <v>30</v>
      </c>
      <c r="J6" s="17" t="s">
        <v>31</v>
      </c>
      <c r="K6" s="18" t="s">
        <v>32</v>
      </c>
      <c r="L6" s="19" t="s">
        <v>33</v>
      </c>
      <c r="M6" s="28" t="s">
        <v>249</v>
      </c>
    </row>
    <row r="7" spans="1:13" ht="46.5" customHeight="1" x14ac:dyDescent="0.25">
      <c r="A7" s="3">
        <f t="shared" ref="A7:A43" si="0">A6+1</f>
        <v>3</v>
      </c>
      <c r="B7" s="16">
        <v>46176.713287037041</v>
      </c>
      <c r="C7" s="3" t="s">
        <v>34</v>
      </c>
      <c r="D7" s="3"/>
      <c r="E7" s="36" t="s">
        <v>35</v>
      </c>
      <c r="F7" s="28" t="s">
        <v>20</v>
      </c>
      <c r="G7" s="3" t="s">
        <v>28</v>
      </c>
      <c r="H7" s="28" t="s">
        <v>36</v>
      </c>
      <c r="I7" s="17" t="s">
        <v>23</v>
      </c>
      <c r="J7" s="17" t="s">
        <v>31</v>
      </c>
      <c r="K7" s="18" t="s">
        <v>37</v>
      </c>
      <c r="L7" s="19" t="s">
        <v>38</v>
      </c>
      <c r="M7" s="28" t="s">
        <v>239</v>
      </c>
    </row>
    <row r="8" spans="1:13" ht="46.5" customHeight="1" x14ac:dyDescent="0.25">
      <c r="A8" s="3">
        <f t="shared" si="0"/>
        <v>4</v>
      </c>
      <c r="B8" s="16">
        <v>46156.701944444445</v>
      </c>
      <c r="C8" s="3" t="s">
        <v>39</v>
      </c>
      <c r="D8" s="3" t="s">
        <v>40</v>
      </c>
      <c r="E8" s="28" t="s">
        <v>41</v>
      </c>
      <c r="F8" s="28" t="s">
        <v>42</v>
      </c>
      <c r="G8" s="3" t="s">
        <v>28</v>
      </c>
      <c r="H8" s="28" t="s">
        <v>43</v>
      </c>
      <c r="I8" s="17" t="s">
        <v>44</v>
      </c>
      <c r="J8" s="17" t="s">
        <v>45</v>
      </c>
      <c r="K8" s="18" t="s">
        <v>32</v>
      </c>
      <c r="L8" s="19" t="s">
        <v>33</v>
      </c>
      <c r="M8" s="28" t="s">
        <v>235</v>
      </c>
    </row>
    <row r="9" spans="1:13" ht="46.5" customHeight="1" x14ac:dyDescent="0.25">
      <c r="A9" s="3">
        <f t="shared" si="0"/>
        <v>5</v>
      </c>
      <c r="B9" s="16">
        <v>46154.485196759262</v>
      </c>
      <c r="C9" s="3" t="s">
        <v>46</v>
      </c>
      <c r="D9" s="3" t="s">
        <v>18</v>
      </c>
      <c r="E9" s="28" t="s">
        <v>47</v>
      </c>
      <c r="F9" s="28" t="s">
        <v>48</v>
      </c>
      <c r="G9" s="3" t="s">
        <v>28</v>
      </c>
      <c r="H9" s="28" t="s">
        <v>49</v>
      </c>
      <c r="I9" s="17" t="s">
        <v>50</v>
      </c>
      <c r="J9" s="17" t="s">
        <v>51</v>
      </c>
      <c r="K9" s="18" t="s">
        <v>52</v>
      </c>
      <c r="L9" s="19" t="s">
        <v>53</v>
      </c>
      <c r="M9" s="28" t="s">
        <v>235</v>
      </c>
    </row>
    <row r="10" spans="1:13" ht="46.5" customHeight="1" x14ac:dyDescent="0.25">
      <c r="A10" s="3">
        <f t="shared" si="0"/>
        <v>6</v>
      </c>
      <c r="B10" s="16">
        <v>46155.566747685189</v>
      </c>
      <c r="C10" s="3" t="s">
        <v>61</v>
      </c>
      <c r="D10" s="3" t="s">
        <v>18</v>
      </c>
      <c r="E10" s="28" t="s">
        <v>54</v>
      </c>
      <c r="F10" s="28" t="s">
        <v>55</v>
      </c>
      <c r="G10" s="3" t="s">
        <v>28</v>
      </c>
      <c r="H10" s="28" t="s">
        <v>56</v>
      </c>
      <c r="I10" s="17" t="s">
        <v>57</v>
      </c>
      <c r="J10" s="17" t="s">
        <v>58</v>
      </c>
      <c r="K10" s="18" t="s">
        <v>59</v>
      </c>
      <c r="L10" s="19" t="s">
        <v>60</v>
      </c>
      <c r="M10" s="28" t="s">
        <v>18</v>
      </c>
    </row>
    <row r="11" spans="1:13" ht="46.5" customHeight="1" x14ac:dyDescent="0.25">
      <c r="A11" s="3">
        <f t="shared" si="0"/>
        <v>7</v>
      </c>
      <c r="B11" s="16">
        <v>46176.499537037038</v>
      </c>
      <c r="C11" s="3" t="s">
        <v>62</v>
      </c>
      <c r="D11" s="3"/>
      <c r="E11" s="28" t="s">
        <v>63</v>
      </c>
      <c r="F11" s="28" t="s">
        <v>64</v>
      </c>
      <c r="G11" s="3" t="s">
        <v>28</v>
      </c>
      <c r="H11" s="28" t="s">
        <v>65</v>
      </c>
      <c r="I11" s="17" t="s">
        <v>66</v>
      </c>
      <c r="J11" s="17" t="s">
        <v>31</v>
      </c>
      <c r="K11" s="18" t="s">
        <v>67</v>
      </c>
      <c r="L11" s="19" t="s">
        <v>68</v>
      </c>
      <c r="M11" s="28" t="s">
        <v>236</v>
      </c>
    </row>
    <row r="12" spans="1:13" ht="46.5" customHeight="1" x14ac:dyDescent="0.25">
      <c r="A12" s="3">
        <f t="shared" si="0"/>
        <v>8</v>
      </c>
      <c r="B12" s="16">
        <v>46172.729803240742</v>
      </c>
      <c r="C12" s="3" t="s">
        <v>69</v>
      </c>
      <c r="D12" s="3" t="s">
        <v>18</v>
      </c>
      <c r="E12" s="28" t="s">
        <v>70</v>
      </c>
      <c r="F12" s="28" t="s">
        <v>71</v>
      </c>
      <c r="G12" s="3" t="s">
        <v>21</v>
      </c>
      <c r="H12" s="28" t="s">
        <v>72</v>
      </c>
      <c r="I12" s="17" t="s">
        <v>73</v>
      </c>
      <c r="J12" s="17" t="s">
        <v>74</v>
      </c>
      <c r="K12" s="18" t="s">
        <v>75</v>
      </c>
      <c r="L12" s="19" t="s">
        <v>76</v>
      </c>
      <c r="M12" s="28" t="s">
        <v>237</v>
      </c>
    </row>
    <row r="13" spans="1:13" ht="46.5" customHeight="1" x14ac:dyDescent="0.25">
      <c r="A13" s="3">
        <f t="shared" si="0"/>
        <v>9</v>
      </c>
      <c r="B13" s="16">
        <v>46176.494039351855</v>
      </c>
      <c r="C13" s="3" t="s">
        <v>77</v>
      </c>
      <c r="D13" s="3"/>
      <c r="E13" s="28" t="s">
        <v>78</v>
      </c>
      <c r="F13" s="28" t="s">
        <v>79</v>
      </c>
      <c r="G13" s="3" t="s">
        <v>28</v>
      </c>
      <c r="H13" s="28" t="s">
        <v>80</v>
      </c>
      <c r="I13" s="17" t="s">
        <v>81</v>
      </c>
      <c r="J13" s="17" t="s">
        <v>82</v>
      </c>
      <c r="K13" s="18" t="s">
        <v>83</v>
      </c>
      <c r="L13" s="19" t="s">
        <v>84</v>
      </c>
      <c r="M13" s="28" t="s">
        <v>238</v>
      </c>
    </row>
    <row r="14" spans="1:13" ht="46.5" customHeight="1" x14ac:dyDescent="0.25">
      <c r="A14" s="3">
        <f t="shared" si="0"/>
        <v>10</v>
      </c>
      <c r="B14" s="16">
        <v>46176.595972222225</v>
      </c>
      <c r="C14" s="3" t="s">
        <v>85</v>
      </c>
      <c r="D14" s="3"/>
      <c r="E14" s="28" t="s">
        <v>86</v>
      </c>
      <c r="F14" s="28" t="s">
        <v>87</v>
      </c>
      <c r="G14" s="3" t="s">
        <v>28</v>
      </c>
      <c r="H14" s="28" t="s">
        <v>88</v>
      </c>
      <c r="I14" s="17" t="s">
        <v>30</v>
      </c>
      <c r="J14" s="17" t="s">
        <v>89</v>
      </c>
      <c r="K14" s="18" t="s">
        <v>90</v>
      </c>
      <c r="L14" s="19" t="s">
        <v>91</v>
      </c>
      <c r="M14" s="28" t="s">
        <v>239</v>
      </c>
    </row>
    <row r="15" spans="1:13" ht="46.5" customHeight="1" x14ac:dyDescent="0.25">
      <c r="A15" s="3">
        <f t="shared" si="0"/>
        <v>11</v>
      </c>
      <c r="B15" s="16">
        <v>46175.55263888889</v>
      </c>
      <c r="C15" s="3" t="s">
        <v>92</v>
      </c>
      <c r="D15" s="3" t="s">
        <v>18</v>
      </c>
      <c r="E15" s="28" t="s">
        <v>93</v>
      </c>
      <c r="F15" s="28" t="s">
        <v>87</v>
      </c>
      <c r="G15" s="3" t="s">
        <v>28</v>
      </c>
      <c r="H15" s="28" t="s">
        <v>94</v>
      </c>
      <c r="I15" s="17" t="s">
        <v>95</v>
      </c>
      <c r="J15" s="17" t="s">
        <v>96</v>
      </c>
      <c r="K15" s="18" t="s">
        <v>97</v>
      </c>
      <c r="L15" s="19" t="s">
        <v>98</v>
      </c>
      <c r="M15" s="28" t="s">
        <v>18</v>
      </c>
    </row>
    <row r="16" spans="1:13" ht="46.5" customHeight="1" x14ac:dyDescent="0.25">
      <c r="A16" s="3">
        <f t="shared" si="0"/>
        <v>12</v>
      </c>
      <c r="B16" s="16">
        <v>46176.615925925929</v>
      </c>
      <c r="C16" s="3" t="s">
        <v>106</v>
      </c>
      <c r="D16" s="3"/>
      <c r="E16" s="28" t="s">
        <v>100</v>
      </c>
      <c r="F16" s="28" t="s">
        <v>101</v>
      </c>
      <c r="G16" s="3" t="s">
        <v>28</v>
      </c>
      <c r="H16" s="28" t="s">
        <v>102</v>
      </c>
      <c r="I16" s="17" t="s">
        <v>23</v>
      </c>
      <c r="J16" s="17" t="s">
        <v>103</v>
      </c>
      <c r="K16" s="18" t="s">
        <v>104</v>
      </c>
      <c r="L16" s="19" t="s">
        <v>105</v>
      </c>
      <c r="M16" s="28" t="s">
        <v>236</v>
      </c>
    </row>
    <row r="17" spans="1:13" ht="46.5" customHeight="1" x14ac:dyDescent="0.25">
      <c r="A17" s="3">
        <f t="shared" si="0"/>
        <v>13</v>
      </c>
      <c r="B17" s="16">
        <v>46172.591562499998</v>
      </c>
      <c r="C17" s="3" t="s">
        <v>107</v>
      </c>
      <c r="D17" s="3" t="s">
        <v>40</v>
      </c>
      <c r="E17" s="28" t="s">
        <v>108</v>
      </c>
      <c r="F17" s="28" t="s">
        <v>109</v>
      </c>
      <c r="G17" s="3" t="s">
        <v>28</v>
      </c>
      <c r="H17" s="28" t="s">
        <v>110</v>
      </c>
      <c r="I17" s="17" t="s">
        <v>99</v>
      </c>
      <c r="J17" s="17" t="s">
        <v>111</v>
      </c>
      <c r="K17" s="18" t="s">
        <v>112</v>
      </c>
      <c r="L17" s="19" t="s">
        <v>113</v>
      </c>
      <c r="M17" s="28" t="s">
        <v>240</v>
      </c>
    </row>
    <row r="18" spans="1:13" ht="46.5" customHeight="1" x14ac:dyDescent="0.25">
      <c r="A18" s="3">
        <f t="shared" si="0"/>
        <v>14</v>
      </c>
      <c r="B18" s="16">
        <v>46176.606053240743</v>
      </c>
      <c r="C18" s="3" t="s">
        <v>114</v>
      </c>
      <c r="D18" s="3"/>
      <c r="E18" s="28" t="s">
        <v>115</v>
      </c>
      <c r="F18" s="28" t="s">
        <v>116</v>
      </c>
      <c r="G18" s="3" t="s">
        <v>28</v>
      </c>
      <c r="H18" s="28" t="s">
        <v>117</v>
      </c>
      <c r="I18" s="17" t="s">
        <v>81</v>
      </c>
      <c r="J18" s="17" t="s">
        <v>89</v>
      </c>
      <c r="K18" s="18" t="s">
        <v>118</v>
      </c>
      <c r="L18" s="19" t="s">
        <v>119</v>
      </c>
      <c r="M18" s="28" t="s">
        <v>245</v>
      </c>
    </row>
    <row r="19" spans="1:13" ht="46.5" customHeight="1" x14ac:dyDescent="0.25">
      <c r="A19" s="3">
        <f t="shared" si="0"/>
        <v>15</v>
      </c>
      <c r="B19" s="16">
        <v>46167.661944444444</v>
      </c>
      <c r="C19" s="3" t="s">
        <v>127</v>
      </c>
      <c r="D19" s="3" t="s">
        <v>40</v>
      </c>
      <c r="E19" s="28" t="s">
        <v>120</v>
      </c>
      <c r="F19" s="28" t="s">
        <v>121</v>
      </c>
      <c r="G19" s="3" t="s">
        <v>28</v>
      </c>
      <c r="H19" s="28" t="s">
        <v>122</v>
      </c>
      <c r="I19" s="17" t="s">
        <v>123</v>
      </c>
      <c r="J19" s="17" t="s">
        <v>124</v>
      </c>
      <c r="K19" s="18" t="s">
        <v>125</v>
      </c>
      <c r="L19" s="19" t="s">
        <v>126</v>
      </c>
      <c r="M19" s="28" t="s">
        <v>243</v>
      </c>
    </row>
    <row r="20" spans="1:13" ht="46.5" customHeight="1" x14ac:dyDescent="0.25">
      <c r="A20" s="3">
        <f t="shared" si="0"/>
        <v>16</v>
      </c>
      <c r="B20" s="16">
        <v>46176.619675925926</v>
      </c>
      <c r="C20" s="3" t="s">
        <v>128</v>
      </c>
      <c r="D20" s="3"/>
      <c r="E20" s="28" t="s">
        <v>129</v>
      </c>
      <c r="F20" s="28" t="s">
        <v>130</v>
      </c>
      <c r="G20" s="3" t="s">
        <v>131</v>
      </c>
      <c r="H20" s="28" t="s">
        <v>132</v>
      </c>
      <c r="I20" s="17" t="s">
        <v>81</v>
      </c>
      <c r="J20" s="17" t="s">
        <v>31</v>
      </c>
      <c r="K20" s="18" t="s">
        <v>133</v>
      </c>
      <c r="L20" s="19" t="s">
        <v>134</v>
      </c>
      <c r="M20" s="28" t="s">
        <v>236</v>
      </c>
    </row>
    <row r="21" spans="1:13" ht="46.5" customHeight="1" x14ac:dyDescent="0.25">
      <c r="A21" s="3">
        <f t="shared" si="0"/>
        <v>17</v>
      </c>
      <c r="B21" s="16">
        <v>46176.580381944441</v>
      </c>
      <c r="C21" s="3" t="s">
        <v>135</v>
      </c>
      <c r="D21" s="3"/>
      <c r="E21" s="28" t="s">
        <v>136</v>
      </c>
      <c r="F21" s="28" t="s">
        <v>137</v>
      </c>
      <c r="G21" s="3" t="s">
        <v>28</v>
      </c>
      <c r="H21" s="28" t="s">
        <v>138</v>
      </c>
      <c r="I21" s="17" t="s">
        <v>30</v>
      </c>
      <c r="J21" s="17" t="s">
        <v>31</v>
      </c>
      <c r="K21" s="18" t="s">
        <v>139</v>
      </c>
      <c r="L21" s="19" t="s">
        <v>140</v>
      </c>
      <c r="M21" s="28" t="s">
        <v>236</v>
      </c>
    </row>
    <row r="22" spans="1:13" ht="46.5" customHeight="1" x14ac:dyDescent="0.25">
      <c r="A22" s="3">
        <f t="shared" si="0"/>
        <v>18</v>
      </c>
      <c r="B22" s="16">
        <v>46175.522037037037</v>
      </c>
      <c r="C22" s="3" t="s">
        <v>141</v>
      </c>
      <c r="D22" s="3" t="s">
        <v>40</v>
      </c>
      <c r="E22" s="36" t="s">
        <v>142</v>
      </c>
      <c r="F22" s="28" t="s">
        <v>143</v>
      </c>
      <c r="G22" s="3" t="s">
        <v>28</v>
      </c>
      <c r="H22" s="28" t="s">
        <v>144</v>
      </c>
      <c r="I22" s="17" t="s">
        <v>145</v>
      </c>
      <c r="J22" s="17" t="s">
        <v>146</v>
      </c>
      <c r="K22" s="18" t="s">
        <v>147</v>
      </c>
      <c r="L22" s="19" t="s">
        <v>148</v>
      </c>
      <c r="M22" s="26" t="s">
        <v>277</v>
      </c>
    </row>
    <row r="23" spans="1:13" ht="46.5" customHeight="1" x14ac:dyDescent="0.25">
      <c r="A23" s="3">
        <f t="shared" si="0"/>
        <v>19</v>
      </c>
      <c r="B23" s="16">
        <v>46175.519976851851</v>
      </c>
      <c r="C23" s="3" t="s">
        <v>149</v>
      </c>
      <c r="D23" s="3" t="s">
        <v>40</v>
      </c>
      <c r="E23" s="36" t="s">
        <v>150</v>
      </c>
      <c r="F23" s="28" t="s">
        <v>143</v>
      </c>
      <c r="G23" s="3" t="s">
        <v>28</v>
      </c>
      <c r="H23" s="28" t="s">
        <v>151</v>
      </c>
      <c r="I23" s="17" t="s">
        <v>145</v>
      </c>
      <c r="J23" s="17" t="s">
        <v>146</v>
      </c>
      <c r="K23" s="18" t="s">
        <v>152</v>
      </c>
      <c r="L23" s="19" t="s">
        <v>148</v>
      </c>
      <c r="M23" s="26" t="s">
        <v>277</v>
      </c>
    </row>
    <row r="24" spans="1:13" ht="46.5" customHeight="1" x14ac:dyDescent="0.25">
      <c r="A24" s="3">
        <f t="shared" si="0"/>
        <v>20</v>
      </c>
      <c r="B24" s="16">
        <v>46174.30568287037</v>
      </c>
      <c r="C24" s="3" t="s">
        <v>153</v>
      </c>
      <c r="D24" s="3" t="s">
        <v>18</v>
      </c>
      <c r="E24" s="28" t="s">
        <v>154</v>
      </c>
      <c r="F24" s="28" t="s">
        <v>155</v>
      </c>
      <c r="G24" s="3" t="s">
        <v>21</v>
      </c>
      <c r="H24" s="28" t="s">
        <v>156</v>
      </c>
      <c r="I24" s="17" t="s">
        <v>157</v>
      </c>
      <c r="J24" s="17" t="s">
        <v>74</v>
      </c>
      <c r="K24" s="18" t="s">
        <v>158</v>
      </c>
      <c r="L24" s="19" t="s">
        <v>159</v>
      </c>
      <c r="M24" s="28" t="s">
        <v>237</v>
      </c>
    </row>
    <row r="25" spans="1:13" ht="46.5" customHeight="1" x14ac:dyDescent="0.25">
      <c r="A25" s="3">
        <f t="shared" si="0"/>
        <v>21</v>
      </c>
      <c r="B25" s="16">
        <v>46157.552314814813</v>
      </c>
      <c r="C25" s="3" t="s">
        <v>160</v>
      </c>
      <c r="D25" s="3" t="s">
        <v>40</v>
      </c>
      <c r="E25" s="28" t="s">
        <v>161</v>
      </c>
      <c r="F25" s="28" t="s">
        <v>162</v>
      </c>
      <c r="G25" s="3" t="s">
        <v>21</v>
      </c>
      <c r="H25" s="28" t="s">
        <v>163</v>
      </c>
      <c r="I25" s="17" t="s">
        <v>164</v>
      </c>
      <c r="J25" s="17" t="s">
        <v>165</v>
      </c>
      <c r="K25" s="18" t="s">
        <v>166</v>
      </c>
      <c r="L25" s="19" t="s">
        <v>167</v>
      </c>
      <c r="M25" s="28" t="s">
        <v>235</v>
      </c>
    </row>
    <row r="26" spans="1:13" ht="46.5" customHeight="1" x14ac:dyDescent="0.25">
      <c r="A26" s="3">
        <f t="shared" si="0"/>
        <v>22</v>
      </c>
      <c r="B26" s="16">
        <v>46176.707094907404</v>
      </c>
      <c r="C26" s="3" t="s">
        <v>168</v>
      </c>
      <c r="D26" s="3"/>
      <c r="E26" s="28" t="s">
        <v>169</v>
      </c>
      <c r="F26" s="28" t="s">
        <v>170</v>
      </c>
      <c r="G26" s="3" t="s">
        <v>28</v>
      </c>
      <c r="H26" s="28" t="s">
        <v>171</v>
      </c>
      <c r="I26" s="17" t="s">
        <v>66</v>
      </c>
      <c r="J26" s="17" t="s">
        <v>31</v>
      </c>
      <c r="K26" s="18" t="s">
        <v>172</v>
      </c>
      <c r="L26" s="19" t="s">
        <v>173</v>
      </c>
      <c r="M26" s="28" t="s">
        <v>241</v>
      </c>
    </row>
    <row r="27" spans="1:13" ht="46.5" customHeight="1" x14ac:dyDescent="0.25">
      <c r="A27" s="3">
        <f t="shared" si="0"/>
        <v>23</v>
      </c>
      <c r="B27" s="16">
        <v>46172.38890046296</v>
      </c>
      <c r="C27" s="3" t="s">
        <v>174</v>
      </c>
      <c r="D27" s="3"/>
      <c r="E27" s="28" t="s">
        <v>175</v>
      </c>
      <c r="F27" s="28" t="s">
        <v>170</v>
      </c>
      <c r="G27" s="3" t="s">
        <v>28</v>
      </c>
      <c r="H27" s="28" t="s">
        <v>176</v>
      </c>
      <c r="I27" s="17" t="s">
        <v>66</v>
      </c>
      <c r="J27" s="17" t="s">
        <v>177</v>
      </c>
      <c r="K27" s="18" t="s">
        <v>178</v>
      </c>
      <c r="L27" s="19" t="s">
        <v>173</v>
      </c>
      <c r="M27" s="28" t="s">
        <v>241</v>
      </c>
    </row>
    <row r="28" spans="1:13" ht="46.5" customHeight="1" x14ac:dyDescent="0.25">
      <c r="A28" s="3">
        <f t="shared" si="0"/>
        <v>24</v>
      </c>
      <c r="B28" s="16">
        <v>46176.597581018519</v>
      </c>
      <c r="C28" s="3" t="s">
        <v>179</v>
      </c>
      <c r="D28" s="3"/>
      <c r="E28" s="28" t="s">
        <v>180</v>
      </c>
      <c r="F28" s="28" t="s">
        <v>181</v>
      </c>
      <c r="G28" s="3" t="s">
        <v>28</v>
      </c>
      <c r="H28" s="28" t="s">
        <v>182</v>
      </c>
      <c r="I28" s="17" t="s">
        <v>66</v>
      </c>
      <c r="J28" s="17" t="s">
        <v>31</v>
      </c>
      <c r="K28" s="18" t="s">
        <v>183</v>
      </c>
      <c r="L28" s="19" t="s">
        <v>184</v>
      </c>
      <c r="M28" s="28" t="s">
        <v>242</v>
      </c>
    </row>
    <row r="29" spans="1:13" ht="46.5" customHeight="1" x14ac:dyDescent="0.25">
      <c r="A29" s="3">
        <f t="shared" si="0"/>
        <v>25</v>
      </c>
      <c r="B29" s="16">
        <v>46176.576724537037</v>
      </c>
      <c r="C29" s="3" t="s">
        <v>185</v>
      </c>
      <c r="D29" s="3"/>
      <c r="E29" s="28" t="s">
        <v>186</v>
      </c>
      <c r="F29" s="28" t="s">
        <v>187</v>
      </c>
      <c r="G29" s="3" t="s">
        <v>28</v>
      </c>
      <c r="H29" s="28" t="s">
        <v>188</v>
      </c>
      <c r="I29" s="17" t="s">
        <v>23</v>
      </c>
      <c r="J29" s="17" t="s">
        <v>31</v>
      </c>
      <c r="K29" s="18" t="s">
        <v>189</v>
      </c>
      <c r="L29" s="19" t="s">
        <v>190</v>
      </c>
      <c r="M29" s="28" t="s">
        <v>242</v>
      </c>
    </row>
    <row r="30" spans="1:13" ht="46.5" customHeight="1" x14ac:dyDescent="0.25">
      <c r="A30" s="3">
        <f t="shared" si="0"/>
        <v>26</v>
      </c>
      <c r="B30" s="16">
        <v>46172.680532407408</v>
      </c>
      <c r="C30" s="3" t="s">
        <v>191</v>
      </c>
      <c r="D30" s="3" t="s">
        <v>40</v>
      </c>
      <c r="E30" s="28" t="s">
        <v>192</v>
      </c>
      <c r="F30" s="28" t="s">
        <v>193</v>
      </c>
      <c r="G30" s="3" t="s">
        <v>28</v>
      </c>
      <c r="H30" s="28" t="s">
        <v>194</v>
      </c>
      <c r="I30" s="17" t="s">
        <v>195</v>
      </c>
      <c r="J30" s="17" t="s">
        <v>196</v>
      </c>
      <c r="K30" s="18" t="s">
        <v>125</v>
      </c>
      <c r="L30" s="19" t="s">
        <v>126</v>
      </c>
      <c r="M30" s="28" t="s">
        <v>239</v>
      </c>
    </row>
    <row r="31" spans="1:13" ht="46.5" customHeight="1" x14ac:dyDescent="0.25">
      <c r="A31" s="3">
        <f t="shared" si="0"/>
        <v>27</v>
      </c>
      <c r="B31" s="16">
        <v>46176.52480324074</v>
      </c>
      <c r="C31" s="3" t="s">
        <v>197</v>
      </c>
      <c r="D31" s="3"/>
      <c r="E31" s="28" t="s">
        <v>198</v>
      </c>
      <c r="F31" s="28" t="s">
        <v>199</v>
      </c>
      <c r="G31" s="3" t="s">
        <v>28</v>
      </c>
      <c r="H31" s="28" t="s">
        <v>200</v>
      </c>
      <c r="I31" s="17" t="s">
        <v>66</v>
      </c>
      <c r="J31" s="17" t="s">
        <v>177</v>
      </c>
      <c r="K31" s="18" t="s">
        <v>201</v>
      </c>
      <c r="L31" s="19" t="s">
        <v>202</v>
      </c>
      <c r="M31" s="28" t="s">
        <v>239</v>
      </c>
    </row>
    <row r="32" spans="1:13" ht="46.5" customHeight="1" x14ac:dyDescent="0.25">
      <c r="A32" s="3">
        <f t="shared" si="0"/>
        <v>28</v>
      </c>
      <c r="B32" s="16">
        <v>46176.669687499998</v>
      </c>
      <c r="C32" s="3" t="s">
        <v>203</v>
      </c>
      <c r="D32" s="3"/>
      <c r="E32" s="28" t="s">
        <v>204</v>
      </c>
      <c r="F32" s="28" t="s">
        <v>205</v>
      </c>
      <c r="G32" s="3" t="s">
        <v>28</v>
      </c>
      <c r="H32" s="28" t="s">
        <v>206</v>
      </c>
      <c r="I32" s="17" t="s">
        <v>207</v>
      </c>
      <c r="J32" s="17" t="s">
        <v>177</v>
      </c>
      <c r="K32" s="18" t="s">
        <v>208</v>
      </c>
      <c r="L32" s="19" t="s">
        <v>209</v>
      </c>
      <c r="M32" s="28" t="s">
        <v>244</v>
      </c>
    </row>
    <row r="33" spans="1:13" ht="46.5" customHeight="1" x14ac:dyDescent="0.25">
      <c r="A33" s="3">
        <f t="shared" si="0"/>
        <v>29</v>
      </c>
      <c r="B33" s="16">
        <v>46176.717615740738</v>
      </c>
      <c r="C33" s="3" t="s">
        <v>210</v>
      </c>
      <c r="D33" s="3"/>
      <c r="E33" s="28" t="s">
        <v>211</v>
      </c>
      <c r="F33" s="28" t="s">
        <v>212</v>
      </c>
      <c r="G33" s="3" t="s">
        <v>28</v>
      </c>
      <c r="H33" s="28" t="s">
        <v>213</v>
      </c>
      <c r="I33" s="17" t="s">
        <v>66</v>
      </c>
      <c r="J33" s="17" t="s">
        <v>31</v>
      </c>
      <c r="K33" s="18" t="s">
        <v>214</v>
      </c>
      <c r="L33" s="19" t="s">
        <v>215</v>
      </c>
      <c r="M33" s="28" t="s">
        <v>248</v>
      </c>
    </row>
    <row r="34" spans="1:13" ht="46.5" customHeight="1" x14ac:dyDescent="0.25">
      <c r="A34" s="3">
        <f t="shared" si="0"/>
        <v>30</v>
      </c>
      <c r="B34" s="16">
        <v>46160.785312499997</v>
      </c>
      <c r="C34" s="3" t="s">
        <v>216</v>
      </c>
      <c r="D34" s="3" t="s">
        <v>18</v>
      </c>
      <c r="E34" s="28" t="s">
        <v>217</v>
      </c>
      <c r="F34" s="28" t="s">
        <v>218</v>
      </c>
      <c r="G34" s="3" t="s">
        <v>28</v>
      </c>
      <c r="H34" s="28" t="s">
        <v>219</v>
      </c>
      <c r="I34" s="17" t="s">
        <v>220</v>
      </c>
      <c r="J34" s="17" t="s">
        <v>221</v>
      </c>
      <c r="K34" s="18" t="s">
        <v>222</v>
      </c>
      <c r="L34" s="19" t="s">
        <v>223</v>
      </c>
      <c r="M34" s="28" t="s">
        <v>237</v>
      </c>
    </row>
    <row r="35" spans="1:13" ht="46.5" customHeight="1" x14ac:dyDescent="0.25">
      <c r="A35" s="6">
        <f t="shared" si="0"/>
        <v>31</v>
      </c>
      <c r="B35" s="20">
        <v>46176.488668981481</v>
      </c>
      <c r="C35" s="6" t="s">
        <v>224</v>
      </c>
      <c r="D35" s="6"/>
      <c r="E35" s="29" t="s">
        <v>225</v>
      </c>
      <c r="F35" s="29" t="s">
        <v>226</v>
      </c>
      <c r="G35" s="6" t="s">
        <v>131</v>
      </c>
      <c r="H35" s="29" t="s">
        <v>227</v>
      </c>
      <c r="I35" s="21" t="s">
        <v>30</v>
      </c>
      <c r="J35" s="21" t="s">
        <v>177</v>
      </c>
      <c r="K35" s="22" t="s">
        <v>228</v>
      </c>
      <c r="L35" s="23" t="s">
        <v>229</v>
      </c>
      <c r="M35" s="29" t="s">
        <v>236</v>
      </c>
    </row>
    <row r="36" spans="1:13" ht="46.5" customHeight="1" x14ac:dyDescent="0.25">
      <c r="A36" s="7">
        <f t="shared" si="0"/>
        <v>32</v>
      </c>
      <c r="B36" s="24">
        <v>46176.648761574077</v>
      </c>
      <c r="C36" s="7" t="s">
        <v>230</v>
      </c>
      <c r="D36" s="7"/>
      <c r="E36" s="30" t="s">
        <v>231</v>
      </c>
      <c r="F36" s="30" t="s">
        <v>226</v>
      </c>
      <c r="G36" s="7" t="s">
        <v>28</v>
      </c>
      <c r="H36" s="30" t="s">
        <v>232</v>
      </c>
      <c r="I36" s="25" t="s">
        <v>23</v>
      </c>
      <c r="J36" s="25" t="s">
        <v>177</v>
      </c>
      <c r="K36" s="7" t="s">
        <v>233</v>
      </c>
      <c r="L36" s="7" t="s">
        <v>234</v>
      </c>
      <c r="M36" s="30" t="s">
        <v>242</v>
      </c>
    </row>
    <row r="37" spans="1:13" ht="46.5" customHeight="1" x14ac:dyDescent="0.25">
      <c r="A37" s="6">
        <f t="shared" si="0"/>
        <v>33</v>
      </c>
      <c r="B37" s="8"/>
      <c r="C37" s="9">
        <v>311686</v>
      </c>
      <c r="D37" s="8"/>
      <c r="E37" s="31" t="s">
        <v>250</v>
      </c>
      <c r="F37" s="31">
        <v>220</v>
      </c>
      <c r="G37" s="9" t="s">
        <v>257</v>
      </c>
      <c r="H37" s="31" t="s">
        <v>259</v>
      </c>
      <c r="I37" s="9" t="s">
        <v>265</v>
      </c>
      <c r="J37" s="9" t="s">
        <v>266</v>
      </c>
      <c r="K37" s="9" t="s">
        <v>265</v>
      </c>
      <c r="L37" s="9" t="s">
        <v>267</v>
      </c>
      <c r="M37" s="34" t="s">
        <v>274</v>
      </c>
    </row>
    <row r="38" spans="1:13" ht="46.5" customHeight="1" x14ac:dyDescent="0.25">
      <c r="A38" s="7">
        <f t="shared" si="0"/>
        <v>34</v>
      </c>
      <c r="B38" s="8"/>
      <c r="C38" s="9">
        <v>309799</v>
      </c>
      <c r="D38" s="8"/>
      <c r="E38" s="31" t="s">
        <v>251</v>
      </c>
      <c r="F38" s="31">
        <v>400</v>
      </c>
      <c r="G38" s="9" t="s">
        <v>258</v>
      </c>
      <c r="H38" s="31" t="s">
        <v>260</v>
      </c>
      <c r="I38" s="9" t="s">
        <v>265</v>
      </c>
      <c r="J38" s="9" t="s">
        <v>268</v>
      </c>
      <c r="K38" s="9" t="s">
        <v>265</v>
      </c>
      <c r="L38" s="9" t="s">
        <v>269</v>
      </c>
      <c r="M38" s="34" t="s">
        <v>274</v>
      </c>
    </row>
    <row r="39" spans="1:13" ht="46.5" customHeight="1" x14ac:dyDescent="0.25">
      <c r="A39" s="6">
        <f t="shared" si="0"/>
        <v>35</v>
      </c>
      <c r="B39" s="8"/>
      <c r="C39" s="9">
        <v>309935</v>
      </c>
      <c r="D39" s="8"/>
      <c r="E39" s="31" t="s">
        <v>252</v>
      </c>
      <c r="F39" s="31">
        <v>220</v>
      </c>
      <c r="G39" s="9" t="s">
        <v>258</v>
      </c>
      <c r="H39" s="35" t="s">
        <v>261</v>
      </c>
      <c r="I39" s="9" t="s">
        <v>265</v>
      </c>
      <c r="J39" s="10" t="s">
        <v>270</v>
      </c>
      <c r="K39" s="11" t="s">
        <v>265</v>
      </c>
      <c r="L39" s="10" t="s">
        <v>271</v>
      </c>
      <c r="M39" s="34" t="s">
        <v>275</v>
      </c>
    </row>
    <row r="40" spans="1:13" ht="46.5" customHeight="1" x14ac:dyDescent="0.25">
      <c r="A40" s="7">
        <f t="shared" si="0"/>
        <v>36</v>
      </c>
      <c r="B40" s="8"/>
      <c r="C40" s="9">
        <v>310257</v>
      </c>
      <c r="D40" s="8"/>
      <c r="E40" s="31" t="s">
        <v>253</v>
      </c>
      <c r="F40" s="31">
        <v>220</v>
      </c>
      <c r="G40" s="9" t="s">
        <v>257</v>
      </c>
      <c r="H40" s="35" t="s">
        <v>262</v>
      </c>
      <c r="I40" s="9" t="s">
        <v>265</v>
      </c>
      <c r="J40" s="9" t="s">
        <v>270</v>
      </c>
      <c r="K40" s="9" t="s">
        <v>265</v>
      </c>
      <c r="L40" s="9" t="s">
        <v>272</v>
      </c>
      <c r="M40" s="34" t="s">
        <v>276</v>
      </c>
    </row>
    <row r="41" spans="1:13" ht="65.25" customHeight="1" x14ac:dyDescent="0.25">
      <c r="A41" s="6">
        <f t="shared" si="0"/>
        <v>37</v>
      </c>
      <c r="B41" s="8"/>
      <c r="C41" s="9">
        <v>310258</v>
      </c>
      <c r="D41" s="8"/>
      <c r="E41" s="31" t="s">
        <v>254</v>
      </c>
      <c r="F41" s="31">
        <v>220</v>
      </c>
      <c r="G41" s="9" t="s">
        <v>257</v>
      </c>
      <c r="H41" s="35" t="s">
        <v>263</v>
      </c>
      <c r="I41" s="9" t="s">
        <v>265</v>
      </c>
      <c r="J41" s="9" t="s">
        <v>266</v>
      </c>
      <c r="K41" s="9" t="s">
        <v>265</v>
      </c>
      <c r="L41" s="9" t="s">
        <v>273</v>
      </c>
      <c r="M41" s="34" t="s">
        <v>275</v>
      </c>
    </row>
    <row r="42" spans="1:13" ht="87" customHeight="1" x14ac:dyDescent="0.25">
      <c r="A42" s="7">
        <f t="shared" si="0"/>
        <v>38</v>
      </c>
      <c r="B42" s="8"/>
      <c r="C42" s="9">
        <v>310355</v>
      </c>
      <c r="D42" s="8"/>
      <c r="E42" s="31" t="s">
        <v>255</v>
      </c>
      <c r="F42" s="31">
        <v>132</v>
      </c>
      <c r="G42" s="9" t="s">
        <v>257</v>
      </c>
      <c r="H42" s="35" t="s">
        <v>264</v>
      </c>
      <c r="I42" s="9" t="s">
        <v>265</v>
      </c>
      <c r="J42" s="9" t="s">
        <v>266</v>
      </c>
      <c r="K42" s="9" t="s">
        <v>265</v>
      </c>
      <c r="L42" s="9" t="s">
        <v>272</v>
      </c>
      <c r="M42" s="34" t="s">
        <v>275</v>
      </c>
    </row>
    <row r="43" spans="1:13" ht="46.5" customHeight="1" x14ac:dyDescent="0.25">
      <c r="A43" s="6">
        <f t="shared" si="0"/>
        <v>39</v>
      </c>
      <c r="B43" s="8"/>
      <c r="C43" s="9">
        <v>310256</v>
      </c>
      <c r="D43" s="8"/>
      <c r="E43" s="31" t="s">
        <v>256</v>
      </c>
      <c r="F43" s="31">
        <v>220</v>
      </c>
      <c r="G43" s="9" t="s">
        <v>257</v>
      </c>
      <c r="H43" s="35" t="s">
        <v>263</v>
      </c>
      <c r="I43" s="9" t="s">
        <v>265</v>
      </c>
      <c r="J43" s="9" t="s">
        <v>270</v>
      </c>
      <c r="K43" s="9" t="s">
        <v>265</v>
      </c>
      <c r="L43" s="9" t="s">
        <v>272</v>
      </c>
      <c r="M43" s="34" t="s">
        <v>274</v>
      </c>
    </row>
    <row r="44" spans="1:13" ht="46.5" customHeight="1" x14ac:dyDescent="0.3">
      <c r="A44" s="8"/>
      <c r="B44" s="8"/>
      <c r="C44" s="8"/>
      <c r="D44" s="8"/>
      <c r="E44" s="32"/>
      <c r="F44" s="32"/>
      <c r="G44" s="8"/>
      <c r="H44" s="32"/>
      <c r="I44" s="8"/>
      <c r="J44" s="8"/>
      <c r="K44" s="8"/>
      <c r="L44" s="8"/>
      <c r="M44" s="32"/>
    </row>
    <row r="45" spans="1:13" ht="46.5" customHeight="1" x14ac:dyDescent="0.3">
      <c r="A45" s="8"/>
      <c r="B45" s="8"/>
      <c r="C45" s="8"/>
      <c r="D45" s="8"/>
      <c r="E45" s="32"/>
      <c r="F45" s="32"/>
      <c r="G45" s="8"/>
      <c r="H45" s="32"/>
      <c r="I45" s="8"/>
      <c r="J45" s="8"/>
      <c r="K45" s="8"/>
      <c r="L45" s="8"/>
      <c r="M45" s="32"/>
    </row>
    <row r="46" spans="1:13" ht="46.5" customHeight="1" x14ac:dyDescent="0.3">
      <c r="A46" s="8"/>
      <c r="B46" s="8"/>
      <c r="C46" s="8"/>
      <c r="D46" s="8"/>
      <c r="E46" s="32"/>
      <c r="F46" s="32"/>
      <c r="G46" s="8"/>
      <c r="H46" s="32"/>
      <c r="I46" s="8"/>
      <c r="J46" s="8"/>
      <c r="K46" s="8"/>
      <c r="L46" s="8"/>
      <c r="M46" s="32"/>
    </row>
    <row r="47" spans="1:13" ht="46.5" customHeight="1" x14ac:dyDescent="0.3">
      <c r="A47" s="8"/>
      <c r="B47" s="8"/>
      <c r="C47" s="8"/>
      <c r="D47" s="8"/>
      <c r="E47" s="32"/>
      <c r="F47" s="32"/>
      <c r="G47" s="8"/>
      <c r="H47" s="32"/>
      <c r="I47" s="8"/>
      <c r="J47" s="8"/>
      <c r="K47" s="8"/>
      <c r="L47" s="8"/>
      <c r="M47" s="32"/>
    </row>
    <row r="48" spans="1:13" ht="46.5" customHeight="1" x14ac:dyDescent="0.3">
      <c r="A48" s="8"/>
      <c r="B48" s="8"/>
      <c r="C48" s="8"/>
      <c r="D48" s="8"/>
      <c r="E48" s="32"/>
      <c r="F48" s="32"/>
      <c r="G48" s="8"/>
      <c r="H48" s="32"/>
      <c r="I48" s="8"/>
      <c r="J48" s="8"/>
      <c r="K48" s="8"/>
      <c r="L48" s="8"/>
      <c r="M48" s="32"/>
    </row>
    <row r="49" spans="1:13" ht="46.5" customHeight="1" x14ac:dyDescent="0.3">
      <c r="A49" s="8"/>
      <c r="B49" s="8"/>
      <c r="C49" s="8"/>
      <c r="D49" s="8"/>
      <c r="E49" s="32"/>
      <c r="F49" s="32"/>
      <c r="G49" s="8"/>
      <c r="H49" s="32"/>
      <c r="I49" s="8"/>
      <c r="J49" s="8"/>
      <c r="K49" s="8"/>
      <c r="L49" s="8"/>
      <c r="M49" s="32"/>
    </row>
    <row r="50" spans="1:13" ht="46.5" customHeight="1" x14ac:dyDescent="0.3">
      <c r="A50" s="8"/>
      <c r="B50" s="8"/>
      <c r="C50" s="8"/>
      <c r="D50" s="8"/>
      <c r="E50" s="32"/>
      <c r="F50" s="32"/>
      <c r="G50" s="8"/>
      <c r="H50" s="32"/>
      <c r="I50" s="8"/>
      <c r="J50" s="8"/>
      <c r="K50" s="8"/>
      <c r="L50" s="8"/>
      <c r="M50" s="32"/>
    </row>
    <row r="51" spans="1:13" ht="46.5" customHeight="1" x14ac:dyDescent="0.3">
      <c r="A51" s="8"/>
      <c r="B51" s="8"/>
      <c r="C51" s="8"/>
      <c r="D51" s="8"/>
      <c r="E51" s="32"/>
      <c r="F51" s="32"/>
      <c r="G51" s="8"/>
      <c r="H51" s="32"/>
      <c r="I51" s="8"/>
      <c r="J51" s="8"/>
      <c r="K51" s="8"/>
      <c r="L51" s="8"/>
      <c r="M51" s="32"/>
    </row>
    <row r="52" spans="1:13" ht="46.5" customHeight="1" x14ac:dyDescent="0.3">
      <c r="A52" s="8"/>
      <c r="B52" s="8"/>
      <c r="C52" s="8"/>
      <c r="D52" s="8"/>
      <c r="E52" s="32"/>
      <c r="F52" s="32"/>
      <c r="G52" s="8"/>
      <c r="H52" s="32"/>
      <c r="I52" s="8"/>
      <c r="J52" s="8"/>
      <c r="K52" s="8"/>
      <c r="L52" s="8"/>
      <c r="M52" s="32"/>
    </row>
    <row r="53" spans="1:13" ht="46.5" customHeight="1" x14ac:dyDescent="0.3">
      <c r="A53" s="8"/>
      <c r="B53" s="8"/>
      <c r="C53" s="8"/>
      <c r="D53" s="8"/>
      <c r="E53" s="32"/>
      <c r="F53" s="32"/>
      <c r="G53" s="8"/>
      <c r="H53" s="32"/>
      <c r="I53" s="8"/>
      <c r="J53" s="8"/>
      <c r="K53" s="8"/>
      <c r="L53" s="8"/>
      <c r="M53" s="32"/>
    </row>
    <row r="54" spans="1:13" ht="46.5" customHeight="1" x14ac:dyDescent="0.3">
      <c r="A54" s="8"/>
      <c r="B54" s="8"/>
      <c r="C54" s="8"/>
      <c r="D54" s="8"/>
      <c r="E54" s="32"/>
      <c r="F54" s="32"/>
      <c r="G54" s="8"/>
      <c r="H54" s="32"/>
      <c r="I54" s="8"/>
      <c r="J54" s="8"/>
      <c r="K54" s="8"/>
      <c r="L54" s="8"/>
      <c r="M54" s="32"/>
    </row>
    <row r="55" spans="1:13" ht="46.5" customHeight="1" x14ac:dyDescent="0.3">
      <c r="A55" s="8"/>
      <c r="B55" s="8"/>
      <c r="C55" s="8"/>
      <c r="D55" s="8"/>
      <c r="E55" s="32"/>
      <c r="F55" s="32"/>
      <c r="G55" s="8"/>
      <c r="H55" s="32"/>
      <c r="I55" s="8"/>
      <c r="J55" s="8"/>
      <c r="K55" s="8"/>
      <c r="L55" s="8"/>
      <c r="M55" s="32"/>
    </row>
  </sheetData>
  <mergeCells count="2">
    <mergeCell ref="B1:M1"/>
    <mergeCell ref="K4:L4"/>
  </mergeCells>
  <pageMargins left="0" right="0" top="0" bottom="0" header="0.51181102362204722" footer="0.51181102362204722"/>
  <pageSetup paperSize="9" scale="54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2026-06-03T13:37:03Z</cp:lastPrinted>
  <dcterms:created xsi:type="dcterms:W3CDTF">2026-06-03T11:50:55Z</dcterms:created>
  <dcterms:modified xsi:type="dcterms:W3CDTF">2026-06-03T15:12:55Z</dcterms:modified>
</cp:coreProperties>
</file>
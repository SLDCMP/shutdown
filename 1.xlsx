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205"/>
  </bookViews>
  <sheets>
    <sheet name="Sheet0" sheetId="1" r:id="rId1"/>
  </sheets>
  <definedNames>
    <definedName name="__bookmark_1">Sheet0!$A$1:$M$27</definedName>
  </definedNames>
  <calcPr calcId="162913"/>
</workbook>
</file>

<file path=xl/calcChain.xml><?xml version="1.0" encoding="utf-8"?>
<calcChain xmlns="http://schemas.openxmlformats.org/spreadsheetml/2006/main">
  <c r="A32" i="1" l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<sst xmlns="http://schemas.openxmlformats.org/spreadsheetml/2006/main" count="289" uniqueCount="192">
  <si>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</si>
  <si>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</si>
  <si>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</si>
  <si>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</si>
  <si>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</si>
  <si>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</si>
  <si>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</si>
  <si>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</si>
  <si>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</si>
  <si>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</si>
  <si>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</si>
  <si>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</si>
  <si>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</si>
  <si>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</si>
  <si>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</si>
  <si>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</si>
  <si>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</si>
  <si>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MR2610/0629</t>
  </si>
  <si>
    <t>Daily</t>
  </si>
  <si>
    <t>220KV_220KV Amarkantak-SGTPS-Birshinghpur ckt</t>
  </si>
  <si>
    <t>220KV_AMARKANTAK</t>
  </si>
  <si>
    <t>NON-OCCM-MP</t>
  </si>
  <si>
    <t>Jumper tightening &amp; other Line work</t>
  </si>
  <si>
    <t>26-10-2026 08:00:00</t>
  </si>
  <si>
    <t>30-10-2026 18:00:00</t>
  </si>
  <si>
    <t>Jagdish Prasad Asati</t>
  </si>
  <si>
    <t>9424445533</t>
  </si>
  <si>
    <t>MR2610/0637</t>
  </si>
  <si>
    <t>132KV_132 kv Chhatarpur naugaon 2 circuit</t>
  </si>
  <si>
    <t>220KV_CHATARPUR</t>
  </si>
  <si>
    <t>For line maintenance and JCT work</t>
  </si>
  <si>
    <t>26-10-2026 10:00:00</t>
  </si>
  <si>
    <t>26-10-2026 17:00:00</t>
  </si>
  <si>
    <t>Pankaj yadav</t>
  </si>
  <si>
    <t>9406813326</t>
  </si>
  <si>
    <t>MR2610/0628</t>
  </si>
  <si>
    <t>220KV_160 MVA AREVA</t>
  </si>
  <si>
    <t>For Post Monsoon maintenance w</t>
  </si>
  <si>
    <t>26-10-2026 09:00:00</t>
  </si>
  <si>
    <t>Brajendra Soni</t>
  </si>
  <si>
    <t>9131327770</t>
  </si>
  <si>
    <t>MR2610/0630</t>
  </si>
  <si>
    <t>132KV_50 mva BHEL Xmer</t>
  </si>
  <si>
    <t>220KV_CHICHLI</t>
  </si>
  <si>
    <t>Post monsoon maintenance and testing</t>
  </si>
  <si>
    <t>Hemendra malviya</t>
  </si>
  <si>
    <t>9425804688</t>
  </si>
  <si>
    <t>MR2610/0633</t>
  </si>
  <si>
    <t>220KV_220 KV Daloda DJ Energy-II</t>
  </si>
  <si>
    <t>220KV_DALODA</t>
  </si>
  <si>
    <t>for replacement of the TCH supervision relay</t>
  </si>
  <si>
    <t>26-10-2026 13:00:00</t>
  </si>
  <si>
    <t>26-10-2026 15:00:00</t>
  </si>
  <si>
    <t>Shailendra Borasi</t>
  </si>
  <si>
    <t>9907246485</t>
  </si>
  <si>
    <t>MR2610/0635</t>
  </si>
  <si>
    <t>220KV_220 KV Daloda Renewable Energy</t>
  </si>
  <si>
    <t>MR2610/0632</t>
  </si>
  <si>
    <t>220KV_220 KV Daloda DJ Energy-I</t>
  </si>
  <si>
    <t>MR2610/0619</t>
  </si>
  <si>
    <t>132KV_132kV Dindori Gorakhpur Line Ckt-I &amp; II Line</t>
  </si>
  <si>
    <t>132KV_DINDORI</t>
  </si>
  <si>
    <t>Hot Line OPGW Work &amp; Other Line Maintenance Work</t>
  </si>
  <si>
    <t>25-10-2026 07:00:00</t>
  </si>
  <si>
    <t>05-11-2026 19:00:00</t>
  </si>
  <si>
    <t>S.K. BHALADHARE</t>
  </si>
  <si>
    <t>9425807264</t>
  </si>
  <si>
    <t>MR2610/0614</t>
  </si>
  <si>
    <t>50MVA_132/33KV_BBL_Xmer</t>
  </si>
  <si>
    <t>220KV_GANJBASODA</t>
  </si>
  <si>
    <t>TESTING WORK</t>
  </si>
  <si>
    <t>220KV GANJ BASODA</t>
  </si>
  <si>
    <t>9425804982</t>
  </si>
  <si>
    <t>MR2610/0639</t>
  </si>
  <si>
    <t>132KV_63 MAV ABB TRANSFORMER</t>
  </si>
  <si>
    <t>220KV_JABALPUR</t>
  </si>
  <si>
    <t>TRANSFORMER PAINTING WORK</t>
  </si>
  <si>
    <t>27-10-2026 17:00:00</t>
  </si>
  <si>
    <t>SUNIL SHUKLA</t>
  </si>
  <si>
    <t>7648817157</t>
  </si>
  <si>
    <t>MR2609/0609</t>
  </si>
  <si>
    <t>Continuous</t>
  </si>
  <si>
    <t>400KV_400KV_400KV BUS-2 (BUS-B)</t>
  </si>
  <si>
    <t>400KV_JP BINA</t>
  </si>
  <si>
    <t>NON-OCCM-WR</t>
  </si>
  <si>
    <t>PM of BUS-2 (BUS-B, BAY-1 &amp; BAY-5)</t>
  </si>
  <si>
    <t>20-10-2026 09:00:00</t>
  </si>
  <si>
    <t>31-10-2026 18:00:00</t>
  </si>
  <si>
    <t>KRISHNA SINGH THAKUR</t>
  </si>
  <si>
    <t>7987976012</t>
  </si>
  <si>
    <t>MR2610/0640</t>
  </si>
  <si>
    <t>132KV_132kv main bus no 1 &amp; 132kv IC Katni-2 feeder</t>
  </si>
  <si>
    <t>400KV_KATNI4</t>
  </si>
  <si>
    <t>For conversion of main bujumpers 1z to 2z</t>
  </si>
  <si>
    <t>26-10-2026 18:00:00</t>
  </si>
  <si>
    <t>SK chaturvedi</t>
  </si>
  <si>
    <t>9425806938</t>
  </si>
  <si>
    <t>MR2610/0636</t>
  </si>
  <si>
    <t>132KV_40 MVA XMER</t>
  </si>
  <si>
    <t>132KV_KOTHIYA</t>
  </si>
  <si>
    <t>PAINTING WORK ON XMER.</t>
  </si>
  <si>
    <t>RAKESH SUMAN</t>
  </si>
  <si>
    <t>7587951093</t>
  </si>
  <si>
    <t>MR2609/0610</t>
  </si>
  <si>
    <t>132KV_132 kv 50 MVA Xmer &amp; 33 kv Half Main Bus Section-l</t>
  </si>
  <si>
    <t>220KV_MALANPUR</t>
  </si>
  <si>
    <t>Post Monsoon Maint. &amp; Hot point attend work</t>
  </si>
  <si>
    <t>01-10-2026 10:00:00</t>
  </si>
  <si>
    <t>Vikram Ahirwar</t>
  </si>
  <si>
    <t>9039761183</t>
  </si>
  <si>
    <t>MR2610/0634</t>
  </si>
  <si>
    <t>132KV_63 MVA BBL X-MER NO 1</t>
  </si>
  <si>
    <t>132KV_MANSAKRA</t>
  </si>
  <si>
    <t>POST MONSOON MAINTENANCE WORK</t>
  </si>
  <si>
    <t>R P RAWAT</t>
  </si>
  <si>
    <t>9909030507</t>
  </si>
  <si>
    <t>MR2610/0466</t>
  </si>
  <si>
    <t>132KV_132 kV Moondi - Kalisindh PH-1 &amp; PH-2 (NVDA) Line</t>
  </si>
  <si>
    <t>132KV_MOONDI</t>
  </si>
  <si>
    <t>For Tower Final Checking &amp; Stringing 2 ckt entire</t>
  </si>
  <si>
    <t>17-10-2026 08:00:00</t>
  </si>
  <si>
    <t>Nitin Girdonia</t>
  </si>
  <si>
    <t>9425804899</t>
  </si>
  <si>
    <t>MR2610/0641</t>
  </si>
  <si>
    <t>132KV_132kV Nainpur Ghansour Line</t>
  </si>
  <si>
    <t>132KV_NAINPUR</t>
  </si>
  <si>
    <t>OPGW replacement work</t>
  </si>
  <si>
    <t>26-10-2026 07:00:00</t>
  </si>
  <si>
    <t>Amol Shende</t>
  </si>
  <si>
    <t>7587951136</t>
  </si>
  <si>
    <t>MR2610/0615</t>
  </si>
  <si>
    <t>132KV_132 KV NARSINGHPUR- INTERCONNECTOR NO.II</t>
  </si>
  <si>
    <t>220KV_NARSINGHPUR</t>
  </si>
  <si>
    <t>CONDUCTOR REPLACEMENT WORK BY APAR  INDUSTRIE</t>
  </si>
  <si>
    <t>25-10-2026 08:00:00</t>
  </si>
  <si>
    <t>DINESH KUSHWAHA</t>
  </si>
  <si>
    <t>9425182413</t>
  </si>
  <si>
    <t>MR2610/0488</t>
  </si>
  <si>
    <t>220KV_220 kV Panagar- Birsinghpur</t>
  </si>
  <si>
    <t>220KV_PANAGAR</t>
  </si>
  <si>
    <t>Jumper tightening by Contract basis</t>
  </si>
  <si>
    <t>21-10-2026 08:00:00</t>
  </si>
  <si>
    <t>28-10-2026 18:00:00</t>
  </si>
  <si>
    <t>Jitendra Tiwari</t>
  </si>
  <si>
    <t>9425805298</t>
  </si>
  <si>
    <t>MR2610/0611</t>
  </si>
  <si>
    <t>220KV_ITARSI-PIPARIYA_Ckt_2</t>
  </si>
  <si>
    <t>220KV_PIPARIYA</t>
  </si>
  <si>
    <t>Penal Replacement Work at 220 kv ss Pipariya</t>
  </si>
  <si>
    <t>S.K.dehariya</t>
  </si>
  <si>
    <t>8319638787</t>
  </si>
  <si>
    <t>MR2610/0568</t>
  </si>
  <si>
    <t>220KV_220kv Main-bus 2nd</t>
  </si>
  <si>
    <t>220KV_TIKAMGARH</t>
  </si>
  <si>
    <t>Safety purpose during dismentalling of 160 MVA bus</t>
  </si>
  <si>
    <t>22-10-2026 18:00:00</t>
  </si>
  <si>
    <t>Pushpendra Kumar soni</t>
  </si>
  <si>
    <t>9425806398</t>
  </si>
  <si>
    <t>MR2610/0482</t>
  </si>
  <si>
    <t>220KV_160 mva 2nd bbl-make Transformer</t>
  </si>
  <si>
    <t>Oil leakage attend from bell-tank</t>
  </si>
  <si>
    <t>22-10-2026 10:00:00</t>
  </si>
  <si>
    <t>31-10-2026 17:00:00</t>
  </si>
  <si>
    <t>MR2610/0613</t>
  </si>
  <si>
    <t>220KV_220 KV Chichli-Udaipura I</t>
  </si>
  <si>
    <t>220KV_UDAIPURA</t>
  </si>
  <si>
    <t>DISC REPLACEMENT WORK</t>
  </si>
  <si>
    <t>Ashutosh Rai</t>
  </si>
  <si>
    <t>9425806902</t>
  </si>
  <si>
    <t>ok</t>
  </si>
  <si>
    <t>ok, line to be in service</t>
  </si>
  <si>
    <t>sub ld</t>
  </si>
  <si>
    <t>approved on daily basis</t>
  </si>
  <si>
    <t>ok, through sub ld</t>
  </si>
  <si>
    <t>ok, through sub ld, line to be in service through TBC. RE plant to inform</t>
  </si>
  <si>
    <t>deferred by site</t>
  </si>
  <si>
    <t>400KV-JABALPUR-ITARSI-2</t>
  </si>
  <si>
    <t>POWERGRID-WR2 (PGCIL)</t>
  </si>
  <si>
    <t>Sensitivity of tripping 400KV-JABALPUR-ITARSI-2 is 12% on 400KV-JABALPUR-ITARSI-4. All other lines at JABALPUR - 400KV and ITARSI - 400KV to be in service. SLDC MP to be informed.</t>
  </si>
  <si>
    <t>WR OCCM</t>
  </si>
  <si>
    <t>BHOPAL-MP - 400KV - BUS 1</t>
  </si>
  <si>
    <t>for alignment of Bus-1 PG Isolator, simultaneously 400KV-BHOPAL-MP-SAGAR-1 Outage required</t>
  </si>
  <si>
    <t>Deferred  because the tie CB of 400kV Bhopal-Bina 2 and main CB of 400kv Bhopal-BDTCL  2 are out.</t>
  </si>
  <si>
    <t>400KV-NAGDA-SHUJALPUR-1</t>
  </si>
  <si>
    <t>Attending S/D nature defect in line . Dia to be kept open at both ends.</t>
  </si>
  <si>
    <t>132KV-KIRNAPUR-DONGARGARH-1</t>
  </si>
  <si>
    <t>Tree Cutting work at between loc. 286-294</t>
  </si>
  <si>
    <t>CG SLDC</t>
  </si>
  <si>
    <t>JP-BINA - 400KV - BUS 2</t>
  </si>
  <si>
    <t>JP BINA</t>
  </si>
  <si>
    <t>For overhauling, maintenance &amp; testing of the Pantograph &amp; HCB Isolators (R, Y &amp; B Phases)</t>
  </si>
  <si>
    <t>approved on daily basis by WRLDC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</si>
</sst>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3" xfId="0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6" xfId="0" applyFont="1" applyBorder="1"/>
    <xf numFmtId="0" fontId="1" fillId="0" borderId="3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left" vertical="center" wrapText="1"/>
    </xf>
    <xf numFmtId="0" fontId="0" fillId="3" borderId="0" xfId="0" applyFill="1"/>
    <xf numFmtId="164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8" xfId="0" applyBorder="1"/>
    <xf numFmtId="165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3" borderId="8" xfId="0" applyFill="1" applyBorder="1" applyAlignment="1">
      <alignment wrapText="1"/>
    </xf>
    <xf numFmtId="0" fontId="0" fillId="0" borderId="9" xfId="0" applyBorder="1"/>
    <xf numFmtId="0" fontId="4" fillId="0" borderId="9" xfId="0" applyFont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165" fontId="4" fillId="0" borderId="9" xfId="0" applyNumberFormat="1" applyFont="1" applyBorder="1" applyAlignment="1">
      <alignment horizontal="center" vertical="center"/>
    </xf>
    <xf numFmtId="0" fontId="0" fillId="3" borderId="9" xfId="0" applyFill="1" applyBorder="1" applyAlignment="1">
      <alignment wrapText="1"/>
    </xf>
    <xf numFmtId="0" fontId="0" fillId="3" borderId="8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tabSelected="1" workbookViewId="0">
      <pane xSplit="5" ySplit="1" topLeftCell="H26" activePane="bottomRight" state="frozen"/>
      <selection pane="topRight" activeCell="F1" sqref="F1"/>
      <selection pane="bottomLeft" activeCell="A2" sqref="A2"/>
      <selection pane="bottomRight" activeCell="A31" sqref="A31:A3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9.85546875" customWidth="1"/>
    <col min="6" max="6" width="21.85546875" customWidth="1"/>
    <col min="7" max="7" width="16.140625" customWidth="1"/>
    <col min="8" max="8" width="49.42578125" customWidth="1"/>
    <col min="9" max="10" width="19.5703125" customWidth="1"/>
    <col min="11" max="11" width="25.42578125" customWidth="1"/>
    <col min="12" max="12" width="12" customWidth="1"/>
    <col min="13" max="13" width="45.140625" style="16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46321</v>
      </c>
      <c r="C2" s="1"/>
      <c r="D2" s="1"/>
      <c r="E2" s="1"/>
      <c r="F2" s="1"/>
      <c r="G2" s="1"/>
      <c r="H2" s="1"/>
      <c r="I2" s="1"/>
      <c r="J2" s="1"/>
      <c r="K2" s="1"/>
      <c r="L2" s="1"/>
      <c r="M2" s="13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3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14" t="s">
        <v>16</v>
      </c>
    </row>
    <row r="5" spans="1:13" ht="34.5" customHeight="1" x14ac:dyDescent="0.25">
      <c r="A5" s="4">
        <v>1</v>
      </c>
      <c r="B5" s="5">
        <v>46320.464606481481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5" t="s">
        <v>169</v>
      </c>
    </row>
    <row r="6" spans="1:13" ht="34.5" customHeight="1" x14ac:dyDescent="0.25">
      <c r="A6" s="4">
        <f>A5+1</f>
        <v>2</v>
      </c>
      <c r="B6" s="5">
        <v>46320.628541666665</v>
      </c>
      <c r="C6" s="4" t="s">
        <v>27</v>
      </c>
      <c r="D6" s="4"/>
      <c r="E6" s="4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5" t="s">
        <v>169</v>
      </c>
    </row>
    <row r="7" spans="1:13" ht="34.5" customHeight="1" x14ac:dyDescent="0.25">
      <c r="A7" s="4">
        <f t="shared" ref="A7:A32" si="0">A6+1</f>
        <v>3</v>
      </c>
      <c r="B7" s="5">
        <v>46320.436851851853</v>
      </c>
      <c r="C7" s="4" t="s">
        <v>35</v>
      </c>
      <c r="D7" s="4"/>
      <c r="E7" s="4" t="s">
        <v>36</v>
      </c>
      <c r="F7" s="4" t="s">
        <v>29</v>
      </c>
      <c r="G7" s="4" t="s">
        <v>21</v>
      </c>
      <c r="H7" s="4" t="s">
        <v>37</v>
      </c>
      <c r="I7" s="6" t="s">
        <v>38</v>
      </c>
      <c r="J7" s="6" t="s">
        <v>32</v>
      </c>
      <c r="K7" s="7" t="s">
        <v>39</v>
      </c>
      <c r="L7" s="8" t="s">
        <v>40</v>
      </c>
      <c r="M7" s="15" t="s">
        <v>169</v>
      </c>
    </row>
    <row r="8" spans="1:13" ht="34.5" customHeight="1" x14ac:dyDescent="0.25">
      <c r="A8" s="4">
        <f t="shared" si="0"/>
        <v>4</v>
      </c>
      <c r="B8" s="5">
        <v>46320.474456018521</v>
      </c>
      <c r="C8" s="4" t="s">
        <v>41</v>
      </c>
      <c r="D8" s="4"/>
      <c r="E8" s="4" t="s">
        <v>42</v>
      </c>
      <c r="F8" s="4" t="s">
        <v>43</v>
      </c>
      <c r="G8" s="4" t="s">
        <v>21</v>
      </c>
      <c r="H8" s="4" t="s">
        <v>44</v>
      </c>
      <c r="I8" s="6" t="s">
        <v>31</v>
      </c>
      <c r="J8" s="6" t="s">
        <v>32</v>
      </c>
      <c r="K8" s="7" t="s">
        <v>45</v>
      </c>
      <c r="L8" s="8" t="s">
        <v>46</v>
      </c>
      <c r="M8" s="15" t="s">
        <v>169</v>
      </c>
    </row>
    <row r="9" spans="1:13" ht="34.5" customHeight="1" x14ac:dyDescent="0.25">
      <c r="A9" s="4">
        <f t="shared" si="0"/>
        <v>5</v>
      </c>
      <c r="B9" s="5">
        <v>46320.564571759256</v>
      </c>
      <c r="C9" s="4" t="s">
        <v>47</v>
      </c>
      <c r="D9" s="4"/>
      <c r="E9" s="4" t="s">
        <v>48</v>
      </c>
      <c r="F9" s="4" t="s">
        <v>49</v>
      </c>
      <c r="G9" s="4" t="s">
        <v>21</v>
      </c>
      <c r="H9" s="4" t="s">
        <v>50</v>
      </c>
      <c r="I9" s="6" t="s">
        <v>51</v>
      </c>
      <c r="J9" s="6" t="s">
        <v>52</v>
      </c>
      <c r="K9" s="7" t="s">
        <v>53</v>
      </c>
      <c r="L9" s="8" t="s">
        <v>54</v>
      </c>
      <c r="M9" s="15" t="s">
        <v>174</v>
      </c>
    </row>
    <row r="10" spans="1:13" ht="34.5" customHeight="1" x14ac:dyDescent="0.25">
      <c r="A10" s="4">
        <f t="shared" si="0"/>
        <v>6</v>
      </c>
      <c r="B10" s="5">
        <v>46320.565740740742</v>
      </c>
      <c r="C10" s="4" t="s">
        <v>55</v>
      </c>
      <c r="D10" s="4"/>
      <c r="E10" s="4" t="s">
        <v>56</v>
      </c>
      <c r="F10" s="4" t="s">
        <v>49</v>
      </c>
      <c r="G10" s="4" t="s">
        <v>21</v>
      </c>
      <c r="H10" s="4" t="s">
        <v>50</v>
      </c>
      <c r="I10" s="6" t="s">
        <v>52</v>
      </c>
      <c r="J10" s="6" t="s">
        <v>32</v>
      </c>
      <c r="K10" s="7" t="s">
        <v>53</v>
      </c>
      <c r="L10" s="8" t="s">
        <v>54</v>
      </c>
      <c r="M10" s="15" t="s">
        <v>174</v>
      </c>
    </row>
    <row r="11" spans="1:13" ht="34.5" customHeight="1" x14ac:dyDescent="0.25">
      <c r="A11" s="4">
        <f t="shared" si="0"/>
        <v>7</v>
      </c>
      <c r="B11" s="5">
        <v>46320.563321759262</v>
      </c>
      <c r="C11" s="4" t="s">
        <v>57</v>
      </c>
      <c r="D11" s="4"/>
      <c r="E11" s="4" t="s">
        <v>58</v>
      </c>
      <c r="F11" s="4" t="s">
        <v>49</v>
      </c>
      <c r="G11" s="4" t="s">
        <v>21</v>
      </c>
      <c r="H11" s="4" t="s">
        <v>50</v>
      </c>
      <c r="I11" s="6" t="s">
        <v>31</v>
      </c>
      <c r="J11" s="6" t="s">
        <v>51</v>
      </c>
      <c r="K11" s="7" t="s">
        <v>53</v>
      </c>
      <c r="L11" s="8" t="s">
        <v>54</v>
      </c>
      <c r="M11" s="15" t="s">
        <v>174</v>
      </c>
    </row>
    <row r="12" spans="1:13" ht="34.5" customHeight="1" x14ac:dyDescent="0.25">
      <c r="A12" s="4">
        <f t="shared" si="0"/>
        <v>8</v>
      </c>
      <c r="B12" s="5">
        <v>46319.629733796297</v>
      </c>
      <c r="C12" s="4" t="s">
        <v>59</v>
      </c>
      <c r="D12" s="4" t="s">
        <v>18</v>
      </c>
      <c r="E12" s="4" t="s">
        <v>60</v>
      </c>
      <c r="F12" s="4" t="s">
        <v>61</v>
      </c>
      <c r="G12" s="4" t="s">
        <v>21</v>
      </c>
      <c r="H12" s="4" t="s">
        <v>62</v>
      </c>
      <c r="I12" s="6" t="s">
        <v>63</v>
      </c>
      <c r="J12" s="6" t="s">
        <v>64</v>
      </c>
      <c r="K12" s="7" t="s">
        <v>65</v>
      </c>
      <c r="L12" s="8" t="s">
        <v>66</v>
      </c>
      <c r="M12" s="15" t="s">
        <v>170</v>
      </c>
    </row>
    <row r="13" spans="1:13" ht="34.5" customHeight="1" x14ac:dyDescent="0.25">
      <c r="A13" s="4">
        <f t="shared" si="0"/>
        <v>9</v>
      </c>
      <c r="B13" s="5">
        <v>46319.56449074074</v>
      </c>
      <c r="C13" s="4" t="s">
        <v>67</v>
      </c>
      <c r="D13" s="4"/>
      <c r="E13" s="4" t="s">
        <v>68</v>
      </c>
      <c r="F13" s="4" t="s">
        <v>69</v>
      </c>
      <c r="G13" s="4" t="s">
        <v>21</v>
      </c>
      <c r="H13" s="4" t="s">
        <v>70</v>
      </c>
      <c r="I13" s="6" t="s">
        <v>38</v>
      </c>
      <c r="J13" s="6" t="s">
        <v>32</v>
      </c>
      <c r="K13" s="7" t="s">
        <v>71</v>
      </c>
      <c r="L13" s="8" t="s">
        <v>72</v>
      </c>
      <c r="M13" s="15" t="s">
        <v>171</v>
      </c>
    </row>
    <row r="14" spans="1:13" ht="34.5" customHeight="1" x14ac:dyDescent="0.25">
      <c r="A14" s="4">
        <f t="shared" si="0"/>
        <v>10</v>
      </c>
      <c r="B14" s="5">
        <v>46320.642534722225</v>
      </c>
      <c r="C14" s="4" t="s">
        <v>73</v>
      </c>
      <c r="D14" s="4" t="s">
        <v>18</v>
      </c>
      <c r="E14" s="4" t="s">
        <v>74</v>
      </c>
      <c r="F14" s="4" t="s">
        <v>75</v>
      </c>
      <c r="G14" s="4" t="s">
        <v>21</v>
      </c>
      <c r="H14" s="4" t="s">
        <v>76</v>
      </c>
      <c r="I14" s="6" t="s">
        <v>38</v>
      </c>
      <c r="J14" s="6" t="s">
        <v>77</v>
      </c>
      <c r="K14" s="7" t="s">
        <v>78</v>
      </c>
      <c r="L14" s="8" t="s">
        <v>79</v>
      </c>
      <c r="M14" s="15" t="s">
        <v>169</v>
      </c>
    </row>
    <row r="15" spans="1:13" ht="34.5" customHeight="1" x14ac:dyDescent="0.25">
      <c r="A15" s="4">
        <f t="shared" si="0"/>
        <v>11</v>
      </c>
      <c r="B15" s="5">
        <v>46294.889849537038</v>
      </c>
      <c r="C15" s="4" t="s">
        <v>80</v>
      </c>
      <c r="D15" s="4" t="s">
        <v>81</v>
      </c>
      <c r="E15" s="4" t="s">
        <v>82</v>
      </c>
      <c r="F15" s="4" t="s">
        <v>83</v>
      </c>
      <c r="G15" s="4" t="s">
        <v>84</v>
      </c>
      <c r="H15" s="4" t="s">
        <v>85</v>
      </c>
      <c r="I15" s="6" t="s">
        <v>86</v>
      </c>
      <c r="J15" s="6" t="s">
        <v>87</v>
      </c>
      <c r="K15" s="7" t="s">
        <v>88</v>
      </c>
      <c r="L15" s="8" t="s">
        <v>89</v>
      </c>
      <c r="M15" s="15" t="s">
        <v>172</v>
      </c>
    </row>
    <row r="16" spans="1:13" ht="34.5" customHeight="1" x14ac:dyDescent="0.25">
      <c r="A16" s="4">
        <f t="shared" si="0"/>
        <v>12</v>
      </c>
      <c r="B16" s="5">
        <v>46320.655613425923</v>
      </c>
      <c r="C16" s="4" t="s">
        <v>90</v>
      </c>
      <c r="D16" s="4"/>
      <c r="E16" s="4" t="s">
        <v>91</v>
      </c>
      <c r="F16" s="4" t="s">
        <v>92</v>
      </c>
      <c r="G16" s="4" t="s">
        <v>21</v>
      </c>
      <c r="H16" s="4" t="s">
        <v>93</v>
      </c>
      <c r="I16" s="6" t="s">
        <v>31</v>
      </c>
      <c r="J16" s="6" t="s">
        <v>94</v>
      </c>
      <c r="K16" s="7" t="s">
        <v>95</v>
      </c>
      <c r="L16" s="8" t="s">
        <v>96</v>
      </c>
      <c r="M16" s="15"/>
    </row>
    <row r="17" spans="1:13" ht="34.5" customHeight="1" x14ac:dyDescent="0.25">
      <c r="A17" s="4">
        <f t="shared" si="0"/>
        <v>13</v>
      </c>
      <c r="B17" s="5">
        <v>46320.615763888891</v>
      </c>
      <c r="C17" s="4" t="s">
        <v>97</v>
      </c>
      <c r="D17" s="4"/>
      <c r="E17" s="4" t="s">
        <v>98</v>
      </c>
      <c r="F17" s="4" t="s">
        <v>99</v>
      </c>
      <c r="G17" s="4" t="s">
        <v>21</v>
      </c>
      <c r="H17" s="4" t="s">
        <v>100</v>
      </c>
      <c r="I17" s="6" t="s">
        <v>38</v>
      </c>
      <c r="J17" s="6" t="s">
        <v>32</v>
      </c>
      <c r="K17" s="7" t="s">
        <v>101</v>
      </c>
      <c r="L17" s="8" t="s">
        <v>102</v>
      </c>
      <c r="M17" s="15" t="s">
        <v>171</v>
      </c>
    </row>
    <row r="18" spans="1:13" ht="34.5" customHeight="1" x14ac:dyDescent="0.25">
      <c r="A18" s="4">
        <f t="shared" si="0"/>
        <v>14</v>
      </c>
      <c r="B18" s="5">
        <v>46295.47079861111</v>
      </c>
      <c r="C18" s="4" t="s">
        <v>103</v>
      </c>
      <c r="D18" s="4" t="s">
        <v>18</v>
      </c>
      <c r="E18" s="4" t="s">
        <v>104</v>
      </c>
      <c r="F18" s="4" t="s">
        <v>105</v>
      </c>
      <c r="G18" s="4" t="s">
        <v>21</v>
      </c>
      <c r="H18" s="4" t="s">
        <v>106</v>
      </c>
      <c r="I18" s="6" t="s">
        <v>107</v>
      </c>
      <c r="J18" s="6" t="s">
        <v>77</v>
      </c>
      <c r="K18" s="7" t="s">
        <v>108</v>
      </c>
      <c r="L18" s="8" t="s">
        <v>109</v>
      </c>
      <c r="M18" s="15" t="s">
        <v>171</v>
      </c>
    </row>
    <row r="19" spans="1:13" ht="34.5" customHeight="1" x14ac:dyDescent="0.25">
      <c r="A19" s="4">
        <f t="shared" si="0"/>
        <v>15</v>
      </c>
      <c r="B19" s="5">
        <v>46320.565555555557</v>
      </c>
      <c r="C19" s="4" t="s">
        <v>110</v>
      </c>
      <c r="D19" s="4"/>
      <c r="E19" s="4" t="s">
        <v>111</v>
      </c>
      <c r="F19" s="4" t="s">
        <v>112</v>
      </c>
      <c r="G19" s="4" t="s">
        <v>21</v>
      </c>
      <c r="H19" s="4" t="s">
        <v>113</v>
      </c>
      <c r="I19" s="6" t="s">
        <v>31</v>
      </c>
      <c r="J19" s="6" t="s">
        <v>94</v>
      </c>
      <c r="K19" s="7" t="s">
        <v>114</v>
      </c>
      <c r="L19" s="8" t="s">
        <v>115</v>
      </c>
      <c r="M19" s="15" t="s">
        <v>169</v>
      </c>
    </row>
    <row r="20" spans="1:13" ht="34.5" customHeight="1" x14ac:dyDescent="0.25">
      <c r="A20" s="4">
        <f t="shared" si="0"/>
        <v>16</v>
      </c>
      <c r="B20" s="5">
        <v>46311.720057870371</v>
      </c>
      <c r="C20" s="4" t="s">
        <v>116</v>
      </c>
      <c r="D20" s="4" t="s">
        <v>81</v>
      </c>
      <c r="E20" s="4" t="s">
        <v>117</v>
      </c>
      <c r="F20" s="4" t="s">
        <v>118</v>
      </c>
      <c r="G20" s="4" t="s">
        <v>84</v>
      </c>
      <c r="H20" s="4" t="s">
        <v>119</v>
      </c>
      <c r="I20" s="6" t="s">
        <v>120</v>
      </c>
      <c r="J20" s="6" t="s">
        <v>87</v>
      </c>
      <c r="K20" s="7" t="s">
        <v>121</v>
      </c>
      <c r="L20" s="8" t="s">
        <v>122</v>
      </c>
      <c r="M20" s="15" t="s">
        <v>171</v>
      </c>
    </row>
    <row r="21" spans="1:13" ht="34.5" customHeight="1" x14ac:dyDescent="0.25">
      <c r="A21" s="4">
        <f t="shared" si="0"/>
        <v>17</v>
      </c>
      <c r="B21" s="5">
        <v>46320.696435185186</v>
      </c>
      <c r="C21" s="4" t="s">
        <v>123</v>
      </c>
      <c r="D21" s="4" t="s">
        <v>18</v>
      </c>
      <c r="E21" s="4" t="s">
        <v>124</v>
      </c>
      <c r="F21" s="4" t="s">
        <v>125</v>
      </c>
      <c r="G21" s="4" t="s">
        <v>21</v>
      </c>
      <c r="H21" s="4" t="s">
        <v>126</v>
      </c>
      <c r="I21" s="6" t="s">
        <v>127</v>
      </c>
      <c r="J21" s="6" t="s">
        <v>64</v>
      </c>
      <c r="K21" s="7" t="s">
        <v>128</v>
      </c>
      <c r="L21" s="8" t="s">
        <v>129</v>
      </c>
      <c r="M21" s="15" t="s">
        <v>170</v>
      </c>
    </row>
    <row r="22" spans="1:13" ht="34.5" customHeight="1" x14ac:dyDescent="0.25">
      <c r="A22" s="4">
        <f t="shared" si="0"/>
        <v>18</v>
      </c>
      <c r="B22" s="5">
        <v>46319.597291666665</v>
      </c>
      <c r="C22" s="4" t="s">
        <v>130</v>
      </c>
      <c r="D22" s="4" t="s">
        <v>81</v>
      </c>
      <c r="E22" s="4" t="s">
        <v>131</v>
      </c>
      <c r="F22" s="4" t="s">
        <v>132</v>
      </c>
      <c r="G22" s="4" t="s">
        <v>21</v>
      </c>
      <c r="H22" s="4" t="s">
        <v>133</v>
      </c>
      <c r="I22" s="6" t="s">
        <v>134</v>
      </c>
      <c r="J22" s="6" t="s">
        <v>94</v>
      </c>
      <c r="K22" s="7" t="s">
        <v>135</v>
      </c>
      <c r="L22" s="8" t="s">
        <v>136</v>
      </c>
      <c r="M22" s="15" t="s">
        <v>81</v>
      </c>
    </row>
    <row r="23" spans="1:13" ht="34.5" customHeight="1" x14ac:dyDescent="0.25">
      <c r="A23" s="4">
        <f t="shared" si="0"/>
        <v>19</v>
      </c>
      <c r="B23" s="5">
        <v>46315.461215277777</v>
      </c>
      <c r="C23" s="4" t="s">
        <v>137</v>
      </c>
      <c r="D23" s="4" t="s">
        <v>18</v>
      </c>
      <c r="E23" s="4" t="s">
        <v>138</v>
      </c>
      <c r="F23" s="4" t="s">
        <v>139</v>
      </c>
      <c r="G23" s="4" t="s">
        <v>21</v>
      </c>
      <c r="H23" s="4" t="s">
        <v>140</v>
      </c>
      <c r="I23" s="6" t="s">
        <v>141</v>
      </c>
      <c r="J23" s="6" t="s">
        <v>142</v>
      </c>
      <c r="K23" s="7" t="s">
        <v>143</v>
      </c>
      <c r="L23" s="8" t="s">
        <v>144</v>
      </c>
      <c r="M23" s="15" t="s">
        <v>175</v>
      </c>
    </row>
    <row r="24" spans="1:13" ht="34.5" customHeight="1" x14ac:dyDescent="0.25">
      <c r="A24" s="4">
        <f t="shared" si="0"/>
        <v>20</v>
      </c>
      <c r="B24" s="5">
        <v>46319.502141203702</v>
      </c>
      <c r="C24" s="4" t="s">
        <v>145</v>
      </c>
      <c r="D24" s="4"/>
      <c r="E24" s="4" t="s">
        <v>146</v>
      </c>
      <c r="F24" s="4" t="s">
        <v>147</v>
      </c>
      <c r="G24" s="4" t="s">
        <v>21</v>
      </c>
      <c r="H24" s="4" t="s">
        <v>148</v>
      </c>
      <c r="I24" s="6" t="s">
        <v>31</v>
      </c>
      <c r="J24" s="6" t="s">
        <v>94</v>
      </c>
      <c r="K24" s="7" t="s">
        <v>149</v>
      </c>
      <c r="L24" s="8" t="s">
        <v>150</v>
      </c>
      <c r="M24" s="15" t="s">
        <v>173</v>
      </c>
    </row>
    <row r="25" spans="1:13" ht="34.5" customHeight="1" x14ac:dyDescent="0.25">
      <c r="A25" s="4">
        <f t="shared" si="0"/>
        <v>21</v>
      </c>
      <c r="B25" s="5">
        <v>46317.605763888889</v>
      </c>
      <c r="C25" s="4" t="s">
        <v>151</v>
      </c>
      <c r="D25" s="4" t="s">
        <v>81</v>
      </c>
      <c r="E25" s="4" t="s">
        <v>152</v>
      </c>
      <c r="F25" s="4" t="s">
        <v>153</v>
      </c>
      <c r="G25" s="4" t="s">
        <v>21</v>
      </c>
      <c r="H25" s="4" t="s">
        <v>154</v>
      </c>
      <c r="I25" s="6" t="s">
        <v>155</v>
      </c>
      <c r="J25" s="6" t="s">
        <v>142</v>
      </c>
      <c r="K25" s="7" t="s">
        <v>156</v>
      </c>
      <c r="L25" s="8" t="s">
        <v>157</v>
      </c>
      <c r="M25" s="15" t="s">
        <v>81</v>
      </c>
    </row>
    <row r="26" spans="1:13" ht="34.5" customHeight="1" x14ac:dyDescent="0.25">
      <c r="A26" s="4">
        <f t="shared" si="0"/>
        <v>22</v>
      </c>
      <c r="B26" s="5">
        <v>46314.580069444448</v>
      </c>
      <c r="C26" s="4" t="s">
        <v>158</v>
      </c>
      <c r="D26" s="4" t="s">
        <v>81</v>
      </c>
      <c r="E26" s="4" t="s">
        <v>159</v>
      </c>
      <c r="F26" s="4" t="s">
        <v>153</v>
      </c>
      <c r="G26" s="4" t="s">
        <v>21</v>
      </c>
      <c r="H26" s="4" t="s">
        <v>160</v>
      </c>
      <c r="I26" s="6" t="s">
        <v>161</v>
      </c>
      <c r="J26" s="6" t="s">
        <v>162</v>
      </c>
      <c r="K26" s="7" t="s">
        <v>156</v>
      </c>
      <c r="L26" s="8" t="s">
        <v>157</v>
      </c>
      <c r="M26" s="15" t="s">
        <v>81</v>
      </c>
    </row>
    <row r="27" spans="1:13" ht="34.5" customHeight="1" x14ac:dyDescent="0.25">
      <c r="A27" s="4">
        <f t="shared" si="0"/>
        <v>23</v>
      </c>
      <c r="B27" s="20">
        <v>46319.508055555554</v>
      </c>
      <c r="C27" s="21" t="s">
        <v>163</v>
      </c>
      <c r="D27" s="21"/>
      <c r="E27" s="21" t="s">
        <v>164</v>
      </c>
      <c r="F27" s="21" t="s">
        <v>165</v>
      </c>
      <c r="G27" s="21" t="s">
        <v>21</v>
      </c>
      <c r="H27" s="21" t="s">
        <v>166</v>
      </c>
      <c r="I27" s="22" t="s">
        <v>31</v>
      </c>
      <c r="J27" s="22" t="s">
        <v>32</v>
      </c>
      <c r="K27" s="23" t="s">
        <v>167</v>
      </c>
      <c r="L27" s="24" t="s">
        <v>168</v>
      </c>
      <c r="M27" s="25" t="s">
        <v>173</v>
      </c>
    </row>
    <row r="28" spans="1:13" ht="37.5" customHeight="1" x14ac:dyDescent="0.25">
      <c r="A28" s="7">
        <f t="shared" si="0"/>
        <v>24</v>
      </c>
      <c r="B28" s="26"/>
      <c r="C28" s="26"/>
      <c r="D28" s="26"/>
      <c r="E28" s="17" t="s">
        <v>176</v>
      </c>
      <c r="F28" s="17" t="s">
        <v>177</v>
      </c>
      <c r="G28" s="17" t="s">
        <v>179</v>
      </c>
      <c r="H28" s="18" t="s">
        <v>178</v>
      </c>
      <c r="I28" s="27" t="s">
        <v>31</v>
      </c>
      <c r="J28" s="27">
        <v>46321.541666666664</v>
      </c>
      <c r="K28" s="17"/>
      <c r="L28" s="17"/>
      <c r="M28" s="17" t="s">
        <v>169</v>
      </c>
    </row>
    <row r="29" spans="1:13" ht="69.75" customHeight="1" x14ac:dyDescent="0.25">
      <c r="A29" s="23">
        <f t="shared" si="0"/>
        <v>25</v>
      </c>
      <c r="B29" s="30"/>
      <c r="C29" s="30"/>
      <c r="D29" s="31"/>
      <c r="E29" s="32" t="s">
        <v>180</v>
      </c>
      <c r="F29" s="32" t="s">
        <v>177</v>
      </c>
      <c r="G29" s="32" t="s">
        <v>179</v>
      </c>
      <c r="H29" s="32" t="s">
        <v>181</v>
      </c>
      <c r="I29" s="33" t="s">
        <v>31</v>
      </c>
      <c r="J29" s="33" t="s">
        <v>32</v>
      </c>
      <c r="K29" s="32"/>
      <c r="L29" s="32"/>
      <c r="M29" s="34" t="s">
        <v>182</v>
      </c>
    </row>
    <row r="30" spans="1:13" ht="34.5" customHeight="1" x14ac:dyDescent="0.25">
      <c r="A30" s="28">
        <f t="shared" si="0"/>
        <v>26</v>
      </c>
      <c r="B30" s="26"/>
      <c r="C30" s="26"/>
      <c r="D30" s="28"/>
      <c r="E30" s="17" t="s">
        <v>183</v>
      </c>
      <c r="F30" s="17" t="s">
        <v>177</v>
      </c>
      <c r="G30" s="17" t="s">
        <v>179</v>
      </c>
      <c r="H30" s="17" t="s">
        <v>184</v>
      </c>
      <c r="I30" s="27">
        <v>46321.333333333336</v>
      </c>
      <c r="J30" s="6" t="s">
        <v>94</v>
      </c>
      <c r="K30" s="17"/>
      <c r="L30" s="17"/>
      <c r="M30" s="29" t="s">
        <v>173</v>
      </c>
    </row>
    <row r="31" spans="1:13" ht="30" customHeight="1" x14ac:dyDescent="0.25">
      <c r="A31" s="28">
        <f t="shared" si="0"/>
        <v>27</v>
      </c>
      <c r="B31" s="26"/>
      <c r="C31" s="26"/>
      <c r="D31" s="26"/>
      <c r="E31" s="17" t="s">
        <v>185</v>
      </c>
      <c r="F31" s="17" t="s">
        <v>187</v>
      </c>
      <c r="G31" s="17" t="s">
        <v>179</v>
      </c>
      <c r="H31" s="17" t="s">
        <v>186</v>
      </c>
      <c r="I31" s="27">
        <v>46321.333333333336</v>
      </c>
      <c r="J31" s="6" t="s">
        <v>94</v>
      </c>
      <c r="K31" s="17"/>
      <c r="L31" s="17"/>
      <c r="M31" s="35" t="s">
        <v>169</v>
      </c>
    </row>
    <row r="32" spans="1:13" ht="30" customHeight="1" x14ac:dyDescent="0.25">
      <c r="A32" s="28">
        <f t="shared" si="0"/>
        <v>28</v>
      </c>
      <c r="E32" s="17" t="s">
        <v>188</v>
      </c>
      <c r="F32" s="17" t="s">
        <v>189</v>
      </c>
      <c r="G32" s="17" t="s">
        <v>179</v>
      </c>
      <c r="H32" s="17" t="s">
        <v>190</v>
      </c>
      <c r="I32" s="27">
        <v>46321.333333333336</v>
      </c>
      <c r="J32" s="6" t="s">
        <v>94</v>
      </c>
      <c r="K32" s="17"/>
      <c r="L32" s="17"/>
      <c r="M32" s="19" t="s">
        <v>191</v>
      </c>
    </row>
    <row r="33" ht="37.5" customHeight="1" x14ac:dyDescent="0.25"/>
    <row r="34" ht="37.5" customHeight="1" x14ac:dyDescent="0.25"/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2026-10-25T11:45:08Z</dcterms:created>
  <dcterms:modified xsi:type="dcterms:W3CDTF">2026-10-25T16:04:34Z</dcterms:modified>
</cp:coreProperties>
</file>
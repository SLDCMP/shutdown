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Sheet0!$A$1:$M$44</definedName>
  </definedNames>
  <calcPr calcId="162913"/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</calcChain>
</file>

<file path=xl/sharedStrings.xml><?xml version="1.0" encoding="utf-8"?>
<sst xmlns="http://schemas.openxmlformats.org/spreadsheetml/2006/main" count="374" uniqueCount="248">
  <si>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</si>
  <si>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</si>
  <si>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</si>
  <si>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</si>
  <si>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</si>
  <si>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</si>
  <si>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</si>
  <si>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</si>
  <si>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</si>
  <si>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</si>
  <si>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</si>
  <si>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</si>
  <si>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</si>
  <si>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</si>
  <si>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</si>
  <si>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</si>
  <si>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</si>
  <si>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MR2603/0722</t>
  </si>
  <si>
    <t>132KV_132 KV Badnagar â¿¿ Suzlon line</t>
  </si>
  <si>
    <t>220KV_BADNAGAR</t>
  </si>
  <si>
    <t>NON-OCCM-MP</t>
  </si>
  <si>
    <t>work at Suzlon end</t>
  </si>
  <si>
    <t>01-04-2026 10:00:00</t>
  </si>
  <si>
    <t>01-04-2026 16:00:00</t>
  </si>
  <si>
    <t>Akash Shrivas</t>
  </si>
  <si>
    <t>9425805207</t>
  </si>
  <si>
    <t>MR2603/0686</t>
  </si>
  <si>
    <t>220KV_160MVA XMER_I AREVA</t>
  </si>
  <si>
    <t>220KV_BADOD</t>
  </si>
  <si>
    <t>NON-OCCM-WR</t>
  </si>
  <si>
    <t>Xmer testing &amp; Pre monsoon maintenance</t>
  </si>
  <si>
    <t>01-04-2026 09:00:00</t>
  </si>
  <si>
    <t>01-04-2026 18:00:00</t>
  </si>
  <si>
    <t>ER Y K RATHORE</t>
  </si>
  <si>
    <t>9425804968</t>
  </si>
  <si>
    <t>MR2603/0719</t>
  </si>
  <si>
    <t>132KV_50MVA BHEL Transformer</t>
  </si>
  <si>
    <t>132KV_BEOHARI</t>
  </si>
  <si>
    <t>Pre-monsoon maintenance and testing work</t>
  </si>
  <si>
    <t>Vijay Kumar Sahu</t>
  </si>
  <si>
    <t>9425814035</t>
  </si>
  <si>
    <t>MR2603/0735</t>
  </si>
  <si>
    <t>160MVA_220/132KV_BHEL_X'mer_2</t>
  </si>
  <si>
    <t>220KV_CHHINDWARA</t>
  </si>
  <si>
    <t>Pre Monsoon Maintenance and Testing work</t>
  </si>
  <si>
    <t>Er. Dinesh Pawar</t>
  </si>
  <si>
    <t>7587951131</t>
  </si>
  <si>
    <t>MR2603/0729</t>
  </si>
  <si>
    <t>220KV_160MVA 220/132KV  AREVA X-MER-2</t>
  </si>
  <si>
    <t>220KV_DAMOH</t>
  </si>
  <si>
    <t>Pre Monsoon Maintenance &amp; Testing work</t>
  </si>
  <si>
    <t>M.K.Choubey</t>
  </si>
  <si>
    <t>9425801424</t>
  </si>
  <si>
    <t>MR2603/0720</t>
  </si>
  <si>
    <t>132KV_132 /33 KV 40 MVA -II (EMCO)</t>
  </si>
  <si>
    <t>132KV_DATIA1</t>
  </si>
  <si>
    <t>Pre mansoon maintenance and Testing work</t>
  </si>
  <si>
    <t>01-04-2026 11:00:00</t>
  </si>
  <si>
    <t>Atul Shakya</t>
  </si>
  <si>
    <t>9425806928</t>
  </si>
  <si>
    <t>MR2603/0728</t>
  </si>
  <si>
    <t>220KV_160 MVA X-MER 2nd (EMCO)</t>
  </si>
  <si>
    <t>220KV_GUNA</t>
  </si>
  <si>
    <t>Pre-Monsoon maintenance</t>
  </si>
  <si>
    <t>Sagar Singh Dhakad</t>
  </si>
  <si>
    <t>9589205697</t>
  </si>
  <si>
    <t>MR2603/0721</t>
  </si>
  <si>
    <t>220KV_HANDIYA</t>
  </si>
  <si>
    <t>for Pre monsoon Maint work</t>
  </si>
  <si>
    <t>01-04-2026 17:00:00</t>
  </si>
  <si>
    <t>K.R.Dongre</t>
  </si>
  <si>
    <t>9424430754</t>
  </si>
  <si>
    <t>Continuous</t>
  </si>
  <si>
    <t>132KV_HATTA</t>
  </si>
  <si>
    <t>9425805067</t>
  </si>
  <si>
    <t>MR2601/0438</t>
  </si>
  <si>
    <t>Daily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</si>
  <si>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</si>
  <si>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</si>
  <si>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</si>
  <si>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</si>
  <si>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</si>
  <si>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MR2603/0684</t>
  </si>
  <si>
    <t>400KV_UNIT#01</t>
  </si>
  <si>
    <t>400KV_INDIRASAGAR</t>
  </si>
  <si>
    <t>ANNUAL MAINTENANCE</t>
  </si>
  <si>
    <t>01-04-2026 06:00:00</t>
  </si>
  <si>
    <t>15-04-2026 18:00:00</t>
  </si>
  <si>
    <t>SANJAY PATEL</t>
  </si>
  <si>
    <t>9575074321</t>
  </si>
  <si>
    <t>MR2603/0736</t>
  </si>
  <si>
    <t>220KV_160MVA TRANSFORMER-II MAKE-BBL SR. 5857/09</t>
  </si>
  <si>
    <t>220KV_INDORE-SZ</t>
  </si>
  <si>
    <t>PREMONSOON MAINTENANCE</t>
  </si>
  <si>
    <t>AKRAM KHAN</t>
  </si>
  <si>
    <t>9685654528</t>
  </si>
  <si>
    <t>MR2603/0677</t>
  </si>
  <si>
    <t>400KV_400 kV Indore (PGCIL)-Pithampur Ckt-1</t>
  </si>
  <si>
    <t>400KV_INDORE4</t>
  </si>
  <si>
    <t>OCCM-MP</t>
  </si>
  <si>
    <t>400KV Runija PSF Indore (PGCIL) Line crossing work</t>
  </si>
  <si>
    <t>01-04-2026 08:00:00</t>
  </si>
  <si>
    <t>02-04-2026 18:00:00</t>
  </si>
  <si>
    <t>RAVINDRA PATIL</t>
  </si>
  <si>
    <t>9425801598</t>
  </si>
  <si>
    <t>MR2603/0291</t>
  </si>
  <si>
    <t>400KV_400KV JP BINA -MP BINA LINE</t>
  </si>
  <si>
    <t>400KV_JP BINA</t>
  </si>
  <si>
    <t>PRIVENTIVE MAINTANCE</t>
  </si>
  <si>
    <t>06-04-2026 19:00:00</t>
  </si>
  <si>
    <t>Krishna SinghThakur</t>
  </si>
  <si>
    <t>7987976012</t>
  </si>
  <si>
    <t>MR2603/0726</t>
  </si>
  <si>
    <t>132KV_132/33 kv 50 MVA Tal X-mer no.2</t>
  </si>
  <si>
    <t>132KV_KARAKBEL</t>
  </si>
  <si>
    <t>pre-mansoon maintenance work</t>
  </si>
  <si>
    <t>Dinesh Kumar kushwaha</t>
  </si>
  <si>
    <t>9425801319</t>
  </si>
  <si>
    <t>MR2603/0717</t>
  </si>
  <si>
    <t>132KV_132KV Incoming of 160 MVA BBL and 160MVA BHEL Ist</t>
  </si>
  <si>
    <t>220KV_MAHALGAON</t>
  </si>
  <si>
    <t>Shutdown on 132KV Main Bus Section 2nd</t>
  </si>
  <si>
    <t>01-04-2026 11:30:00</t>
  </si>
  <si>
    <t>P Datey</t>
  </si>
  <si>
    <t>9425805110</t>
  </si>
  <si>
    <t>MR2603/0716</t>
  </si>
  <si>
    <t>132KV_132KV Incoming of 220/132KV 160MVA X Mer BHEL IInd</t>
  </si>
  <si>
    <t>Shutdown on 132KV Main Bus Section 1st</t>
  </si>
  <si>
    <t>MR2603/0738</t>
  </si>
  <si>
    <t>132KV_40 mva x-mer bbl</t>
  </si>
  <si>
    <t>132KV_MANDLA</t>
  </si>
  <si>
    <t>pre monsson work</t>
  </si>
  <si>
    <t>01-04-2026 07:00:00</t>
  </si>
  <si>
    <t>01-04-2026 12:00:00</t>
  </si>
  <si>
    <t>R S Bais</t>
  </si>
  <si>
    <t>9425163265</t>
  </si>
  <si>
    <t>MR2603/0715</t>
  </si>
  <si>
    <t>220KV_200 MVA CGPISL 220/132/33KV Transformer</t>
  </si>
  <si>
    <t>220KV_NAGDA</t>
  </si>
  <si>
    <t>PRE MANSOON MAINTENANCE WORK</t>
  </si>
  <si>
    <t>VIKRAM DEHARIYA</t>
  </si>
  <si>
    <t>7000276050</t>
  </si>
  <si>
    <t>MR2603/0665</t>
  </si>
  <si>
    <t>220KV_Generating Unit # 01</t>
  </si>
  <si>
    <t>220KV_OMKARESHWAR</t>
  </si>
  <si>
    <t>Annual maintenance</t>
  </si>
  <si>
    <t>M S Karunakar</t>
  </si>
  <si>
    <t>7898703187</t>
  </si>
  <si>
    <t>220KV_160 MVA-III (BHEL)</t>
  </si>
  <si>
    <t>220KV_PITHAMPUR (SEC-III)</t>
  </si>
  <si>
    <t>Pre monsoon</t>
  </si>
  <si>
    <t>RAJU DAS BAIRAGI</t>
  </si>
  <si>
    <t>9425801532</t>
  </si>
  <si>
    <t>MR2603/0730</t>
  </si>
  <si>
    <t>MR2603/0674</t>
  </si>
  <si>
    <t>400KV_315MVA ICT-3rd MAKE T&amp;R</t>
  </si>
  <si>
    <t>400KV_PITHAMPUR4</t>
  </si>
  <si>
    <t>for pre mansoon and x mer testing work</t>
  </si>
  <si>
    <t>Rajudas bairagi</t>
  </si>
  <si>
    <t>MR2603/0678</t>
  </si>
  <si>
    <t>400KV_400 kV Indore (PGCIL)-Pithampur Ckt-2</t>
  </si>
  <si>
    <t>MR2603/0725</t>
  </si>
  <si>
    <t>220KV_160 MVA II X-MER (BHEL)</t>
  </si>
  <si>
    <t>220KV_RAJGARH (BIAORA)</t>
  </si>
  <si>
    <t>PRE MANSOON MAINTENANCE &amp; RELAY TESTING WORK</t>
  </si>
  <si>
    <t>NEELESH BASTRI</t>
  </si>
  <si>
    <t>9425804342</t>
  </si>
  <si>
    <t>220KV_220KV MAIN BUS-II</t>
  </si>
  <si>
    <t>220KV_RAJGARH DHAR</t>
  </si>
  <si>
    <t>MANOJ RANDA</t>
  </si>
  <si>
    <t>9425820034</t>
  </si>
  <si>
    <t>MR2603/0671</t>
  </si>
  <si>
    <t>FOR DISC REPLACEMENT WORK AGAINST R&amp;R</t>
  </si>
  <si>
    <t>30-03-2026 10:00:00</t>
  </si>
  <si>
    <t>MR2603/0724</t>
  </si>
  <si>
    <t>220KV_160MVA TRANSFORMER-I (EMCO)</t>
  </si>
  <si>
    <t>PRE MONSOON MAINATENANCE WORK</t>
  </si>
  <si>
    <t>132KV_40 MVA BBL X-Mer</t>
  </si>
  <si>
    <t>132KV_RAMPUR BAGHELAN</t>
  </si>
  <si>
    <t>Pre-Monsoon  maintenance &amp; Testing Work</t>
  </si>
  <si>
    <t>Kanishk Singh</t>
  </si>
  <si>
    <t>9425804656</t>
  </si>
  <si>
    <t>MR2603/0733</t>
  </si>
  <si>
    <t>MR2603/0718</t>
  </si>
  <si>
    <t>132KV_132KV Railway traction feeder-1st</t>
  </si>
  <si>
    <t>220KV_RATLAM</t>
  </si>
  <si>
    <t>CT Replacement work</t>
  </si>
  <si>
    <t>Nikhil Dunge</t>
  </si>
  <si>
    <t>9425801487</t>
  </si>
  <si>
    <t>MR2603/0601</t>
  </si>
  <si>
    <t>220KV_Bay no 4 Brs- Pali I/c 2</t>
  </si>
  <si>
    <t>400KV_SGTPS</t>
  </si>
  <si>
    <t>For O/h of 220 kv bkr &amp; hot point attending</t>
  </si>
  <si>
    <t>30-03-2026 07:00:00</t>
  </si>
  <si>
    <t>S Banerjee</t>
  </si>
  <si>
    <t>9424352880</t>
  </si>
  <si>
    <t>MR2603/0737</t>
  </si>
  <si>
    <t>132KV_132kV Sidhi - Deosar Ckt - II</t>
  </si>
  <si>
    <t>220KV_SIDHI</t>
  </si>
  <si>
    <t>Disc F/o Change and othar line maintenance work.</t>
  </si>
  <si>
    <t>01-04-2026 16:30:00</t>
  </si>
  <si>
    <t>G.L Sahu</t>
  </si>
  <si>
    <t>9425805102</t>
  </si>
  <si>
    <t>400KV_pithampur ckt-4</t>
  </si>
  <si>
    <t>400KV_SINGHAJI-TPS-II</t>
  </si>
  <si>
    <t>Testing for AOH</t>
  </si>
  <si>
    <t>31-03-2026 09:00:00</t>
  </si>
  <si>
    <t>01-04-2026 19:00:00</t>
  </si>
  <si>
    <t>Sharad Tiwari</t>
  </si>
  <si>
    <t>7987469237</t>
  </si>
  <si>
    <t>MR2603/0711</t>
  </si>
  <si>
    <t>sub ld</t>
  </si>
  <si>
    <t>ok, through sub ld</t>
  </si>
  <si>
    <t>ok</t>
  </si>
  <si>
    <t>as per system requirement</t>
  </si>
  <si>
    <t>ok, WRLDC code to be taken</t>
  </si>
  <si>
    <t>deferred</t>
  </si>
  <si>
    <t>o&amp;m consent required</t>
  </si>
  <si>
    <t>deferred due to s/d on 160 MVA at Rajghar Biora</t>
  </si>
  <si>
    <t>real time</t>
  </si>
  <si>
    <t>ok, load to be managed by sub ld Bhopal</t>
  </si>
  <si>
    <t>400KV-SSP-RAJGARH-1</t>
  </si>
  <si>
    <t>220KV-KHANDWA-CHHANERA-1</t>
  </si>
  <si>
    <t>400KV-BINA-MP-JP-BINA-1</t>
  </si>
  <si>
    <t>400KV-INDORE-PITHAMPUR-1</t>
  </si>
  <si>
    <t>400KV-INDORE-PITHAMPUR-2</t>
  </si>
  <si>
    <t>400KV/220KV KHANDWA-ICT-1</t>
  </si>
  <si>
    <t>220KV-ITARSI-MP-ITARSI-2</t>
  </si>
  <si>
    <t>220KV-SEONI-PG-CHINDWARA-1</t>
  </si>
  <si>
    <t>400KV-SSP-RAJGARH-2</t>
  </si>
  <si>
    <t>SHUTDOWN REQUIRED FOR REPLACEMENT OF DEFECTIVE DISC INSULATOR</t>
  </si>
  <si>
    <t>FOR LINE MAINTENANCE WORK i.e. CLEANING OF DISC INSULATORS DURING LINE PATROLLING , REPLACEMENT OF FLASHOVERED DISC INSULATORS, TREE BRANCH CUTTING ETC AT VARIOUS TOWER LOCATIONS</t>
  </si>
  <si>
    <t xml:space="preserve">
For line maintenance and conductor resagging work</t>
  </si>
  <si>
    <t>For overhead crossing of 400kv Runija-Indore line of M/s Renew</t>
  </si>
  <si>
    <t>Schedule AMP Work .Dia to be kept open at both Sides</t>
  </si>
  <si>
    <t>For rectification of Wave trap jumper and AMP works.</t>
  </si>
  <si>
    <t>For AMP work @ Seoni SS</t>
  </si>
  <si>
    <t>A/R OFF REQUIRED DUE TO OUTAGE OF CKT -1</t>
  </si>
  <si>
    <t>ok, WRLDC code required</t>
  </si>
  <si>
    <t>ok, line to be in service</t>
  </si>
  <si>
    <t>08:00</t>
  </si>
  <si>
    <t>06:00</t>
  </si>
  <si>
    <t>09:00</t>
  </si>
  <si>
    <t>07:00</t>
  </si>
  <si>
    <t>18:00</t>
  </si>
  <si>
    <t>19:00</t>
  </si>
  <si>
    <t>SHUTDOWN FOR DT. 01.04.2026</t>
  </si>
  <si>
    <t>S/I , SLDC,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</si>
</sst>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8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b/>
      <sz val="10"/>
      <color rgb="FF000000"/>
      <name val="Arial"/>
      <family val="2"/>
    </font>
    <font>
      <b/>
      <sz val="11"/>
      <name val="Calibri"/>
      <family val="2"/>
    </font>
    <font>
      <b/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" fillId="0" borderId="3" xfId="0" applyFont="1" applyBorder="1"/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vertical="center"/>
    </xf>
    <xf numFmtId="0" fontId="4" fillId="0" borderId="10" xfId="0" applyFont="1" applyBorder="1" applyAlignment="1">
      <alignment horizontal="right" vertical="center"/>
    </xf>
    <xf numFmtId="0" fontId="4" fillId="0" borderId="11" xfId="0" applyFont="1" applyBorder="1" applyAlignment="1">
      <alignment horizontal="right" vertical="center"/>
    </xf>
    <xf numFmtId="0" fontId="4" fillId="0" borderId="12" xfId="0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4"/>
  <sheetViews>
    <sheetView tabSelected="1" workbookViewId="0">
      <pane xSplit="5" ySplit="1" topLeftCell="F38" activePane="bottomRight" state="frozen"/>
      <selection pane="topRight" activeCell="F1" sqref="F1"/>
      <selection pane="bottomLeft" activeCell="A2" sqref="A2"/>
      <selection pane="bottomRight" activeCell="J8" sqref="J8"/>
    </sheetView>
  </sheetViews>
  <sheetFormatPr defaultRowHeight="15"/>
  <cols>
    <col min="2" max="2" width="11.140625" customWidth="1"/>
    <col min="3" max="3" width="13.42578125" customWidth="1"/>
    <col min="4" max="4" width="11" customWidth="1"/>
    <col min="5" max="5" width="55.85546875" style="2" customWidth="1"/>
    <col min="6" max="6" width="21.85546875" customWidth="1"/>
    <col min="7" max="7" width="16.140625" customWidth="1"/>
    <col min="8" max="8" width="64.85546875" customWidth="1"/>
    <col min="9" max="10" width="19.5703125" customWidth="1"/>
    <col min="11" max="11" width="19.42578125" customWidth="1"/>
    <col min="12" max="12" width="12" customWidth="1"/>
    <col min="13" max="13" width="44.5703125" customWidth="1"/>
  </cols>
  <sheetData>
    <row r="1" spans="1:13" ht="43.7" customHeight="1">
      <c r="A1" s="1"/>
      <c r="B1" s="3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5"/>
    </row>
    <row r="2" spans="1:13" ht="42" customHeight="1">
      <c r="A2" s="6" t="s">
        <v>1</v>
      </c>
      <c r="B2" s="7">
        <v>46113</v>
      </c>
      <c r="C2" s="6"/>
      <c r="D2" s="6"/>
      <c r="E2" s="8" t="s">
        <v>246</v>
      </c>
      <c r="F2" s="9"/>
      <c r="G2" s="9"/>
      <c r="H2" s="10"/>
      <c r="I2" s="6"/>
      <c r="J2" s="6"/>
      <c r="K2" s="6"/>
      <c r="L2" s="6"/>
      <c r="M2" s="6"/>
    </row>
    <row r="3" spans="1:13" ht="42" customHeight="1">
      <c r="A3" s="11" t="s">
        <v>2</v>
      </c>
      <c r="B3" s="11" t="s">
        <v>3</v>
      </c>
      <c r="C3" s="11" t="s">
        <v>4</v>
      </c>
      <c r="D3" s="11" t="s">
        <v>3</v>
      </c>
      <c r="E3" s="12"/>
      <c r="F3" s="13"/>
      <c r="G3" s="13"/>
      <c r="H3" s="14"/>
      <c r="I3" s="6"/>
      <c r="J3" s="6"/>
      <c r="K3" s="6"/>
      <c r="L3" s="6"/>
      <c r="M3" s="6"/>
    </row>
    <row r="4" spans="1:13" ht="42" customHeight="1">
      <c r="A4" s="11" t="s">
        <v>5</v>
      </c>
      <c r="B4" s="11" t="s">
        <v>6</v>
      </c>
      <c r="C4" s="11" t="s">
        <v>7</v>
      </c>
      <c r="D4" s="11" t="s">
        <v>8</v>
      </c>
      <c r="E4" s="15" t="s">
        <v>9</v>
      </c>
      <c r="F4" s="11" t="s">
        <v>10</v>
      </c>
      <c r="G4" s="11" t="s">
        <v>11</v>
      </c>
      <c r="H4" s="11" t="s">
        <v>12</v>
      </c>
      <c r="I4" s="11" t="s">
        <v>13</v>
      </c>
      <c r="J4" s="11" t="s">
        <v>14</v>
      </c>
      <c r="K4" s="16" t="s">
        <v>15</v>
      </c>
      <c r="L4" s="17"/>
      <c r="M4" s="11" t="s">
        <v>16</v>
      </c>
    </row>
    <row r="5" spans="1:13" ht="44.25" customHeight="1">
      <c r="A5" s="11">
        <v>1</v>
      </c>
      <c r="B5" s="18">
        <v>46112.583819444444</v>
      </c>
      <c r="C5" s="11" t="s">
        <v>17</v>
      </c>
      <c r="D5" s="11"/>
      <c r="E5" s="15" t="s">
        <v>18</v>
      </c>
      <c r="F5" s="11" t="s">
        <v>19</v>
      </c>
      <c r="G5" s="11" t="s">
        <v>20</v>
      </c>
      <c r="H5" s="11" t="s">
        <v>21</v>
      </c>
      <c r="I5" s="19" t="s">
        <v>22</v>
      </c>
      <c r="J5" s="19" t="s">
        <v>23</v>
      </c>
      <c r="K5" s="20" t="s">
        <v>24</v>
      </c>
      <c r="L5" s="21" t="s">
        <v>25</v>
      </c>
      <c r="M5" s="11" t="s">
        <v>211</v>
      </c>
    </row>
    <row r="6" spans="1:13" ht="44.25" customHeight="1">
      <c r="A6" s="11">
        <f>A5+1</f>
        <v>2</v>
      </c>
      <c r="B6" s="18">
        <v>46111.495659722219</v>
      </c>
      <c r="C6" s="11" t="s">
        <v>26</v>
      </c>
      <c r="D6" s="11"/>
      <c r="E6" s="15" t="s">
        <v>27</v>
      </c>
      <c r="F6" s="11" t="s">
        <v>28</v>
      </c>
      <c r="G6" s="11" t="s">
        <v>29</v>
      </c>
      <c r="H6" s="11" t="s">
        <v>30</v>
      </c>
      <c r="I6" s="19" t="s">
        <v>31</v>
      </c>
      <c r="J6" s="19" t="s">
        <v>32</v>
      </c>
      <c r="K6" s="20" t="s">
        <v>33</v>
      </c>
      <c r="L6" s="21" t="s">
        <v>34</v>
      </c>
      <c r="M6" s="11" t="s">
        <v>212</v>
      </c>
    </row>
    <row r="7" spans="1:13" ht="44.25" customHeight="1">
      <c r="A7" s="11">
        <f t="shared" ref="A7:A33" si="0">A6+1</f>
        <v>3</v>
      </c>
      <c r="B7" s="18">
        <v>46112.518275462964</v>
      </c>
      <c r="C7" s="11" t="s">
        <v>35</v>
      </c>
      <c r="D7" s="11"/>
      <c r="E7" s="15" t="s">
        <v>36</v>
      </c>
      <c r="F7" s="11" t="s">
        <v>37</v>
      </c>
      <c r="G7" s="11" t="s">
        <v>20</v>
      </c>
      <c r="H7" s="11" t="s">
        <v>38</v>
      </c>
      <c r="I7" s="19" t="s">
        <v>22</v>
      </c>
      <c r="J7" s="19" t="s">
        <v>32</v>
      </c>
      <c r="K7" s="20" t="s">
        <v>39</v>
      </c>
      <c r="L7" s="21" t="s">
        <v>40</v>
      </c>
      <c r="M7" s="11" t="s">
        <v>213</v>
      </c>
    </row>
    <row r="8" spans="1:13" ht="44.25" customHeight="1">
      <c r="A8" s="11">
        <f t="shared" si="0"/>
        <v>4</v>
      </c>
      <c r="B8" s="18">
        <v>46112.647106481483</v>
      </c>
      <c r="C8" s="11" t="s">
        <v>41</v>
      </c>
      <c r="D8" s="11"/>
      <c r="E8" s="15" t="s">
        <v>42</v>
      </c>
      <c r="F8" s="11" t="s">
        <v>43</v>
      </c>
      <c r="G8" s="11" t="s">
        <v>20</v>
      </c>
      <c r="H8" s="11" t="s">
        <v>44</v>
      </c>
      <c r="I8" s="19" t="s">
        <v>22</v>
      </c>
      <c r="J8" s="19" t="s">
        <v>32</v>
      </c>
      <c r="K8" s="20" t="s">
        <v>45</v>
      </c>
      <c r="L8" s="21" t="s">
        <v>46</v>
      </c>
      <c r="M8" s="11" t="s">
        <v>219</v>
      </c>
    </row>
    <row r="9" spans="1:13" ht="44.25" customHeight="1">
      <c r="A9" s="11">
        <f t="shared" si="0"/>
        <v>5</v>
      </c>
      <c r="B9" s="18">
        <v>46112.618356481478</v>
      </c>
      <c r="C9" s="11" t="s">
        <v>47</v>
      </c>
      <c r="D9" s="11"/>
      <c r="E9" s="15" t="s">
        <v>48</v>
      </c>
      <c r="F9" s="11" t="s">
        <v>49</v>
      </c>
      <c r="G9" s="11" t="s">
        <v>20</v>
      </c>
      <c r="H9" s="11" t="s">
        <v>50</v>
      </c>
      <c r="I9" s="19" t="s">
        <v>22</v>
      </c>
      <c r="J9" s="19" t="s">
        <v>32</v>
      </c>
      <c r="K9" s="20" t="s">
        <v>51</v>
      </c>
      <c r="L9" s="21" t="s">
        <v>52</v>
      </c>
      <c r="M9" s="11" t="s">
        <v>213</v>
      </c>
    </row>
    <row r="10" spans="1:13" ht="44.25" customHeight="1">
      <c r="A10" s="11">
        <f t="shared" si="0"/>
        <v>6</v>
      </c>
      <c r="B10" s="18">
        <v>46112.552268518521</v>
      </c>
      <c r="C10" s="11" t="s">
        <v>53</v>
      </c>
      <c r="D10" s="11"/>
      <c r="E10" s="15" t="s">
        <v>54</v>
      </c>
      <c r="F10" s="11" t="s">
        <v>55</v>
      </c>
      <c r="G10" s="11" t="s">
        <v>20</v>
      </c>
      <c r="H10" s="11" t="s">
        <v>56</v>
      </c>
      <c r="I10" s="19" t="s">
        <v>57</v>
      </c>
      <c r="J10" s="19" t="s">
        <v>32</v>
      </c>
      <c r="K10" s="20" t="s">
        <v>58</v>
      </c>
      <c r="L10" s="21" t="s">
        <v>59</v>
      </c>
      <c r="M10" s="11" t="s">
        <v>211</v>
      </c>
    </row>
    <row r="11" spans="1:13" ht="44.25" customHeight="1">
      <c r="A11" s="11">
        <f t="shared" si="0"/>
        <v>7</v>
      </c>
      <c r="B11" s="18">
        <v>46112.608437499999</v>
      </c>
      <c r="C11" s="11" t="s">
        <v>60</v>
      </c>
      <c r="D11" s="11"/>
      <c r="E11" s="15" t="s">
        <v>61</v>
      </c>
      <c r="F11" s="11" t="s">
        <v>62</v>
      </c>
      <c r="G11" s="11" t="s">
        <v>20</v>
      </c>
      <c r="H11" s="11" t="s">
        <v>63</v>
      </c>
      <c r="I11" s="19" t="s">
        <v>22</v>
      </c>
      <c r="J11" s="19" t="s">
        <v>32</v>
      </c>
      <c r="K11" s="20" t="s">
        <v>64</v>
      </c>
      <c r="L11" s="21" t="s">
        <v>65</v>
      </c>
      <c r="M11" s="11" t="s">
        <v>218</v>
      </c>
    </row>
    <row r="12" spans="1:13" ht="44.25" customHeight="1">
      <c r="A12" s="11">
        <f t="shared" si="0"/>
        <v>8</v>
      </c>
      <c r="B12" s="18">
        <v>46112.561909722222</v>
      </c>
      <c r="C12" s="11" t="s">
        <v>66</v>
      </c>
      <c r="D12" s="11"/>
      <c r="E12" s="15" t="s">
        <v>42</v>
      </c>
      <c r="F12" s="11" t="s">
        <v>67</v>
      </c>
      <c r="G12" s="11" t="s">
        <v>20</v>
      </c>
      <c r="H12" s="11" t="s">
        <v>68</v>
      </c>
      <c r="I12" s="19" t="s">
        <v>22</v>
      </c>
      <c r="J12" s="19" t="s">
        <v>69</v>
      </c>
      <c r="K12" s="20" t="s">
        <v>70</v>
      </c>
      <c r="L12" s="21" t="s">
        <v>71</v>
      </c>
      <c r="M12" s="11" t="s">
        <v>212</v>
      </c>
    </row>
    <row r="13" spans="1:13" ht="44.25" customHeight="1">
      <c r="A13" s="11">
        <f t="shared" si="0"/>
        <v>9</v>
      </c>
      <c r="B13" s="18">
        <v>46050.577592592592</v>
      </c>
      <c r="C13" s="11" t="s">
        <v>75</v>
      </c>
      <c r="D13" s="11" t="s">
        <v>76</v>
      </c>
      <c r="E13" s="15" t="s">
        <v>77</v>
      </c>
      <c r="F13" s="11" t="s">
        <v>73</v>
      </c>
      <c r="G13" s="11" t="s">
        <v>20</v>
      </c>
      <c r="H13" s="11" t="s">
        <v>78</v>
      </c>
      <c r="I13" s="19" t="s">
        <v>79</v>
      </c>
      <c r="J13" s="19" t="s">
        <v>80</v>
      </c>
      <c r="K13" s="20" t="s">
        <v>81</v>
      </c>
      <c r="L13" s="21" t="s">
        <v>74</v>
      </c>
      <c r="M13" s="11" t="s">
        <v>213</v>
      </c>
    </row>
    <row r="14" spans="1:13" ht="44.25" customHeight="1">
      <c r="A14" s="11">
        <f t="shared" si="0"/>
        <v>10</v>
      </c>
      <c r="B14" s="18">
        <v>46111.48060185185</v>
      </c>
      <c r="C14" s="11" t="s">
        <v>82</v>
      </c>
      <c r="D14" s="11" t="s">
        <v>72</v>
      </c>
      <c r="E14" s="15" t="s">
        <v>83</v>
      </c>
      <c r="F14" s="11" t="s">
        <v>84</v>
      </c>
      <c r="G14" s="11" t="s">
        <v>29</v>
      </c>
      <c r="H14" s="11" t="s">
        <v>85</v>
      </c>
      <c r="I14" s="19" t="s">
        <v>86</v>
      </c>
      <c r="J14" s="19" t="s">
        <v>87</v>
      </c>
      <c r="K14" s="20" t="s">
        <v>88</v>
      </c>
      <c r="L14" s="21" t="s">
        <v>89</v>
      </c>
      <c r="M14" s="11" t="s">
        <v>214</v>
      </c>
    </row>
    <row r="15" spans="1:13" ht="44.25" customHeight="1">
      <c r="A15" s="11">
        <f t="shared" si="0"/>
        <v>11</v>
      </c>
      <c r="B15" s="18">
        <v>46112.662314814814</v>
      </c>
      <c r="C15" s="11" t="s">
        <v>90</v>
      </c>
      <c r="D15" s="11"/>
      <c r="E15" s="15" t="s">
        <v>91</v>
      </c>
      <c r="F15" s="11" t="s">
        <v>92</v>
      </c>
      <c r="G15" s="11" t="s">
        <v>20</v>
      </c>
      <c r="H15" s="11" t="s">
        <v>93</v>
      </c>
      <c r="I15" s="19" t="s">
        <v>22</v>
      </c>
      <c r="J15" s="19" t="s">
        <v>69</v>
      </c>
      <c r="K15" s="20" t="s">
        <v>94</v>
      </c>
      <c r="L15" s="21" t="s">
        <v>95</v>
      </c>
      <c r="M15" s="11" t="s">
        <v>212</v>
      </c>
    </row>
    <row r="16" spans="1:13" ht="44.25" customHeight="1">
      <c r="A16" s="11">
        <f t="shared" si="0"/>
        <v>12</v>
      </c>
      <c r="B16" s="18">
        <v>46111.449780092589</v>
      </c>
      <c r="C16" s="11" t="s">
        <v>96</v>
      </c>
      <c r="D16" s="11" t="s">
        <v>76</v>
      </c>
      <c r="E16" s="15" t="s">
        <v>97</v>
      </c>
      <c r="F16" s="11" t="s">
        <v>98</v>
      </c>
      <c r="G16" s="11" t="s">
        <v>99</v>
      </c>
      <c r="H16" s="11" t="s">
        <v>100</v>
      </c>
      <c r="I16" s="19" t="s">
        <v>101</v>
      </c>
      <c r="J16" s="19" t="s">
        <v>102</v>
      </c>
      <c r="K16" s="20" t="s">
        <v>103</v>
      </c>
      <c r="L16" s="21" t="s">
        <v>104</v>
      </c>
      <c r="M16" s="11" t="s">
        <v>212</v>
      </c>
    </row>
    <row r="17" spans="1:13" ht="44.25" customHeight="1">
      <c r="A17" s="11">
        <f t="shared" si="0"/>
        <v>13</v>
      </c>
      <c r="B17" s="18">
        <v>46095.718784722223</v>
      </c>
      <c r="C17" s="11" t="s">
        <v>105</v>
      </c>
      <c r="D17" s="11" t="s">
        <v>76</v>
      </c>
      <c r="E17" s="15" t="s">
        <v>106</v>
      </c>
      <c r="F17" s="11" t="s">
        <v>107</v>
      </c>
      <c r="G17" s="11" t="s">
        <v>29</v>
      </c>
      <c r="H17" s="11" t="s">
        <v>108</v>
      </c>
      <c r="I17" s="19" t="s">
        <v>86</v>
      </c>
      <c r="J17" s="19" t="s">
        <v>109</v>
      </c>
      <c r="K17" s="20" t="s">
        <v>110</v>
      </c>
      <c r="L17" s="21" t="s">
        <v>111</v>
      </c>
      <c r="M17" s="11" t="s">
        <v>215</v>
      </c>
    </row>
    <row r="18" spans="1:13" ht="44.25" customHeight="1">
      <c r="A18" s="11">
        <f t="shared" si="0"/>
        <v>14</v>
      </c>
      <c r="B18" s="18">
        <v>46112.603796296295</v>
      </c>
      <c r="C18" s="11" t="s">
        <v>112</v>
      </c>
      <c r="D18" s="11"/>
      <c r="E18" s="15" t="s">
        <v>113</v>
      </c>
      <c r="F18" s="11" t="s">
        <v>114</v>
      </c>
      <c r="G18" s="11" t="s">
        <v>20</v>
      </c>
      <c r="H18" s="11" t="s">
        <v>115</v>
      </c>
      <c r="I18" s="19" t="s">
        <v>22</v>
      </c>
      <c r="J18" s="19" t="s">
        <v>32</v>
      </c>
      <c r="K18" s="20" t="s">
        <v>116</v>
      </c>
      <c r="L18" s="21" t="s">
        <v>117</v>
      </c>
      <c r="M18" s="11" t="s">
        <v>213</v>
      </c>
    </row>
    <row r="19" spans="1:13" ht="44.25" customHeight="1">
      <c r="A19" s="11">
        <f t="shared" si="0"/>
        <v>15</v>
      </c>
      <c r="B19" s="18">
        <v>46112.476956018516</v>
      </c>
      <c r="C19" s="11" t="s">
        <v>118</v>
      </c>
      <c r="D19" s="11"/>
      <c r="E19" s="22" t="s">
        <v>119</v>
      </c>
      <c r="F19" s="11" t="s">
        <v>120</v>
      </c>
      <c r="G19" s="11" t="s">
        <v>20</v>
      </c>
      <c r="H19" s="11" t="s">
        <v>121</v>
      </c>
      <c r="I19" s="19" t="s">
        <v>122</v>
      </c>
      <c r="J19" s="19" t="s">
        <v>23</v>
      </c>
      <c r="K19" s="20" t="s">
        <v>123</v>
      </c>
      <c r="L19" s="21" t="s">
        <v>124</v>
      </c>
      <c r="M19" s="11" t="s">
        <v>220</v>
      </c>
    </row>
    <row r="20" spans="1:13" ht="44.25" customHeight="1">
      <c r="A20" s="11">
        <f t="shared" si="0"/>
        <v>16</v>
      </c>
      <c r="B20" s="18">
        <v>46112.474652777775</v>
      </c>
      <c r="C20" s="11" t="s">
        <v>125</v>
      </c>
      <c r="D20" s="11"/>
      <c r="E20" s="22" t="s">
        <v>126</v>
      </c>
      <c r="F20" s="11" t="s">
        <v>120</v>
      </c>
      <c r="G20" s="11" t="s">
        <v>20</v>
      </c>
      <c r="H20" s="11" t="s">
        <v>127</v>
      </c>
      <c r="I20" s="19" t="s">
        <v>22</v>
      </c>
      <c r="J20" s="19" t="s">
        <v>122</v>
      </c>
      <c r="K20" s="20" t="s">
        <v>123</v>
      </c>
      <c r="L20" s="21" t="s">
        <v>124</v>
      </c>
      <c r="M20" s="11" t="s">
        <v>220</v>
      </c>
    </row>
    <row r="21" spans="1:13" ht="44.25" customHeight="1">
      <c r="A21" s="11">
        <f t="shared" si="0"/>
        <v>17</v>
      </c>
      <c r="B21" s="18">
        <v>46112.675347222219</v>
      </c>
      <c r="C21" s="11" t="s">
        <v>128</v>
      </c>
      <c r="D21" s="11"/>
      <c r="E21" s="15" t="s">
        <v>129</v>
      </c>
      <c r="F21" s="11" t="s">
        <v>130</v>
      </c>
      <c r="G21" s="11" t="s">
        <v>20</v>
      </c>
      <c r="H21" s="11" t="s">
        <v>131</v>
      </c>
      <c r="I21" s="19" t="s">
        <v>132</v>
      </c>
      <c r="J21" s="19" t="s">
        <v>133</v>
      </c>
      <c r="K21" s="20" t="s">
        <v>134</v>
      </c>
      <c r="L21" s="21" t="s">
        <v>135</v>
      </c>
      <c r="M21" s="11" t="s">
        <v>217</v>
      </c>
    </row>
    <row r="22" spans="1:13" ht="44.25" customHeight="1">
      <c r="A22" s="11">
        <f t="shared" si="0"/>
        <v>18</v>
      </c>
      <c r="B22" s="18">
        <v>46112.362650462965</v>
      </c>
      <c r="C22" s="11" t="s">
        <v>136</v>
      </c>
      <c r="D22" s="11"/>
      <c r="E22" s="15" t="s">
        <v>137</v>
      </c>
      <c r="F22" s="11" t="s">
        <v>138</v>
      </c>
      <c r="G22" s="11" t="s">
        <v>20</v>
      </c>
      <c r="H22" s="11" t="s">
        <v>139</v>
      </c>
      <c r="I22" s="19" t="s">
        <v>22</v>
      </c>
      <c r="J22" s="19" t="s">
        <v>69</v>
      </c>
      <c r="K22" s="20" t="s">
        <v>140</v>
      </c>
      <c r="L22" s="21" t="s">
        <v>141</v>
      </c>
      <c r="M22" s="11" t="s">
        <v>212</v>
      </c>
    </row>
    <row r="23" spans="1:13" ht="44.25" customHeight="1">
      <c r="A23" s="11">
        <f t="shared" si="0"/>
        <v>19</v>
      </c>
      <c r="B23" s="18">
        <v>46109.748136574075</v>
      </c>
      <c r="C23" s="11" t="s">
        <v>142</v>
      </c>
      <c r="D23" s="11" t="s">
        <v>72</v>
      </c>
      <c r="E23" s="15" t="s">
        <v>143</v>
      </c>
      <c r="F23" s="11" t="s">
        <v>144</v>
      </c>
      <c r="G23" s="11" t="s">
        <v>29</v>
      </c>
      <c r="H23" s="11" t="s">
        <v>145</v>
      </c>
      <c r="I23" s="19" t="s">
        <v>22</v>
      </c>
      <c r="J23" s="19" t="s">
        <v>87</v>
      </c>
      <c r="K23" s="20" t="s">
        <v>146</v>
      </c>
      <c r="L23" s="21" t="s">
        <v>147</v>
      </c>
      <c r="M23" s="11" t="s">
        <v>214</v>
      </c>
    </row>
    <row r="24" spans="1:13" ht="44.25" customHeight="1">
      <c r="A24" s="11">
        <f t="shared" si="0"/>
        <v>20</v>
      </c>
      <c r="B24" s="18">
        <v>46112.634305555555</v>
      </c>
      <c r="C24" s="11" t="s">
        <v>153</v>
      </c>
      <c r="D24" s="11"/>
      <c r="E24" s="15" t="s">
        <v>148</v>
      </c>
      <c r="F24" s="11" t="s">
        <v>149</v>
      </c>
      <c r="G24" s="11" t="s">
        <v>20</v>
      </c>
      <c r="H24" s="11" t="s">
        <v>150</v>
      </c>
      <c r="I24" s="19" t="s">
        <v>22</v>
      </c>
      <c r="J24" s="19" t="s">
        <v>69</v>
      </c>
      <c r="K24" s="20" t="s">
        <v>151</v>
      </c>
      <c r="L24" s="21" t="s">
        <v>152</v>
      </c>
      <c r="M24" s="11" t="s">
        <v>219</v>
      </c>
    </row>
    <row r="25" spans="1:13" ht="44.25" customHeight="1">
      <c r="A25" s="11">
        <f t="shared" si="0"/>
        <v>21</v>
      </c>
      <c r="B25" s="18">
        <v>46110.508472222224</v>
      </c>
      <c r="C25" s="11" t="s">
        <v>154</v>
      </c>
      <c r="D25" s="11"/>
      <c r="E25" s="15" t="s">
        <v>155</v>
      </c>
      <c r="F25" s="11" t="s">
        <v>156</v>
      </c>
      <c r="G25" s="11" t="s">
        <v>20</v>
      </c>
      <c r="H25" s="11" t="s">
        <v>157</v>
      </c>
      <c r="I25" s="19" t="s">
        <v>22</v>
      </c>
      <c r="J25" s="19" t="s">
        <v>32</v>
      </c>
      <c r="K25" s="20" t="s">
        <v>158</v>
      </c>
      <c r="L25" s="21" t="s">
        <v>152</v>
      </c>
      <c r="M25" s="11" t="s">
        <v>212</v>
      </c>
    </row>
    <row r="26" spans="1:13" ht="44.25" customHeight="1">
      <c r="A26" s="11">
        <f t="shared" si="0"/>
        <v>22</v>
      </c>
      <c r="B26" s="18">
        <v>46111.452453703707</v>
      </c>
      <c r="C26" s="11" t="s">
        <v>159</v>
      </c>
      <c r="D26" s="11" t="s">
        <v>76</v>
      </c>
      <c r="E26" s="15" t="s">
        <v>160</v>
      </c>
      <c r="F26" s="11" t="s">
        <v>156</v>
      </c>
      <c r="G26" s="11" t="s">
        <v>99</v>
      </c>
      <c r="H26" s="11" t="s">
        <v>100</v>
      </c>
      <c r="I26" s="19" t="s">
        <v>101</v>
      </c>
      <c r="J26" s="19" t="s">
        <v>102</v>
      </c>
      <c r="K26" s="20" t="s">
        <v>103</v>
      </c>
      <c r="L26" s="21" t="s">
        <v>104</v>
      </c>
      <c r="M26" s="11" t="s">
        <v>212</v>
      </c>
    </row>
    <row r="27" spans="1:13" ht="44.25" customHeight="1">
      <c r="A27" s="11">
        <f t="shared" si="0"/>
        <v>23</v>
      </c>
      <c r="B27" s="18">
        <v>46112.600682870368</v>
      </c>
      <c r="C27" s="11" t="s">
        <v>161</v>
      </c>
      <c r="D27" s="11"/>
      <c r="E27" s="15" t="s">
        <v>162</v>
      </c>
      <c r="F27" s="11" t="s">
        <v>163</v>
      </c>
      <c r="G27" s="11" t="s">
        <v>29</v>
      </c>
      <c r="H27" s="11" t="s">
        <v>164</v>
      </c>
      <c r="I27" s="19" t="s">
        <v>22</v>
      </c>
      <c r="J27" s="19" t="s">
        <v>69</v>
      </c>
      <c r="K27" s="20" t="s">
        <v>165</v>
      </c>
      <c r="L27" s="21" t="s">
        <v>166</v>
      </c>
      <c r="M27" s="11" t="s">
        <v>212</v>
      </c>
    </row>
    <row r="28" spans="1:13" ht="44.25" customHeight="1">
      <c r="A28" s="11">
        <f t="shared" si="0"/>
        <v>24</v>
      </c>
      <c r="B28" s="18">
        <v>46110.45884259259</v>
      </c>
      <c r="C28" s="11" t="s">
        <v>171</v>
      </c>
      <c r="D28" s="11" t="s">
        <v>72</v>
      </c>
      <c r="E28" s="15" t="s">
        <v>167</v>
      </c>
      <c r="F28" s="11" t="s">
        <v>168</v>
      </c>
      <c r="G28" s="11" t="s">
        <v>20</v>
      </c>
      <c r="H28" s="11" t="s">
        <v>172</v>
      </c>
      <c r="I28" s="19" t="s">
        <v>173</v>
      </c>
      <c r="J28" s="19" t="s">
        <v>32</v>
      </c>
      <c r="K28" s="20" t="s">
        <v>169</v>
      </c>
      <c r="L28" s="21" t="s">
        <v>170</v>
      </c>
      <c r="M28" s="11" t="s">
        <v>72</v>
      </c>
    </row>
    <row r="29" spans="1:13" ht="44.25" customHeight="1">
      <c r="A29" s="11">
        <f t="shared" si="0"/>
        <v>25</v>
      </c>
      <c r="B29" s="18">
        <v>46112.595300925925</v>
      </c>
      <c r="C29" s="11" t="s">
        <v>174</v>
      </c>
      <c r="D29" s="11"/>
      <c r="E29" s="15" t="s">
        <v>175</v>
      </c>
      <c r="F29" s="11" t="s">
        <v>168</v>
      </c>
      <c r="G29" s="11" t="s">
        <v>20</v>
      </c>
      <c r="H29" s="11" t="s">
        <v>176</v>
      </c>
      <c r="I29" s="19" t="s">
        <v>31</v>
      </c>
      <c r="J29" s="19" t="s">
        <v>32</v>
      </c>
      <c r="K29" s="20" t="s">
        <v>169</v>
      </c>
      <c r="L29" s="21" t="s">
        <v>170</v>
      </c>
      <c r="M29" s="11" t="s">
        <v>212</v>
      </c>
    </row>
    <row r="30" spans="1:13" ht="44.25" customHeight="1">
      <c r="A30" s="11">
        <f t="shared" si="0"/>
        <v>26</v>
      </c>
      <c r="B30" s="18">
        <v>46112.642407407409</v>
      </c>
      <c r="C30" s="11" t="s">
        <v>182</v>
      </c>
      <c r="D30" s="11"/>
      <c r="E30" s="15" t="s">
        <v>177</v>
      </c>
      <c r="F30" s="11" t="s">
        <v>178</v>
      </c>
      <c r="G30" s="11" t="s">
        <v>20</v>
      </c>
      <c r="H30" s="11" t="s">
        <v>179</v>
      </c>
      <c r="I30" s="19" t="s">
        <v>22</v>
      </c>
      <c r="J30" s="19" t="s">
        <v>69</v>
      </c>
      <c r="K30" s="20" t="s">
        <v>180</v>
      </c>
      <c r="L30" s="21" t="s">
        <v>181</v>
      </c>
      <c r="M30" s="11" t="s">
        <v>213</v>
      </c>
    </row>
    <row r="31" spans="1:13" ht="44.25" customHeight="1">
      <c r="A31" s="11">
        <f t="shared" si="0"/>
        <v>27</v>
      </c>
      <c r="B31" s="18">
        <v>46112.507870370369</v>
      </c>
      <c r="C31" s="11" t="s">
        <v>183</v>
      </c>
      <c r="D31" s="11"/>
      <c r="E31" s="15" t="s">
        <v>184</v>
      </c>
      <c r="F31" s="11" t="s">
        <v>185</v>
      </c>
      <c r="G31" s="11" t="s">
        <v>20</v>
      </c>
      <c r="H31" s="11" t="s">
        <v>186</v>
      </c>
      <c r="I31" s="19" t="s">
        <v>31</v>
      </c>
      <c r="J31" s="19" t="s">
        <v>69</v>
      </c>
      <c r="K31" s="20" t="s">
        <v>187</v>
      </c>
      <c r="L31" s="21" t="s">
        <v>188</v>
      </c>
      <c r="M31" s="11" t="s">
        <v>211</v>
      </c>
    </row>
    <row r="32" spans="1:13" ht="44.25" customHeight="1">
      <c r="A32" s="11">
        <f t="shared" si="0"/>
        <v>28</v>
      </c>
      <c r="B32" s="18">
        <v>46106.433657407404</v>
      </c>
      <c r="C32" s="11" t="s">
        <v>189</v>
      </c>
      <c r="D32" s="11" t="s">
        <v>72</v>
      </c>
      <c r="E32" s="15" t="s">
        <v>190</v>
      </c>
      <c r="F32" s="11" t="s">
        <v>191</v>
      </c>
      <c r="G32" s="11" t="s">
        <v>20</v>
      </c>
      <c r="H32" s="11" t="s">
        <v>192</v>
      </c>
      <c r="I32" s="19" t="s">
        <v>193</v>
      </c>
      <c r="J32" s="19" t="s">
        <v>23</v>
      </c>
      <c r="K32" s="20" t="s">
        <v>194</v>
      </c>
      <c r="L32" s="21" t="s">
        <v>195</v>
      </c>
      <c r="M32" s="11" t="s">
        <v>72</v>
      </c>
    </row>
    <row r="33" spans="1:13" ht="44.25" customHeight="1">
      <c r="A33" s="11">
        <f t="shared" si="0"/>
        <v>29</v>
      </c>
      <c r="B33" s="18">
        <v>46112.670312499999</v>
      </c>
      <c r="C33" s="11" t="s">
        <v>196</v>
      </c>
      <c r="D33" s="11"/>
      <c r="E33" s="15" t="s">
        <v>197</v>
      </c>
      <c r="F33" s="11" t="s">
        <v>198</v>
      </c>
      <c r="G33" s="11" t="s">
        <v>20</v>
      </c>
      <c r="H33" s="11" t="s">
        <v>199</v>
      </c>
      <c r="I33" s="19" t="s">
        <v>22</v>
      </c>
      <c r="J33" s="19" t="s">
        <v>200</v>
      </c>
      <c r="K33" s="20" t="s">
        <v>201</v>
      </c>
      <c r="L33" s="21" t="s">
        <v>202</v>
      </c>
      <c r="M33" s="11" t="s">
        <v>213</v>
      </c>
    </row>
    <row r="34" spans="1:13" ht="44.25" customHeight="1">
      <c r="A34" s="11">
        <v>30</v>
      </c>
      <c r="B34" s="18">
        <v>46111.698287037034</v>
      </c>
      <c r="C34" s="11" t="s">
        <v>210</v>
      </c>
      <c r="D34" s="11" t="s">
        <v>72</v>
      </c>
      <c r="E34" s="15" t="s">
        <v>203</v>
      </c>
      <c r="F34" s="11" t="s">
        <v>204</v>
      </c>
      <c r="G34" s="11" t="s">
        <v>20</v>
      </c>
      <c r="H34" s="11" t="s">
        <v>205</v>
      </c>
      <c r="I34" s="19" t="s">
        <v>206</v>
      </c>
      <c r="J34" s="19" t="s">
        <v>207</v>
      </c>
      <c r="K34" s="20" t="s">
        <v>208</v>
      </c>
      <c r="L34" s="21" t="s">
        <v>209</v>
      </c>
      <c r="M34" s="23" t="s">
        <v>216</v>
      </c>
    </row>
    <row r="35" spans="1:13" ht="44.25" customHeight="1">
      <c r="A35" s="24">
        <v>31</v>
      </c>
      <c r="B35" s="25"/>
      <c r="C35" s="24"/>
      <c r="D35" s="24"/>
      <c r="E35" s="26" t="s">
        <v>221</v>
      </c>
      <c r="F35" s="24"/>
      <c r="G35" s="24"/>
      <c r="H35" s="26" t="s">
        <v>230</v>
      </c>
      <c r="I35" s="26" t="s">
        <v>240</v>
      </c>
      <c r="J35" s="26" t="s">
        <v>244</v>
      </c>
      <c r="K35" s="27"/>
      <c r="L35" s="28"/>
      <c r="M35" s="29" t="s">
        <v>212</v>
      </c>
    </row>
    <row r="36" spans="1:13" ht="44.25" customHeight="1">
      <c r="A36" s="24">
        <v>32</v>
      </c>
      <c r="B36" s="25"/>
      <c r="C36" s="24"/>
      <c r="D36" s="24"/>
      <c r="E36" s="26" t="s">
        <v>222</v>
      </c>
      <c r="F36" s="24"/>
      <c r="G36" s="24"/>
      <c r="H36" s="26" t="s">
        <v>231</v>
      </c>
      <c r="I36" s="26" t="s">
        <v>240</v>
      </c>
      <c r="J36" s="26" t="s">
        <v>244</v>
      </c>
      <c r="K36" s="27"/>
      <c r="L36" s="28"/>
      <c r="M36" s="29" t="s">
        <v>219</v>
      </c>
    </row>
    <row r="37" spans="1:13" ht="44.25" customHeight="1">
      <c r="A37" s="24">
        <v>33</v>
      </c>
      <c r="B37" s="25"/>
      <c r="C37" s="24"/>
      <c r="D37" s="24"/>
      <c r="E37" s="26" t="s">
        <v>223</v>
      </c>
      <c r="F37" s="24"/>
      <c r="G37" s="24"/>
      <c r="H37" s="26" t="s">
        <v>232</v>
      </c>
      <c r="I37" s="26" t="s">
        <v>241</v>
      </c>
      <c r="J37" s="26" t="s">
        <v>245</v>
      </c>
      <c r="K37" s="27"/>
      <c r="L37" s="28"/>
      <c r="M37" s="29" t="s">
        <v>238</v>
      </c>
    </row>
    <row r="38" spans="1:13" ht="44.25" customHeight="1">
      <c r="A38" s="24">
        <v>34</v>
      </c>
      <c r="B38" s="25"/>
      <c r="C38" s="24"/>
      <c r="D38" s="24"/>
      <c r="E38" s="26" t="s">
        <v>224</v>
      </c>
      <c r="F38" s="24"/>
      <c r="G38" s="24"/>
      <c r="H38" s="26" t="s">
        <v>233</v>
      </c>
      <c r="I38" s="26" t="s">
        <v>242</v>
      </c>
      <c r="J38" s="26" t="s">
        <v>244</v>
      </c>
      <c r="K38" s="27"/>
      <c r="L38" s="28"/>
      <c r="M38" s="29" t="s">
        <v>212</v>
      </c>
    </row>
    <row r="39" spans="1:13" ht="44.25" customHeight="1">
      <c r="A39" s="24">
        <v>35</v>
      </c>
      <c r="B39" s="25"/>
      <c r="C39" s="24"/>
      <c r="D39" s="24"/>
      <c r="E39" s="26" t="s">
        <v>225</v>
      </c>
      <c r="F39" s="24"/>
      <c r="G39" s="24"/>
      <c r="H39" s="26" t="s">
        <v>233</v>
      </c>
      <c r="I39" s="26" t="s">
        <v>242</v>
      </c>
      <c r="J39" s="26" t="s">
        <v>244</v>
      </c>
      <c r="K39" s="27"/>
      <c r="L39" s="28"/>
      <c r="M39" s="29" t="s">
        <v>212</v>
      </c>
    </row>
    <row r="40" spans="1:13" ht="44.25" customHeight="1">
      <c r="A40" s="24">
        <v>36</v>
      </c>
      <c r="B40" s="25"/>
      <c r="C40" s="24"/>
      <c r="D40" s="24"/>
      <c r="E40" s="26" t="s">
        <v>226</v>
      </c>
      <c r="F40" s="24"/>
      <c r="G40" s="24"/>
      <c r="H40" s="26" t="s">
        <v>234</v>
      </c>
      <c r="I40" s="26" t="s">
        <v>243</v>
      </c>
      <c r="J40" s="26" t="s">
        <v>244</v>
      </c>
      <c r="K40" s="27"/>
      <c r="L40" s="28"/>
      <c r="M40" s="29" t="s">
        <v>212</v>
      </c>
    </row>
    <row r="41" spans="1:13" ht="44.25" customHeight="1">
      <c r="A41" s="24">
        <v>37</v>
      </c>
      <c r="B41" s="25"/>
      <c r="C41" s="24"/>
      <c r="D41" s="24"/>
      <c r="E41" s="26" t="s">
        <v>227</v>
      </c>
      <c r="F41" s="24"/>
      <c r="G41" s="24"/>
      <c r="H41" s="26" t="s">
        <v>235</v>
      </c>
      <c r="I41" s="26" t="s">
        <v>242</v>
      </c>
      <c r="J41" s="26" t="s">
        <v>244</v>
      </c>
      <c r="K41" s="27"/>
      <c r="L41" s="28"/>
      <c r="M41" s="29" t="s">
        <v>219</v>
      </c>
    </row>
    <row r="42" spans="1:13" ht="44.25" customHeight="1">
      <c r="A42" s="24">
        <v>38</v>
      </c>
      <c r="B42" s="25"/>
      <c r="C42" s="24"/>
      <c r="D42" s="24"/>
      <c r="E42" s="26" t="s">
        <v>228</v>
      </c>
      <c r="F42" s="24"/>
      <c r="G42" s="24"/>
      <c r="H42" s="26" t="s">
        <v>236</v>
      </c>
      <c r="I42" s="26" t="s">
        <v>242</v>
      </c>
      <c r="J42" s="26" t="s">
        <v>244</v>
      </c>
      <c r="K42" s="27"/>
      <c r="L42" s="28"/>
      <c r="M42" s="29" t="s">
        <v>213</v>
      </c>
    </row>
    <row r="43" spans="1:13" ht="44.25" customHeight="1">
      <c r="A43" s="24">
        <v>39</v>
      </c>
      <c r="B43" s="25"/>
      <c r="C43" s="24"/>
      <c r="D43" s="24"/>
      <c r="E43" s="26" t="s">
        <v>229</v>
      </c>
      <c r="F43" s="24"/>
      <c r="G43" s="24"/>
      <c r="H43" s="26" t="s">
        <v>237</v>
      </c>
      <c r="I43" s="26" t="s">
        <v>240</v>
      </c>
      <c r="J43" s="26" t="s">
        <v>244</v>
      </c>
      <c r="K43" s="27"/>
      <c r="L43" s="28"/>
      <c r="M43" s="29" t="s">
        <v>239</v>
      </c>
    </row>
    <row r="44" spans="1:13" ht="44.25" customHeight="1">
      <c r="A44" s="30" t="s">
        <v>247</v>
      </c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2"/>
    </row>
  </sheetData>
  <mergeCells count="4">
    <mergeCell ref="B1:M1"/>
    <mergeCell ref="K4:L4"/>
    <mergeCell ref="E2:H3"/>
    <mergeCell ref="A44:M44"/>
  </mergeCells>
  <pageMargins left="0" right="0" top="0.74803149606299213" bottom="0.74803149606299213" header="0.51181102362204722" footer="0.51181102362204722"/>
  <pageSetup paperSize="9" scale="45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cp:lastPrinted>2026-03-31T13:34:53Z</cp:lastPrinted>
  <dcterms:created xsi:type="dcterms:W3CDTF">2026-03-31T11:18:02Z</dcterms:created>
  <dcterms:modified xsi:type="dcterms:W3CDTF">2026-03-31T13:35:30Z</dcterms:modified>
</cp:coreProperties>
</file>
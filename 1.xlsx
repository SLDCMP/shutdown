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1570" windowHeight="7560"/>
  </bookViews>
  <sheets>
    <sheet name="Sheet0" sheetId="1" r:id="rId1"/>
  </sheets>
  <definedNames>
    <definedName name="__bookmark_1">Sheet0!$A$1:$M$18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" i="1" l="1"/>
  <c r="A20" i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6" i="1"/>
</calcChain>
</file>

<file path=xl/sharedStrings.xml><?xml version="1.0" encoding="utf-8"?>
<sst xmlns="http://schemas.openxmlformats.org/spreadsheetml/2006/main" count="181" uniqueCount="118">
  <si>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</si>
  <si>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</si>
  <si>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</si>
  <si>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</si>
  <si>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</si>
  <si>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</si>
  <si>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</si>
  <si>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</si>
  <si>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</si>
  <si>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</si>
  <si>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</si>
  <si>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</si>
  <si>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</si>
  <si>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</si>
  <si>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</si>
  <si>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</si>
  <si>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</si>
  <si>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MR2511/0023</t>
  </si>
  <si>
    <t>Daily</t>
  </si>
  <si>
    <t>132KV_BEOHARI-RAMPUR NAIKEN_Ckt</t>
  </si>
  <si>
    <t>132KV_BEOHARI</t>
  </si>
  <si>
    <t>NON-OCCM-MP</t>
  </si>
  <si>
    <t>HOT LINE OPGW WORK</t>
  </si>
  <si>
    <t>03-11-2025 07:00:00</t>
  </si>
  <si>
    <t>30-11-2025 19:00:00</t>
  </si>
  <si>
    <t>G.L SAHU</t>
  </si>
  <si>
    <t>9425805102</t>
  </si>
  <si>
    <t>MR2511/0497</t>
  </si>
  <si>
    <t>50MVA_132/33KV_BHEL_X'mer_2</t>
  </si>
  <si>
    <t>132KV_CHOURAI</t>
  </si>
  <si>
    <t>33KV INCOMING-2 MAIN BUS ISOLATOR BLADE REPLACMENT</t>
  </si>
  <si>
    <t>23-11-2025 10:00:00</t>
  </si>
  <si>
    <t>23-11-2025 14:00:00</t>
  </si>
  <si>
    <t>S.K.OKTE</t>
  </si>
  <si>
    <t>7587951132</t>
  </si>
  <si>
    <t>MR2511/0488</t>
  </si>
  <si>
    <t>132KV_132KV DAMOH - BATIYAGARH LINE</t>
  </si>
  <si>
    <t>220KV_DAMOH</t>
  </si>
  <si>
    <t>TOWER STRENGTHENING &amp; OTHER LINE MAINTENANCE WORK</t>
  </si>
  <si>
    <t>23-11-2025 09:00:00</t>
  </si>
  <si>
    <t>23-11-2025 16:00:00</t>
  </si>
  <si>
    <t>M.M. BAIG</t>
  </si>
  <si>
    <t>9425805067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</si>
  <si>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</si>
  <si>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</si>
  <si>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</si>
  <si>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</si>
  <si>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</si>
  <si>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</si>
  <si>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</si>
  <si>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MR2511/0441</t>
  </si>
  <si>
    <t>Continuous</t>
  </si>
  <si>
    <t>132KV_132 kV Jabalpur- Madhotal Ckt-I</t>
  </si>
  <si>
    <t>220KV_JABALPUR</t>
  </si>
  <si>
    <t>Tower erection &amp; stringing work at loc. 30R, 31R &amp;</t>
  </si>
  <si>
    <t>21-11-2025 08:00:00</t>
  </si>
  <si>
    <t>28-11-2025 16:00:00</t>
  </si>
  <si>
    <t>Jitendra Tiwari</t>
  </si>
  <si>
    <t>9425805298</t>
  </si>
  <si>
    <t>MR2511/0443</t>
  </si>
  <si>
    <t>132KV_132 kV Jabalpur- Madhotal ckt-II</t>
  </si>
  <si>
    <t>Tower erection &amp; stringing at loc. 30R, 31R &amp; 32R</t>
  </si>
  <si>
    <t>MR2511/0180</t>
  </si>
  <si>
    <t>220KV_Only Main CB of Nagda-Nagra ckt-2 bay</t>
  </si>
  <si>
    <t>400KV_NAGDA4</t>
  </si>
  <si>
    <t>For replacement of main CB of nagra ckt-2 bay</t>
  </si>
  <si>
    <t>10-11-2025 09:00:00</t>
  </si>
  <si>
    <t>30-11-2025 17:00:00</t>
  </si>
  <si>
    <t>Sunil Bamniya</t>
  </si>
  <si>
    <t>9425820045</t>
  </si>
  <si>
    <t>MR2511/0498</t>
  </si>
  <si>
    <t>220KV_220 kV Chhegaon -Nimrani line Ckt.II</t>
  </si>
  <si>
    <t>220KV_NIMRANI</t>
  </si>
  <si>
    <t>Line Maintenance work</t>
  </si>
  <si>
    <t>23-11-2025 17:00:00</t>
  </si>
  <si>
    <t>Anil Alawa</t>
  </si>
  <si>
    <t>9691647063</t>
  </si>
  <si>
    <t>MR2511/0491</t>
  </si>
  <si>
    <t>132KV_40 MVA TELK X-MER &amp; 50 MVA BHEL X-MER</t>
  </si>
  <si>
    <t>132KV_PANNA</t>
  </si>
  <si>
    <t>33 KV Main bus divider isolator Hotpoint attend wo</t>
  </si>
  <si>
    <t>23-11-2025 11:00:00</t>
  </si>
  <si>
    <t>RN UPADHYAY</t>
  </si>
  <si>
    <t>9425802349</t>
  </si>
  <si>
    <t>MR2510/0205</t>
  </si>
  <si>
    <t>400KV_400KV Rajgarh- SSP Ckt-2</t>
  </si>
  <si>
    <t>400KV_RAJGARH-PG</t>
  </si>
  <si>
    <t>NON-OCCM-WR</t>
  </si>
  <si>
    <t>Old disc insulator replacement work</t>
  </si>
  <si>
    <t>16-11-2025 08:00:00</t>
  </si>
  <si>
    <t>30-11-2025 18:00:00</t>
  </si>
  <si>
    <t>V.RPanadia</t>
  </si>
  <si>
    <t>8120516165</t>
  </si>
  <si>
    <t>MR2511/0490</t>
  </si>
  <si>
    <t>132KV_132KV RAJMILAN-JANAKPUR CKT</t>
  </si>
  <si>
    <t>132KV_RAJMILAN</t>
  </si>
  <si>
    <t>DISC REPLACEMENT WORK</t>
  </si>
  <si>
    <t>23-11-2025 08:00:00</t>
  </si>
  <si>
    <t>MR2511/0026</t>
  </si>
  <si>
    <t>132KV_132KV REWA-RAMPUR NAIKIN CKT</t>
  </si>
  <si>
    <t>220KV_REWA</t>
  </si>
  <si>
    <t>OPGW HOT LINE WORK</t>
  </si>
  <si>
    <t>MR2511/0025</t>
  </si>
  <si>
    <t>132KV_132KV REWA-Jhinna</t>
  </si>
  <si>
    <t>220KV_SIDHI</t>
  </si>
  <si>
    <t>data confirmation required from communication</t>
  </si>
  <si>
    <t>ok, through sub ld</t>
  </si>
  <si>
    <t>ok</t>
  </si>
  <si>
    <t>400KV-SSP-RAJGARH-2</t>
  </si>
  <si>
    <t>400KV-SSP-RAJGARH-1</t>
  </si>
  <si>
    <t>MP_SLDC</t>
  </si>
  <si>
    <t>WR</t>
  </si>
  <si>
    <t>for old disc replacement Work &amp; other line maintenance work</t>
  </si>
  <si>
    <t>A/R off required in NON AUTO MODE.</t>
  </si>
  <si>
    <t>ok, line to be in service</t>
  </si>
  <si>
    <t>08:00</t>
  </si>
  <si>
    <t>07:00</t>
  </si>
  <si>
    <t>17:59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</si>
</sst>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tabSelected="1" workbookViewId="0">
      <selection activeCell="E8" sqref="E8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49.85546875" style="5" customWidth="1"/>
    <col min="6" max="6" width="21.28515625" style="5" customWidth="1"/>
    <col min="7" max="7" width="16.140625" style="5" customWidth="1"/>
    <col min="8" max="8" width="62.5703125" style="5" customWidth="1"/>
    <col min="9" max="10" width="19.5703125" style="5" customWidth="1"/>
    <col min="11" max="11" width="15.28515625" style="5" customWidth="1"/>
    <col min="12" max="12" width="12" style="5" customWidth="1"/>
    <col min="13" max="13" width="41.140625" style="5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45984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7" t="s">
        <v>15</v>
      </c>
      <c r="L4" s="4"/>
      <c r="M4" s="1" t="s">
        <v>16</v>
      </c>
    </row>
    <row r="5" spans="1:13" ht="38.1" customHeight="1" x14ac:dyDescent="0.25">
      <c r="A5" s="8">
        <v>1</v>
      </c>
      <c r="B5" s="9">
        <v>45963.700092592589</v>
      </c>
      <c r="C5" s="8" t="s">
        <v>17</v>
      </c>
      <c r="D5" s="8" t="s">
        <v>18</v>
      </c>
      <c r="E5" s="8" t="s">
        <v>19</v>
      </c>
      <c r="F5" s="8" t="s">
        <v>20</v>
      </c>
      <c r="G5" s="8" t="s">
        <v>21</v>
      </c>
      <c r="H5" s="8" t="s">
        <v>22</v>
      </c>
      <c r="I5" s="10" t="s">
        <v>23</v>
      </c>
      <c r="J5" s="10" t="s">
        <v>24</v>
      </c>
      <c r="K5" s="11" t="s">
        <v>25</v>
      </c>
      <c r="L5" s="12" t="s">
        <v>26</v>
      </c>
      <c r="M5" s="8" t="s">
        <v>105</v>
      </c>
    </row>
    <row r="6" spans="1:13" ht="38.1" customHeight="1" x14ac:dyDescent="0.25">
      <c r="A6" s="8">
        <f>A5+1</f>
        <v>2</v>
      </c>
      <c r="B6" s="9">
        <v>45983.641747685186</v>
      </c>
      <c r="C6" s="8" t="s">
        <v>27</v>
      </c>
      <c r="D6" s="8"/>
      <c r="E6" s="8" t="s">
        <v>28</v>
      </c>
      <c r="F6" s="8" t="s">
        <v>29</v>
      </c>
      <c r="G6" s="8" t="s">
        <v>21</v>
      </c>
      <c r="H6" s="8" t="s">
        <v>30</v>
      </c>
      <c r="I6" s="10" t="s">
        <v>31</v>
      </c>
      <c r="J6" s="10" t="s">
        <v>32</v>
      </c>
      <c r="K6" s="11" t="s">
        <v>33</v>
      </c>
      <c r="L6" s="12" t="s">
        <v>34</v>
      </c>
      <c r="M6" s="8" t="s">
        <v>107</v>
      </c>
    </row>
    <row r="7" spans="1:13" ht="38.1" customHeight="1" x14ac:dyDescent="0.25">
      <c r="A7" s="8">
        <f t="shared" ref="A7:A20" si="0">A6+1</f>
        <v>3</v>
      </c>
      <c r="B7" s="9">
        <v>45982.719236111108</v>
      </c>
      <c r="C7" s="8" t="s">
        <v>35</v>
      </c>
      <c r="D7" s="8"/>
      <c r="E7" s="8" t="s">
        <v>36</v>
      </c>
      <c r="F7" s="8" t="s">
        <v>37</v>
      </c>
      <c r="G7" s="8" t="s">
        <v>21</v>
      </c>
      <c r="H7" s="8" t="s">
        <v>38</v>
      </c>
      <c r="I7" s="10" t="s">
        <v>39</v>
      </c>
      <c r="J7" s="10" t="s">
        <v>40</v>
      </c>
      <c r="K7" s="11" t="s">
        <v>41</v>
      </c>
      <c r="L7" s="12" t="s">
        <v>42</v>
      </c>
      <c r="M7" s="8" t="s">
        <v>107</v>
      </c>
    </row>
    <row r="8" spans="1:13" ht="38.1" customHeight="1" x14ac:dyDescent="0.25">
      <c r="A8" s="8">
        <f t="shared" si="0"/>
        <v>4</v>
      </c>
      <c r="B8" s="9">
        <v>45964.491226851853</v>
      </c>
      <c r="C8" s="8" t="s">
        <v>43</v>
      </c>
      <c r="D8" s="8" t="s">
        <v>18</v>
      </c>
      <c r="E8" s="8" t="s">
        <v>44</v>
      </c>
      <c r="F8" s="8" t="s">
        <v>45</v>
      </c>
      <c r="G8" s="8" t="s">
        <v>21</v>
      </c>
      <c r="H8" s="8" t="s">
        <v>46</v>
      </c>
      <c r="I8" s="10" t="s">
        <v>23</v>
      </c>
      <c r="J8" s="10" t="s">
        <v>24</v>
      </c>
      <c r="K8" s="11" t="s">
        <v>47</v>
      </c>
      <c r="L8" s="12" t="s">
        <v>26</v>
      </c>
      <c r="M8" s="8" t="s">
        <v>105</v>
      </c>
    </row>
    <row r="9" spans="1:13" ht="38.1" customHeight="1" x14ac:dyDescent="0.25">
      <c r="A9" s="8">
        <f t="shared" si="0"/>
        <v>5</v>
      </c>
      <c r="B9" s="9">
        <v>45964.492615740739</v>
      </c>
      <c r="C9" s="8" t="s">
        <v>48</v>
      </c>
      <c r="D9" s="8" t="s">
        <v>18</v>
      </c>
      <c r="E9" s="8" t="s">
        <v>49</v>
      </c>
      <c r="F9" s="8" t="s">
        <v>45</v>
      </c>
      <c r="G9" s="8" t="s">
        <v>21</v>
      </c>
      <c r="H9" s="8" t="s">
        <v>46</v>
      </c>
      <c r="I9" s="10" t="s">
        <v>23</v>
      </c>
      <c r="J9" s="10" t="s">
        <v>24</v>
      </c>
      <c r="K9" s="11" t="s">
        <v>47</v>
      </c>
      <c r="L9" s="12" t="s">
        <v>26</v>
      </c>
      <c r="M9" s="8" t="s">
        <v>105</v>
      </c>
    </row>
    <row r="10" spans="1:13" ht="38.1" customHeight="1" x14ac:dyDescent="0.25">
      <c r="A10" s="8">
        <f t="shared" si="0"/>
        <v>6</v>
      </c>
      <c r="B10" s="9">
        <v>45981.531319444446</v>
      </c>
      <c r="C10" s="8" t="s">
        <v>50</v>
      </c>
      <c r="D10" s="8" t="s">
        <v>51</v>
      </c>
      <c r="E10" s="8" t="s">
        <v>52</v>
      </c>
      <c r="F10" s="8" t="s">
        <v>53</v>
      </c>
      <c r="G10" s="8" t="s">
        <v>21</v>
      </c>
      <c r="H10" s="8" t="s">
        <v>54</v>
      </c>
      <c r="I10" s="10" t="s">
        <v>55</v>
      </c>
      <c r="J10" s="10" t="s">
        <v>56</v>
      </c>
      <c r="K10" s="11" t="s">
        <v>57</v>
      </c>
      <c r="L10" s="12" t="s">
        <v>58</v>
      </c>
      <c r="M10" s="8" t="s">
        <v>51</v>
      </c>
    </row>
    <row r="11" spans="1:13" ht="38.1" customHeight="1" x14ac:dyDescent="0.25">
      <c r="A11" s="8">
        <f t="shared" si="0"/>
        <v>7</v>
      </c>
      <c r="B11" s="9">
        <v>45981.532766203702</v>
      </c>
      <c r="C11" s="8" t="s">
        <v>59</v>
      </c>
      <c r="D11" s="8" t="s">
        <v>51</v>
      </c>
      <c r="E11" s="8" t="s">
        <v>60</v>
      </c>
      <c r="F11" s="8" t="s">
        <v>53</v>
      </c>
      <c r="G11" s="8" t="s">
        <v>21</v>
      </c>
      <c r="H11" s="8" t="s">
        <v>61</v>
      </c>
      <c r="I11" s="10" t="s">
        <v>55</v>
      </c>
      <c r="J11" s="10" t="s">
        <v>56</v>
      </c>
      <c r="K11" s="11" t="s">
        <v>57</v>
      </c>
      <c r="L11" s="12" t="s">
        <v>58</v>
      </c>
      <c r="M11" s="8" t="s">
        <v>51</v>
      </c>
    </row>
    <row r="12" spans="1:13" ht="38.1" customHeight="1" x14ac:dyDescent="0.25">
      <c r="A12" s="8">
        <f t="shared" si="0"/>
        <v>8</v>
      </c>
      <c r="B12" s="9">
        <v>45970.434675925928</v>
      </c>
      <c r="C12" s="8" t="s">
        <v>62</v>
      </c>
      <c r="D12" s="8" t="s">
        <v>51</v>
      </c>
      <c r="E12" s="8" t="s">
        <v>63</v>
      </c>
      <c r="F12" s="8" t="s">
        <v>64</v>
      </c>
      <c r="G12" s="8" t="s">
        <v>21</v>
      </c>
      <c r="H12" s="8" t="s">
        <v>65</v>
      </c>
      <c r="I12" s="10" t="s">
        <v>66</v>
      </c>
      <c r="J12" s="10" t="s">
        <v>67</v>
      </c>
      <c r="K12" s="11" t="s">
        <v>68</v>
      </c>
      <c r="L12" s="12" t="s">
        <v>69</v>
      </c>
      <c r="M12" s="8" t="s">
        <v>51</v>
      </c>
    </row>
    <row r="13" spans="1:13" ht="38.1" customHeight="1" x14ac:dyDescent="0.25">
      <c r="A13" s="8">
        <f t="shared" si="0"/>
        <v>9</v>
      </c>
      <c r="B13" s="9">
        <v>45983.659571759257</v>
      </c>
      <c r="C13" s="8" t="s">
        <v>70</v>
      </c>
      <c r="D13" s="8"/>
      <c r="E13" s="8" t="s">
        <v>71</v>
      </c>
      <c r="F13" s="8" t="s">
        <v>72</v>
      </c>
      <c r="G13" s="8" t="s">
        <v>21</v>
      </c>
      <c r="H13" s="8" t="s">
        <v>73</v>
      </c>
      <c r="I13" s="10" t="s">
        <v>31</v>
      </c>
      <c r="J13" s="10" t="s">
        <v>74</v>
      </c>
      <c r="K13" s="11" t="s">
        <v>75</v>
      </c>
      <c r="L13" s="12" t="s">
        <v>76</v>
      </c>
      <c r="M13" s="8" t="s">
        <v>106</v>
      </c>
    </row>
    <row r="14" spans="1:13" ht="38.1" customHeight="1" x14ac:dyDescent="0.25">
      <c r="A14" s="13">
        <f t="shared" si="0"/>
        <v>10</v>
      </c>
      <c r="B14" s="14">
        <v>45983.519074074073</v>
      </c>
      <c r="C14" s="13" t="s">
        <v>77</v>
      </c>
      <c r="D14" s="13"/>
      <c r="E14" s="13" t="s">
        <v>78</v>
      </c>
      <c r="F14" s="13" t="s">
        <v>79</v>
      </c>
      <c r="G14" s="13" t="s">
        <v>21</v>
      </c>
      <c r="H14" s="13" t="s">
        <v>80</v>
      </c>
      <c r="I14" s="15" t="s">
        <v>39</v>
      </c>
      <c r="J14" s="15" t="s">
        <v>81</v>
      </c>
      <c r="K14" s="16" t="s">
        <v>82</v>
      </c>
      <c r="L14" s="17" t="s">
        <v>83</v>
      </c>
      <c r="M14" s="13" t="s">
        <v>107</v>
      </c>
    </row>
    <row r="15" spans="1:13" ht="38.1" customHeight="1" x14ac:dyDescent="0.25">
      <c r="A15" s="18">
        <f t="shared" si="0"/>
        <v>11</v>
      </c>
      <c r="B15" s="19">
        <v>45938.524513888886</v>
      </c>
      <c r="C15" s="18" t="s">
        <v>84</v>
      </c>
      <c r="D15" s="18" t="s">
        <v>18</v>
      </c>
      <c r="E15" s="18" t="s">
        <v>85</v>
      </c>
      <c r="F15" s="18" t="s">
        <v>86</v>
      </c>
      <c r="G15" s="18" t="s">
        <v>87</v>
      </c>
      <c r="H15" s="18" t="s">
        <v>88</v>
      </c>
      <c r="I15" s="20" t="s">
        <v>89</v>
      </c>
      <c r="J15" s="20" t="s">
        <v>90</v>
      </c>
      <c r="K15" s="18" t="s">
        <v>91</v>
      </c>
      <c r="L15" s="18" t="s">
        <v>92</v>
      </c>
      <c r="M15" s="18" t="s">
        <v>106</v>
      </c>
    </row>
    <row r="16" spans="1:13" ht="38.1" customHeight="1" x14ac:dyDescent="0.25">
      <c r="A16" s="18">
        <f t="shared" si="0"/>
        <v>12</v>
      </c>
      <c r="B16" s="19">
        <v>45983.492847222224</v>
      </c>
      <c r="C16" s="18" t="s">
        <v>93</v>
      </c>
      <c r="D16" s="18"/>
      <c r="E16" s="18" t="s">
        <v>94</v>
      </c>
      <c r="F16" s="18" t="s">
        <v>95</v>
      </c>
      <c r="G16" s="18" t="s">
        <v>21</v>
      </c>
      <c r="H16" s="18" t="s">
        <v>96</v>
      </c>
      <c r="I16" s="20" t="s">
        <v>97</v>
      </c>
      <c r="J16" s="20" t="s">
        <v>74</v>
      </c>
      <c r="K16" s="18" t="s">
        <v>25</v>
      </c>
      <c r="L16" s="18" t="s">
        <v>26</v>
      </c>
      <c r="M16" s="18" t="s">
        <v>107</v>
      </c>
    </row>
    <row r="17" spans="1:13" ht="38.1" customHeight="1" x14ac:dyDescent="0.25">
      <c r="A17" s="18">
        <f t="shared" si="0"/>
        <v>13</v>
      </c>
      <c r="B17" s="19">
        <v>45963.714502314811</v>
      </c>
      <c r="C17" s="18" t="s">
        <v>98</v>
      </c>
      <c r="D17" s="18" t="s">
        <v>18</v>
      </c>
      <c r="E17" s="18" t="s">
        <v>99</v>
      </c>
      <c r="F17" s="18" t="s">
        <v>100</v>
      </c>
      <c r="G17" s="18" t="s">
        <v>21</v>
      </c>
      <c r="H17" s="18" t="s">
        <v>101</v>
      </c>
      <c r="I17" s="20" t="s">
        <v>23</v>
      </c>
      <c r="J17" s="20" t="s">
        <v>24</v>
      </c>
      <c r="K17" s="18" t="s">
        <v>25</v>
      </c>
      <c r="L17" s="18" t="s">
        <v>26</v>
      </c>
      <c r="M17" s="18" t="s">
        <v>105</v>
      </c>
    </row>
    <row r="18" spans="1:13" ht="38.1" customHeight="1" x14ac:dyDescent="0.25">
      <c r="A18" s="18">
        <f t="shared" si="0"/>
        <v>14</v>
      </c>
      <c r="B18" s="19">
        <v>45963.711967592593</v>
      </c>
      <c r="C18" s="18" t="s">
        <v>102</v>
      </c>
      <c r="D18" s="18" t="s">
        <v>18</v>
      </c>
      <c r="E18" s="18" t="s">
        <v>103</v>
      </c>
      <c r="F18" s="18" t="s">
        <v>104</v>
      </c>
      <c r="G18" s="18" t="s">
        <v>21</v>
      </c>
      <c r="H18" s="18" t="s">
        <v>101</v>
      </c>
      <c r="I18" s="20" t="s">
        <v>23</v>
      </c>
      <c r="J18" s="20" t="s">
        <v>24</v>
      </c>
      <c r="K18" s="18" t="s">
        <v>25</v>
      </c>
      <c r="L18" s="18" t="s">
        <v>26</v>
      </c>
      <c r="M18" s="18" t="s">
        <v>105</v>
      </c>
    </row>
    <row r="19" spans="1:13" ht="38.1" customHeight="1" x14ac:dyDescent="0.25">
      <c r="A19" s="18">
        <f t="shared" si="0"/>
        <v>15</v>
      </c>
      <c r="B19" s="21"/>
      <c r="C19" s="22">
        <v>272707</v>
      </c>
      <c r="D19" s="21"/>
      <c r="E19" s="22" t="s">
        <v>108</v>
      </c>
      <c r="F19" s="22" t="s">
        <v>110</v>
      </c>
      <c r="G19" s="18" t="s">
        <v>111</v>
      </c>
      <c r="H19" s="22" t="s">
        <v>112</v>
      </c>
      <c r="I19" s="22" t="s">
        <v>115</v>
      </c>
      <c r="J19" s="22" t="s">
        <v>117</v>
      </c>
      <c r="K19" s="21"/>
      <c r="L19" s="21"/>
      <c r="M19" s="23" t="s">
        <v>106</v>
      </c>
    </row>
    <row r="20" spans="1:13" ht="38.1" customHeight="1" x14ac:dyDescent="0.25">
      <c r="A20" s="18">
        <f t="shared" si="0"/>
        <v>16</v>
      </c>
      <c r="B20" s="21"/>
      <c r="C20" s="22">
        <v>278595</v>
      </c>
      <c r="D20" s="21"/>
      <c r="E20" s="22" t="s">
        <v>109</v>
      </c>
      <c r="F20" s="22" t="s">
        <v>110</v>
      </c>
      <c r="G20" s="18" t="s">
        <v>111</v>
      </c>
      <c r="H20" s="22" t="s">
        <v>113</v>
      </c>
      <c r="I20" s="22" t="s">
        <v>116</v>
      </c>
      <c r="J20" s="22" t="s">
        <v>117</v>
      </c>
      <c r="K20" s="21"/>
      <c r="L20" s="21"/>
      <c r="M20" s="23" t="s">
        <v>114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2025-11-22T12:33:35Z</dcterms:created>
  <dcterms:modified xsi:type="dcterms:W3CDTF">2025-11-22T13:28:07Z</dcterms:modified>
</cp:coreProperties>
</file>
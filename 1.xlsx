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A19" i="1"/>
  <c r="A7" i="1" l="1"/>
  <c r="A8" i="1"/>
  <c r="A9" i="1"/>
  <c r="A10" i="1" s="1"/>
  <c r="A11" i="1" s="1"/>
  <c r="A12" i="1" s="1"/>
  <c r="A13" i="1" s="1"/>
  <c r="A14" i="1" s="1"/>
  <c r="A15" i="1" s="1"/>
  <c r="A6" i="1"/>
</calcChain>
</file>

<file path=xl/sharedStrings.xml><?xml version="1.0" encoding="utf-8"?>
<sst xmlns="http://schemas.openxmlformats.org/spreadsheetml/2006/main" count="167" uniqueCount="123">
  <si>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</si>
  <si>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</si>
  <si>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</si>
  <si>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</si>
  <si>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</si>
  <si>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</si>
  <si>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</si>
  <si>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</si>
  <si>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</si>
  <si>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</si>
  <si>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</si>
  <si>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</si>
  <si>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</si>
  <si>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</si>
  <si>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</si>
  <si>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</si>
  <si>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</si>
  <si>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MR2607/0323</t>
  </si>
  <si>
    <t>220KV_Amk-Traction No.2</t>
  </si>
  <si>
    <t>220KV_AMARKANTAK</t>
  </si>
  <si>
    <t>NON-OCCM-WR</t>
  </si>
  <si>
    <t>CPRI Protection audit work</t>
  </si>
  <si>
    <t>26-07-2026 09:00:00</t>
  </si>
  <si>
    <t>26-07-2026 13:00:00</t>
  </si>
  <si>
    <t>Vijay Kothari</t>
  </si>
  <si>
    <t>9425808910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</si>
  <si>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</si>
  <si>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</si>
  <si>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</si>
  <si>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</si>
  <si>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</si>
  <si>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</si>
  <si>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</si>
  <si>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</si>
  <si>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</si>
  <si>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</si>
  <si>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MR2607/0301</t>
  </si>
  <si>
    <t>132KV_132KV DAMOH - PATERA LINE IST&amp;IIND CKT</t>
  </si>
  <si>
    <t>220KV_DAMOH</t>
  </si>
  <si>
    <t>PTW FOR OPGW LIVE LINE INSTALLATION WORK</t>
  </si>
  <si>
    <t>23-07-2026 07:00:00</t>
  </si>
  <si>
    <t>29-07-2026 19:00:00</t>
  </si>
  <si>
    <t>M.M. BAIG</t>
  </si>
  <si>
    <t>9425805067</t>
  </si>
  <si>
    <t>MR2607/0340</t>
  </si>
  <si>
    <t>Continuous</t>
  </si>
  <si>
    <t>132KV_I/C no.2nd (160MVA EMCo)</t>
  </si>
  <si>
    <t>220KV_DEWAS</t>
  </si>
  <si>
    <t>C.B. Gas Leakage Attanding work</t>
  </si>
  <si>
    <t>23-07-2026 10:00:00</t>
  </si>
  <si>
    <t>27-07-2026 16:00:00</t>
  </si>
  <si>
    <t>A.K. Joshi</t>
  </si>
  <si>
    <t>9425801305</t>
  </si>
  <si>
    <t>220KV_GANJBASODA</t>
  </si>
  <si>
    <t>26-07-2026 11:00:00</t>
  </si>
  <si>
    <t>26-07-2026 15:00:00</t>
  </si>
  <si>
    <t>MR2607/0373</t>
  </si>
  <si>
    <t>132KV_132KV Main Bus</t>
  </si>
  <si>
    <t>Main  Bus Jumpering work</t>
  </si>
  <si>
    <t>T K Mishra</t>
  </si>
  <si>
    <t>9425805312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</si>
  <si>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</si>
  <si>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</si>
  <si>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</si>
  <si>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</si>
  <si>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</si>
  <si>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</si>
  <si>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</si>
  <si>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</si>
  <si>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MR2607/0378</t>
  </si>
  <si>
    <t>132KV_132 kV Prithvipur-PIML Ckt. 1st Line</t>
  </si>
  <si>
    <t>132KV_PRITHVIPUR</t>
  </si>
  <si>
    <t>Necessary maintenance work of line</t>
  </si>
  <si>
    <t>26-07-2026 12:00:00</t>
  </si>
  <si>
    <t>26-07-2026 16:00:00</t>
  </si>
  <si>
    <t>Pankaj Yadav</t>
  </si>
  <si>
    <t>9406713326</t>
  </si>
  <si>
    <t>132KV_SAHARWASA</t>
  </si>
  <si>
    <t>MR2607/0374</t>
  </si>
  <si>
    <t>main Bus jumpering work</t>
  </si>
  <si>
    <t>MR2607/0363</t>
  </si>
  <si>
    <t>132KV_132 kv Satna  â¿¿  Rampur Baghelan line</t>
  </si>
  <si>
    <t>220KV_SATNA</t>
  </si>
  <si>
    <t>Conductor Re-sagging work at loc. no. 87-100 of 13</t>
  </si>
  <si>
    <t>25-07-2026 08:00:00</t>
  </si>
  <si>
    <t>27-07-2026 18:00:00</t>
  </si>
  <si>
    <t>R.K. Prajapati</t>
  </si>
  <si>
    <t>9407070182</t>
  </si>
  <si>
    <t>MR2607/0377</t>
  </si>
  <si>
    <t>132KV_132KV Satna-Nagod Ckt-1 line</t>
  </si>
  <si>
    <t>Stringing work at 132kv Satna Nagod ckt-1 line</t>
  </si>
  <si>
    <t>26-07-2026 18:00:00</t>
  </si>
  <si>
    <t>Dharmendra Dwivedi</t>
  </si>
  <si>
    <t>9425805311</t>
  </si>
  <si>
    <t>MR2607/0367</t>
  </si>
  <si>
    <t>132KV_132 kV SATNA- MAJHGAWAN LINE</t>
  </si>
  <si>
    <t>Stringing work at 132 kv Satna Majhgawan line</t>
  </si>
  <si>
    <t>ok</t>
  </si>
  <si>
    <t>RTS consent required</t>
  </si>
  <si>
    <t>ok, line to be in service</t>
  </si>
  <si>
    <t>sub ld</t>
  </si>
  <si>
    <t>deferred</t>
  </si>
  <si>
    <t>PIML consent required</t>
  </si>
  <si>
    <t>o&amp;m consent required</t>
  </si>
  <si>
    <t>400KV-BINA-MP-BINA-1</t>
  </si>
  <si>
    <t>220KV-MALANPUR-AURIYA-1</t>
  </si>
  <si>
    <t>220KV-ANNUPUR-KOTMIKALA-2</t>
  </si>
  <si>
    <t>400KV-INDORE-MP-ASOJ-2</t>
  </si>
  <si>
    <t>ok, through sub ld</t>
  </si>
  <si>
    <t>26-Jul-2026</t>
  </si>
  <si>
    <t>09:00</t>
  </si>
  <si>
    <t>21:00</t>
  </si>
  <si>
    <t>17:00</t>
  </si>
  <si>
    <t>18:00</t>
  </si>
  <si>
    <t>20-Jul-2026</t>
  </si>
  <si>
    <t>31-Jul-2026</t>
  </si>
  <si>
    <t>1.For Autoreclose relay retroffiting  (Main &amp; Tie Bay) with Dia Open
2. For Line terminal AMP work</t>
  </si>
  <si>
    <t xml:space="preserve">FOR REPLACEMENT OF DEFECTIVE DICS INSULATOR STRING AT VARIOUS LOCATIONS </t>
  </si>
  <si>
    <t>FOR CONDUCTOR RE-SAGGING WORK AT VARIOUS SECTION OF LINE</t>
  </si>
  <si>
    <t>CRP retrofitting work in new SPR at Asoj (Under O&amp;M Add cap)</t>
  </si>
  <si>
    <t>occm-wr</t>
  </si>
  <si>
    <t>S/I, SLDC MPPTCL JBP</t>
  </si>
  <si>
    <t>APPROVED OUTAGE LIST FOR DTD.26.07.26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</si>
</sst>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4"/>
      <color rgb="FF000000"/>
      <name val="Arial"/>
      <family val="2"/>
    </font>
    <font>
      <b/>
      <sz val="2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abSelected="1" zoomScale="90" zoomScaleNormal="90" workbookViewId="0">
      <selection activeCell="E11" sqref="E1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2.42578125" customWidth="1"/>
    <col min="6" max="6" width="21.85546875" customWidth="1"/>
    <col min="7" max="7" width="16.140625" customWidth="1"/>
    <col min="8" max="8" width="48.42578125" customWidth="1"/>
    <col min="9" max="10" width="19.5703125" customWidth="1"/>
    <col min="11" max="11" width="19.7109375" customWidth="1"/>
    <col min="12" max="12" width="12" customWidth="1"/>
    <col min="13" max="13" width="27.85546875" customWidth="1"/>
  </cols>
  <sheetData>
    <row r="1" spans="1:13" ht="43.7" customHeight="1" x14ac:dyDescent="0.25">
      <c r="A1" s="1"/>
      <c r="B1" s="7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9"/>
    </row>
    <row r="2" spans="1:13" s="16" customFormat="1" ht="42" customHeight="1" x14ac:dyDescent="0.25">
      <c r="A2" s="12" t="s">
        <v>1</v>
      </c>
      <c r="B2" s="20">
        <v>46229</v>
      </c>
      <c r="C2" s="12"/>
      <c r="D2" s="12"/>
      <c r="E2" s="13" t="s">
        <v>122</v>
      </c>
      <c r="F2" s="14"/>
      <c r="G2" s="14"/>
      <c r="H2" s="14"/>
      <c r="I2" s="14"/>
      <c r="J2" s="14"/>
      <c r="K2" s="15"/>
      <c r="L2" s="12"/>
      <c r="M2" s="12"/>
    </row>
    <row r="3" spans="1:13" s="16" customFormat="1" ht="42" customHeight="1" x14ac:dyDescent="0.25">
      <c r="A3" s="17" t="s">
        <v>2</v>
      </c>
      <c r="B3" s="17" t="s">
        <v>3</v>
      </c>
      <c r="C3" s="17" t="s">
        <v>4</v>
      </c>
      <c r="D3" s="17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6" customFormat="1" ht="42" customHeight="1" x14ac:dyDescent="0.25">
      <c r="A4" s="17" t="s">
        <v>5</v>
      </c>
      <c r="B4" s="17" t="s">
        <v>6</v>
      </c>
      <c r="C4" s="17" t="s">
        <v>7</v>
      </c>
      <c r="D4" s="17" t="s">
        <v>8</v>
      </c>
      <c r="E4" s="17" t="s">
        <v>9</v>
      </c>
      <c r="F4" s="17" t="s">
        <v>10</v>
      </c>
      <c r="G4" s="17" t="s">
        <v>11</v>
      </c>
      <c r="H4" s="17" t="s">
        <v>12</v>
      </c>
      <c r="I4" s="17" t="s">
        <v>13</v>
      </c>
      <c r="J4" s="17" t="s">
        <v>14</v>
      </c>
      <c r="K4" s="18" t="s">
        <v>15</v>
      </c>
      <c r="L4" s="19"/>
      <c r="M4" s="17" t="s">
        <v>16</v>
      </c>
    </row>
    <row r="5" spans="1:13" ht="28.5" customHeight="1" x14ac:dyDescent="0.25">
      <c r="A5" s="2">
        <v>1</v>
      </c>
      <c r="B5" s="3">
        <v>46224.760752314818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98</v>
      </c>
    </row>
    <row r="6" spans="1:13" ht="28.5" customHeight="1" x14ac:dyDescent="0.25">
      <c r="A6" s="2">
        <f>A5+1</f>
        <v>2</v>
      </c>
      <c r="B6" s="3">
        <v>46184.684016203704</v>
      </c>
      <c r="C6" s="2" t="s">
        <v>26</v>
      </c>
      <c r="D6" s="2" t="s">
        <v>27</v>
      </c>
      <c r="E6" s="2" t="s">
        <v>28</v>
      </c>
      <c r="F6" s="2" t="s">
        <v>29</v>
      </c>
      <c r="G6" s="2" t="s">
        <v>30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97</v>
      </c>
    </row>
    <row r="7" spans="1:13" ht="28.5" customHeight="1" x14ac:dyDescent="0.25">
      <c r="A7" s="2">
        <f t="shared" ref="A7:A19" si="0">A6+1</f>
        <v>3</v>
      </c>
      <c r="B7" s="3">
        <v>46223.674907407411</v>
      </c>
      <c r="C7" s="2" t="s">
        <v>36</v>
      </c>
      <c r="D7" s="2" t="s">
        <v>27</v>
      </c>
      <c r="E7" s="2" t="s">
        <v>37</v>
      </c>
      <c r="F7" s="2" t="s">
        <v>38</v>
      </c>
      <c r="G7" s="2" t="s">
        <v>30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2" t="s">
        <v>99</v>
      </c>
    </row>
    <row r="8" spans="1:13" ht="28.5" customHeight="1" x14ac:dyDescent="0.25">
      <c r="A8" s="2">
        <f t="shared" si="0"/>
        <v>4</v>
      </c>
      <c r="B8" s="3">
        <v>46225.675775462965</v>
      </c>
      <c r="C8" s="2" t="s">
        <v>44</v>
      </c>
      <c r="D8" s="2" t="s">
        <v>45</v>
      </c>
      <c r="E8" s="2" t="s">
        <v>46</v>
      </c>
      <c r="F8" s="2" t="s">
        <v>47</v>
      </c>
      <c r="G8" s="2" t="s">
        <v>30</v>
      </c>
      <c r="H8" s="2" t="s">
        <v>48</v>
      </c>
      <c r="I8" s="4" t="s">
        <v>49</v>
      </c>
      <c r="J8" s="4" t="s">
        <v>50</v>
      </c>
      <c r="K8" s="5" t="s">
        <v>51</v>
      </c>
      <c r="L8" s="6" t="s">
        <v>52</v>
      </c>
      <c r="M8" s="2" t="s">
        <v>45</v>
      </c>
    </row>
    <row r="9" spans="1:13" ht="28.5" customHeight="1" x14ac:dyDescent="0.25">
      <c r="A9" s="2">
        <f t="shared" si="0"/>
        <v>5</v>
      </c>
      <c r="B9" s="3">
        <v>46228.416990740741</v>
      </c>
      <c r="C9" s="2" t="s">
        <v>56</v>
      </c>
      <c r="D9" s="2"/>
      <c r="E9" s="2" t="s">
        <v>57</v>
      </c>
      <c r="F9" s="2" t="s">
        <v>53</v>
      </c>
      <c r="G9" s="2" t="s">
        <v>30</v>
      </c>
      <c r="H9" s="2" t="s">
        <v>58</v>
      </c>
      <c r="I9" s="4" t="s">
        <v>54</v>
      </c>
      <c r="J9" s="4" t="s">
        <v>55</v>
      </c>
      <c r="K9" s="5" t="s">
        <v>59</v>
      </c>
      <c r="L9" s="6" t="s">
        <v>60</v>
      </c>
      <c r="M9" s="2" t="s">
        <v>100</v>
      </c>
    </row>
    <row r="10" spans="1:13" ht="28.5" customHeight="1" x14ac:dyDescent="0.25">
      <c r="A10" s="2">
        <f t="shared" si="0"/>
        <v>6</v>
      </c>
      <c r="B10" s="3">
        <v>46219.722129629627</v>
      </c>
      <c r="C10" s="2" t="s">
        <v>61</v>
      </c>
      <c r="D10" s="2" t="s">
        <v>45</v>
      </c>
      <c r="E10" s="2" t="s">
        <v>62</v>
      </c>
      <c r="F10" s="2" t="s">
        <v>63</v>
      </c>
      <c r="G10" s="2" t="s">
        <v>30</v>
      </c>
      <c r="H10" s="2" t="s">
        <v>64</v>
      </c>
      <c r="I10" s="4" t="s">
        <v>65</v>
      </c>
      <c r="J10" s="4" t="s">
        <v>66</v>
      </c>
      <c r="K10" s="5" t="s">
        <v>67</v>
      </c>
      <c r="L10" s="6" t="s">
        <v>68</v>
      </c>
      <c r="M10" s="2" t="s">
        <v>101</v>
      </c>
    </row>
    <row r="11" spans="1:13" ht="28.5" customHeight="1" x14ac:dyDescent="0.25">
      <c r="A11" s="2">
        <f t="shared" si="0"/>
        <v>7</v>
      </c>
      <c r="B11" s="3">
        <v>46228.661435185182</v>
      </c>
      <c r="C11" s="2" t="s">
        <v>69</v>
      </c>
      <c r="D11" s="2"/>
      <c r="E11" s="2" t="s">
        <v>70</v>
      </c>
      <c r="F11" s="2" t="s">
        <v>71</v>
      </c>
      <c r="G11" s="2" t="s">
        <v>20</v>
      </c>
      <c r="H11" s="2" t="s">
        <v>72</v>
      </c>
      <c r="I11" s="4" t="s">
        <v>73</v>
      </c>
      <c r="J11" s="4" t="s">
        <v>74</v>
      </c>
      <c r="K11" s="5" t="s">
        <v>75</v>
      </c>
      <c r="L11" s="6" t="s">
        <v>76</v>
      </c>
      <c r="M11" s="2" t="s">
        <v>102</v>
      </c>
    </row>
    <row r="12" spans="1:13" ht="28.5" customHeight="1" x14ac:dyDescent="0.25">
      <c r="A12" s="2">
        <f t="shared" si="0"/>
        <v>8</v>
      </c>
      <c r="B12" s="3">
        <v>46228.419386574074</v>
      </c>
      <c r="C12" s="2" t="s">
        <v>78</v>
      </c>
      <c r="D12" s="2"/>
      <c r="E12" s="2" t="s">
        <v>57</v>
      </c>
      <c r="F12" s="2" t="s">
        <v>77</v>
      </c>
      <c r="G12" s="2" t="s">
        <v>30</v>
      </c>
      <c r="H12" s="2" t="s">
        <v>79</v>
      </c>
      <c r="I12" s="4" t="s">
        <v>54</v>
      </c>
      <c r="J12" s="4" t="s">
        <v>55</v>
      </c>
      <c r="K12" s="5" t="s">
        <v>59</v>
      </c>
      <c r="L12" s="6" t="s">
        <v>60</v>
      </c>
      <c r="M12" s="2" t="s">
        <v>100</v>
      </c>
    </row>
    <row r="13" spans="1:13" ht="28.5" customHeight="1" x14ac:dyDescent="0.25">
      <c r="A13" s="2">
        <f t="shared" si="0"/>
        <v>9</v>
      </c>
      <c r="B13" s="3">
        <v>46227.543402777781</v>
      </c>
      <c r="C13" s="2" t="s">
        <v>80</v>
      </c>
      <c r="D13" s="2" t="s">
        <v>27</v>
      </c>
      <c r="E13" s="2" t="s">
        <v>81</v>
      </c>
      <c r="F13" s="2" t="s">
        <v>82</v>
      </c>
      <c r="G13" s="2" t="s">
        <v>30</v>
      </c>
      <c r="H13" s="2" t="s">
        <v>83</v>
      </c>
      <c r="I13" s="4" t="s">
        <v>84</v>
      </c>
      <c r="J13" s="4" t="s">
        <v>85</v>
      </c>
      <c r="K13" s="5" t="s">
        <v>86</v>
      </c>
      <c r="L13" s="6" t="s">
        <v>87</v>
      </c>
      <c r="M13" s="2" t="s">
        <v>97</v>
      </c>
    </row>
    <row r="14" spans="1:13" ht="28.5" customHeight="1" x14ac:dyDescent="0.25">
      <c r="A14" s="2">
        <f t="shared" si="0"/>
        <v>10</v>
      </c>
      <c r="B14" s="3">
        <v>46228.661145833335</v>
      </c>
      <c r="C14" s="2" t="s">
        <v>88</v>
      </c>
      <c r="D14" s="2"/>
      <c r="E14" s="2" t="s">
        <v>89</v>
      </c>
      <c r="F14" s="2" t="s">
        <v>82</v>
      </c>
      <c r="G14" s="2" t="s">
        <v>30</v>
      </c>
      <c r="H14" s="2" t="s">
        <v>90</v>
      </c>
      <c r="I14" s="4" t="s">
        <v>22</v>
      </c>
      <c r="J14" s="4" t="s">
        <v>91</v>
      </c>
      <c r="K14" s="5" t="s">
        <v>92</v>
      </c>
      <c r="L14" s="6" t="s">
        <v>93</v>
      </c>
      <c r="M14" s="2" t="s">
        <v>97</v>
      </c>
    </row>
    <row r="15" spans="1:13" ht="28.5" customHeight="1" x14ac:dyDescent="0.25">
      <c r="A15" s="2">
        <f t="shared" si="0"/>
        <v>11</v>
      </c>
      <c r="B15" s="3">
        <v>46227.700497685182</v>
      </c>
      <c r="C15" s="2" t="s">
        <v>94</v>
      </c>
      <c r="D15" s="2"/>
      <c r="E15" s="2" t="s">
        <v>95</v>
      </c>
      <c r="F15" s="2" t="s">
        <v>82</v>
      </c>
      <c r="G15" s="2" t="s">
        <v>30</v>
      </c>
      <c r="H15" s="2" t="s">
        <v>96</v>
      </c>
      <c r="I15" s="4" t="s">
        <v>22</v>
      </c>
      <c r="J15" s="4" t="s">
        <v>55</v>
      </c>
      <c r="K15" s="5" t="s">
        <v>92</v>
      </c>
      <c r="L15" s="6" t="s">
        <v>93</v>
      </c>
      <c r="M15" s="2" t="s">
        <v>103</v>
      </c>
    </row>
    <row r="16" spans="1:13" ht="38.25" x14ac:dyDescent="0.25">
      <c r="A16" s="2">
        <f t="shared" si="0"/>
        <v>12</v>
      </c>
      <c r="B16" s="3">
        <v>46227.700497685182</v>
      </c>
      <c r="C16" s="2"/>
      <c r="D16" s="2"/>
      <c r="E16" s="2" t="s">
        <v>104</v>
      </c>
      <c r="F16" s="2"/>
      <c r="G16" s="2" t="s">
        <v>120</v>
      </c>
      <c r="H16" s="10" t="s">
        <v>116</v>
      </c>
      <c r="I16" s="4" t="s">
        <v>109</v>
      </c>
      <c r="J16" s="4" t="s">
        <v>110</v>
      </c>
      <c r="K16" s="5" t="s">
        <v>109</v>
      </c>
      <c r="L16" s="6" t="s">
        <v>111</v>
      </c>
      <c r="M16" s="2" t="s">
        <v>97</v>
      </c>
    </row>
    <row r="17" spans="1:13" ht="25.5" x14ac:dyDescent="0.25">
      <c r="A17" s="2">
        <f t="shared" si="0"/>
        <v>13</v>
      </c>
      <c r="B17" s="3">
        <v>46227.700497685182</v>
      </c>
      <c r="C17" s="2"/>
      <c r="D17" s="2"/>
      <c r="E17" s="2" t="s">
        <v>105</v>
      </c>
      <c r="F17" s="2"/>
      <c r="G17" s="2" t="s">
        <v>120</v>
      </c>
      <c r="H17" s="10" t="s">
        <v>117</v>
      </c>
      <c r="I17" s="4" t="s">
        <v>109</v>
      </c>
      <c r="J17" s="4" t="s">
        <v>110</v>
      </c>
      <c r="K17" s="5" t="s">
        <v>109</v>
      </c>
      <c r="L17" s="6" t="s">
        <v>112</v>
      </c>
      <c r="M17" s="2" t="s">
        <v>108</v>
      </c>
    </row>
    <row r="18" spans="1:13" ht="25.5" x14ac:dyDescent="0.25">
      <c r="A18" s="2">
        <f t="shared" si="0"/>
        <v>14</v>
      </c>
      <c r="B18" s="3">
        <v>46227.700497685182</v>
      </c>
      <c r="C18" s="2"/>
      <c r="D18" s="2"/>
      <c r="E18" s="2" t="s">
        <v>106</v>
      </c>
      <c r="F18" s="2"/>
      <c r="G18" s="2" t="s">
        <v>120</v>
      </c>
      <c r="H18" s="10" t="s">
        <v>118</v>
      </c>
      <c r="I18" s="4" t="s">
        <v>109</v>
      </c>
      <c r="J18" s="4" t="s">
        <v>110</v>
      </c>
      <c r="K18" s="5" t="s">
        <v>109</v>
      </c>
      <c r="L18" s="6" t="s">
        <v>113</v>
      </c>
      <c r="M18" s="2" t="s">
        <v>97</v>
      </c>
    </row>
    <row r="19" spans="1:13" ht="25.5" x14ac:dyDescent="0.25">
      <c r="A19" s="2">
        <f t="shared" si="0"/>
        <v>15</v>
      </c>
      <c r="B19" s="3">
        <v>46227.700497685182</v>
      </c>
      <c r="C19" s="2"/>
      <c r="D19" s="2"/>
      <c r="E19" s="2" t="s">
        <v>107</v>
      </c>
      <c r="F19" s="2"/>
      <c r="G19" s="2" t="s">
        <v>120</v>
      </c>
      <c r="H19" s="10" t="s">
        <v>119</v>
      </c>
      <c r="I19" s="4" t="s">
        <v>114</v>
      </c>
      <c r="J19" s="4" t="s">
        <v>110</v>
      </c>
      <c r="K19" s="5" t="s">
        <v>115</v>
      </c>
      <c r="L19" s="6" t="s">
        <v>113</v>
      </c>
      <c r="M19" s="2" t="s">
        <v>97</v>
      </c>
    </row>
    <row r="20" spans="1:13" ht="36" x14ac:dyDescent="0.25">
      <c r="A20" s="2"/>
      <c r="B20" s="3"/>
      <c r="C20" s="2"/>
      <c r="D20" s="2"/>
      <c r="E20" s="2"/>
      <c r="F20" s="2"/>
      <c r="G20" s="2"/>
      <c r="H20" s="2"/>
      <c r="I20" s="4"/>
      <c r="J20" s="4"/>
      <c r="K20" s="5"/>
      <c r="L20" s="6"/>
      <c r="M20" s="11" t="s">
        <v>121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2026-07-25T12:51:38Z</dcterms:created>
  <dcterms:modified xsi:type="dcterms:W3CDTF">2026-07-25T13:55:39Z</dcterms:modified>
</cp:coreProperties>
</file>
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35" i="1" l="1"/>
  <c r="A36" i="1" s="1"/>
  <c r="A37" i="1" s="1"/>
  <c r="A38" i="1" s="1"/>
  <c r="A39" i="1" s="1"/>
  <c r="A40" i="1" s="1"/>
  <c r="A41" i="1" s="1"/>
  <c r="A42" i="1" s="1"/>
  <c r="A43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6" i="1"/>
</calcChain>
</file>

<file path=xl/sharedStrings.xml><?xml version="1.0" encoding="utf-8"?>
<sst xmlns="http://schemas.openxmlformats.org/spreadsheetml/2006/main" count="404" uniqueCount="234">
  <si>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</si>
  <si>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</si>
  <si>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</si>
  <si>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</si>
  <si>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</si>
  <si>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</si>
  <si>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</si>
  <si>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</si>
  <si>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</si>
  <si>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</si>
  <si>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</si>
  <si>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</si>
  <si>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</si>
  <si>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</si>
  <si>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</si>
  <si>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</si>
  <si>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</si>
  <si>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MR2609/0105</t>
  </si>
  <si>
    <t>Daily</t>
  </si>
  <si>
    <t>220KV_220KV Main Bus - 02</t>
  </si>
  <si>
    <t>220KV_AMARKANTAK</t>
  </si>
  <si>
    <t>NON-OCCM-MP</t>
  </si>
  <si>
    <t>Dismantling activities of bay 5,6,7,8</t>
  </si>
  <si>
    <t>09-09-2026 09:00:00</t>
  </si>
  <si>
    <t>15-09-2026 18:00:00</t>
  </si>
  <si>
    <t>Shri Ajay Parteti</t>
  </si>
  <si>
    <t>9425808877</t>
  </si>
  <si>
    <t>MR2609/0092</t>
  </si>
  <si>
    <t>Continuous</t>
  </si>
  <si>
    <t>220KV_220KV Bay No.6, 8 &amp; Tie Bus</t>
  </si>
  <si>
    <t>Dismentling work of Bay No.5 to 8</t>
  </si>
  <si>
    <t>08-09-2026 09:00:00</t>
  </si>
  <si>
    <t>Ajay parteti</t>
  </si>
  <si>
    <t>MR2609/0098</t>
  </si>
  <si>
    <t>220KV_220KV ATPS ANUPPUR CKT 2</t>
  </si>
  <si>
    <t>220KV_ANUPPUR</t>
  </si>
  <si>
    <t>PERMANENT DISCONNECTION</t>
  </si>
  <si>
    <t>08-09-2026 07:00:00</t>
  </si>
  <si>
    <t>10-09-2026 18:00:00</t>
  </si>
  <si>
    <t>DHARMENDRA DWIVEDI</t>
  </si>
  <si>
    <t>9425805311</t>
  </si>
  <si>
    <t>MR2609/0097</t>
  </si>
  <si>
    <t>220KV_220 KV ATPS ANUPPUR CKT 1</t>
  </si>
  <si>
    <t>08-09-2026 06:00:00</t>
  </si>
  <si>
    <t>10-09-2026 00:00:00</t>
  </si>
  <si>
    <t>MR2608/0360</t>
  </si>
  <si>
    <t>400KV_315 MVA Transformer No.-3 Make-BHEL</t>
  </si>
  <si>
    <t>400KV_BHOPAL4</t>
  </si>
  <si>
    <t>For Post-Monsoon Maintenance &amp; Testing Work</t>
  </si>
  <si>
    <t>10-09-2026 09:00:00</t>
  </si>
  <si>
    <t>11-09-2026 18:00:00</t>
  </si>
  <si>
    <t>RK Gayaki</t>
  </si>
  <si>
    <t>9407528876</t>
  </si>
  <si>
    <t>MR2609/0042</t>
  </si>
  <si>
    <t>132KV_132KV Neemuch Budha Line</t>
  </si>
  <si>
    <t>132KV_BUDHA</t>
  </si>
  <si>
    <t>Hotline shutdown for Crossing work</t>
  </si>
  <si>
    <t>05-09-2026 08:00:00</t>
  </si>
  <si>
    <t>12-09-2026 18:00:00</t>
  </si>
  <si>
    <t>Gaurav Goyal</t>
  </si>
  <si>
    <t>9425805120</t>
  </si>
  <si>
    <t>MR2609/0043</t>
  </si>
  <si>
    <t>132KV_132KV Mandsaur Budha Line</t>
  </si>
  <si>
    <t>Hotline shutdown for crossing Work</t>
  </si>
  <si>
    <t>MR2609/0129</t>
  </si>
  <si>
    <t>220KV_220 KV Ajaygarh-Chhatarpur (TBCB) 2 line</t>
  </si>
  <si>
    <t>220KV_CHATARPUR</t>
  </si>
  <si>
    <t>Stringing of line conductor with OPGW  from ERS to</t>
  </si>
  <si>
    <t>10-09-2026 08:00:00</t>
  </si>
  <si>
    <t>Pankaj yadav</t>
  </si>
  <si>
    <t>9406713336</t>
  </si>
  <si>
    <t>MR2609/0067</t>
  </si>
  <si>
    <t>220KV_220 KV Chhatarpur-Tikamgarh  line</t>
  </si>
  <si>
    <t>installation of ERS and tower erection</t>
  </si>
  <si>
    <t>07-09-2026 18:00:00</t>
  </si>
  <si>
    <t>MR2609/0121</t>
  </si>
  <si>
    <t>132KV_40MVA_132/33KV_ABB_Xmer_1</t>
  </si>
  <si>
    <t>132KV_CHICHOLI</t>
  </si>
  <si>
    <t>Attending oil leakage of PRV</t>
  </si>
  <si>
    <t>Er. Vishal Kumar Malviya</t>
  </si>
  <si>
    <t>9425804955</t>
  </si>
  <si>
    <t>MR2609/0046</t>
  </si>
  <si>
    <t>220KV_220KV Daloda Mandsaur Circuit IInd</t>
  </si>
  <si>
    <t>220KV_DALODA</t>
  </si>
  <si>
    <t>Hotline shutdown for crossing work</t>
  </si>
  <si>
    <t>06-09-2026 08:00:00</t>
  </si>
  <si>
    <t>MR2609/0045</t>
  </si>
  <si>
    <t>220KV_220KV Daloda Mandsaur circuit Ist</t>
  </si>
  <si>
    <t>MR2609/0123</t>
  </si>
  <si>
    <t>132KV_132/33 KV 50 MVA BBL  XMER-2</t>
  </si>
  <si>
    <t>132KV_GADARWARA</t>
  </si>
  <si>
    <t>FOR INCOMER V.C.B. REPLACEMENT</t>
  </si>
  <si>
    <t>MUKESH AGRAWAL</t>
  </si>
  <si>
    <t>9425805687</t>
  </si>
  <si>
    <t>MR2609/0122</t>
  </si>
  <si>
    <t>220KV_160 MVA X-MER 3rd BHEL</t>
  </si>
  <si>
    <t>220KV_GUNA</t>
  </si>
  <si>
    <t>Transformer Painting Work</t>
  </si>
  <si>
    <t>Sagar Singh Dhakad</t>
  </si>
  <si>
    <t>9589205697</t>
  </si>
  <si>
    <t>MR2609/0137</t>
  </si>
  <si>
    <t>220KV_220KV Handia -Itarsi No 1 Feeder</t>
  </si>
  <si>
    <t>220KV_HANDIYA</t>
  </si>
  <si>
    <t>for 03No (R,Y,B) Phase CT Tan Delta Testing work</t>
  </si>
  <si>
    <t>10-09-2026 12:00:00</t>
  </si>
  <si>
    <t>10-09-2026 17:00:00</t>
  </si>
  <si>
    <t>K.R. Dongre</t>
  </si>
  <si>
    <t>9424430754</t>
  </si>
  <si>
    <t>MR2609/0125</t>
  </si>
  <si>
    <t>220KV_220KV INDORE II (JAITPURA)-ASHTA CKT-1 LINE</t>
  </si>
  <si>
    <t>220KV_INDORE-II (JETPURA)</t>
  </si>
  <si>
    <t>JUMPER CONE TIGHTING OTHER MAINTENANCE WORK</t>
  </si>
  <si>
    <t>RAVINDRA PATIL</t>
  </si>
  <si>
    <t>8305612190</t>
  </si>
  <si>
    <t>MR2609/0134</t>
  </si>
  <si>
    <t>220KV_160MVA TRANSFORMER-I MAKE BHEL</t>
  </si>
  <si>
    <t>220KV_INDORE-SZ</t>
  </si>
  <si>
    <t>POST MONSOON MAINTENANCE</t>
  </si>
  <si>
    <t>10-09-2026 10:00:00</t>
  </si>
  <si>
    <t>DHARMENDRA KUSHWAHA</t>
  </si>
  <si>
    <t>9425802801</t>
  </si>
  <si>
    <t>MR2609/0130</t>
  </si>
  <si>
    <t>132KV_132 KV JBP - Tap Patan Tejgarh</t>
  </si>
  <si>
    <t>220KV_JABALPUR</t>
  </si>
  <si>
    <t>Is Landing Wiring Work</t>
  </si>
  <si>
    <t>10-09-2026 09:30:00</t>
  </si>
  <si>
    <t>10-09-2026 11:30:00</t>
  </si>
  <si>
    <t>D.N.Poddar</t>
  </si>
  <si>
    <t>9425805034</t>
  </si>
  <si>
    <t>MR2609/0132</t>
  </si>
  <si>
    <t>132KV_132 KV JBP - Madhotal-2</t>
  </si>
  <si>
    <t>10-09-2026 14:30:00</t>
  </si>
  <si>
    <t>D.N.poddar</t>
  </si>
  <si>
    <t>MR2609/0131</t>
  </si>
  <si>
    <t>132KV_132 KV JBP - Madhotal-1</t>
  </si>
  <si>
    <t>10-09-2026 13:30:00</t>
  </si>
  <si>
    <t>MR2609/0120</t>
  </si>
  <si>
    <t>132KV_132 KV KATNI - KYMORE LINE CKT - 1ST</t>
  </si>
  <si>
    <t>400KV_KATNI4</t>
  </si>
  <si>
    <t>F/O Disc Replacement &amp; Other Line Maintenance work</t>
  </si>
  <si>
    <t>MONOJ KUMAR TIWARI</t>
  </si>
  <si>
    <t>9425804993</t>
  </si>
  <si>
    <t>MR2609/0099</t>
  </si>
  <si>
    <t>132KV_132kV Kirnapur Dongargarh Line</t>
  </si>
  <si>
    <t>400KV_KIRNAPUR</t>
  </si>
  <si>
    <t>OCCM-MP</t>
  </si>
  <si>
    <t>Emergency Side Tree Cutting Work &amp; Other Line Main</t>
  </si>
  <si>
    <t>S.K. BHALADHARE</t>
  </si>
  <si>
    <t>9425807264</t>
  </si>
  <si>
    <t>MR2609/0138</t>
  </si>
  <si>
    <t>132KV_132kv mandsaur -alot ckt-1</t>
  </si>
  <si>
    <t>400KV_MANDSOUR4</t>
  </si>
  <si>
    <t>defective over current earth faulty  relay replace</t>
  </si>
  <si>
    <t>10-09-2026 11:00:00</t>
  </si>
  <si>
    <t>10-09-2026 14:00:00</t>
  </si>
  <si>
    <t>k.c panwar</t>
  </si>
  <si>
    <t>9907702072</t>
  </si>
  <si>
    <t>MR2609/0124</t>
  </si>
  <si>
    <t>220KV_160MVA X-MER I TOSHIBA</t>
  </si>
  <si>
    <t>220KV_PITHAMPUR-II (SEC-I)</t>
  </si>
  <si>
    <t>NON-OCCM-WR</t>
  </si>
  <si>
    <t>POST MANSOON MAINTANCE</t>
  </si>
  <si>
    <t>RAJUDAS BAIRAGI</t>
  </si>
  <si>
    <t>9425801532</t>
  </si>
  <si>
    <t>MR2609/0127</t>
  </si>
  <si>
    <t>400KV_315MVA-II Xmer</t>
  </si>
  <si>
    <t>400KV_SAGAR</t>
  </si>
  <si>
    <t>Pentagrah isolator B phase rod replacement</t>
  </si>
  <si>
    <t>Srajan Sisodiya</t>
  </si>
  <si>
    <t>7879960164</t>
  </si>
  <si>
    <t>MR2609/0126</t>
  </si>
  <si>
    <t>132KV_132kv Shivpuri Karahal Ckt-2</t>
  </si>
  <si>
    <t>220KV_SHIVPURI</t>
  </si>
  <si>
    <t>Line Maintenance work</t>
  </si>
  <si>
    <t>Suraj Pawar</t>
  </si>
  <si>
    <t>9425814079</t>
  </si>
  <si>
    <t>MR2609/0136</t>
  </si>
  <si>
    <t>132KV_132KV Sidhi-Deosar ckt-II</t>
  </si>
  <si>
    <t>220KV_SIDHI</t>
  </si>
  <si>
    <t>Flash over disc replacement work</t>
  </si>
  <si>
    <t>G.L SAHU</t>
  </si>
  <si>
    <t>9425805102</t>
  </si>
  <si>
    <t>MR2609/0033</t>
  </si>
  <si>
    <t>220KV_90 MVA Station Transformer-01</t>
  </si>
  <si>
    <t>400KV_SINGHAJI TPS</t>
  </si>
  <si>
    <t>Overhauling work</t>
  </si>
  <si>
    <t>07-09-2026 09:00:00</t>
  </si>
  <si>
    <t>15-09-2026 17:00:00</t>
  </si>
  <si>
    <t>Yogesh Chouhan</t>
  </si>
  <si>
    <t>7587570887</t>
  </si>
  <si>
    <t>MR2609/0133</t>
  </si>
  <si>
    <t>132KV_132 KV Sironj-Lateri Ckt.</t>
  </si>
  <si>
    <t>132KV_SIRONJ</t>
  </si>
  <si>
    <t>F/o disc insulators at Location No. 06M</t>
  </si>
  <si>
    <t>Dilip Singh Walkey</t>
  </si>
  <si>
    <t>9425804578</t>
  </si>
  <si>
    <t>132KV_WAIDHAN</t>
  </si>
  <si>
    <t>01-09-2026 08:00:00</t>
  </si>
  <si>
    <t>MR2608/0297</t>
  </si>
  <si>
    <t>132KV_132KV FEEDER BAY AT WAIDHAN FOR VINDHYANCHAL 1</t>
  </si>
  <si>
    <t>REPLACEMENT OF EXIST. ACSR CONDUCTOR &amp; EQUIPEMENT</t>
  </si>
  <si>
    <t>ok</t>
  </si>
  <si>
    <t>ok, through sub ld</t>
  </si>
  <si>
    <t>sub ld</t>
  </si>
  <si>
    <t>ok, line to be in service</t>
  </si>
  <si>
    <t>deferred by site</t>
  </si>
  <si>
    <t>ok, o&amp;m to be informed</t>
  </si>
  <si>
    <t>real time</t>
  </si>
  <si>
    <t>o&amp;m consnet required</t>
  </si>
  <si>
    <t>220KV-DAMOH-SAGAR-1</t>
  </si>
  <si>
    <t>220KV-AJAYGARH-SATNA-1</t>
  </si>
  <si>
    <t>220KV-KHANDWA-CHHEGAON-1</t>
  </si>
  <si>
    <t>220KV-SHUJALPUR-RAJGARH-MP-1</t>
  </si>
  <si>
    <t>132KV-KIRNAPUR-DONGARGARH-1</t>
  </si>
  <si>
    <t>220KV-GWALIOR-MAHALGAON-1</t>
  </si>
  <si>
    <t>132KV-VSTPS-WAIDHAN-1</t>
  </si>
  <si>
    <t>132KV-SHEOPUR-KHANDAR-1</t>
  </si>
  <si>
    <t>SEONI-PG - 220KV - BUS 1</t>
  </si>
  <si>
    <t>10-Sep-2026</t>
  </si>
  <si>
    <t>09:00</t>
  </si>
  <si>
    <t>18:00</t>
  </si>
  <si>
    <t>08:00</t>
  </si>
  <si>
    <t>19:00</t>
  </si>
  <si>
    <t>17:00</t>
  </si>
  <si>
    <t>06:00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</si>
  <si>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</si>
  <si>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 xml:space="preserve">FOR REPLACEMENT OF SINGLE FITTING HARDWARE INTO DOUBLE FITTING HARDWARE AT VARIOUS ROAD CROSSING LOCATIONS </t>
  </si>
  <si>
    <t>FOR LINE MAINTENANCE WORK I.E. CLEANING OF DISC INSULATORS DURING LINE PATROLLING, REPLACEMENT OF FLASHOVERED DISC INSULATORS, TREE BRANCH CUTTING ETC AT VARIOUS TOWER LOCATIONS</t>
  </si>
  <si>
    <t>FOR BAY MAINTENANCE &amp; TESTING WORK AT SUBSTASTION, REPLACEMENT OF DAMAGED CLAMPS/JUMPERS ETC.</t>
  </si>
  <si>
    <t>FOR REPLACEMENT OF EXISTING CONDUCTOR TO HTLS CONDUCTOR WORK</t>
  </si>
  <si>
    <t>For AMP work @ Seoni SS.Each element shifted to TBC bay one by one for maintenance of bus side isolator as per site requirement</t>
  </si>
  <si>
    <t>OCCM-WR</t>
  </si>
  <si>
    <t>S/I ,SLDC MPPTCL JBP</t>
  </si>
  <si>
    <t>APPROVED OUTAGE LIST FOR DTD.10.09.2026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</si>
</sst>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zoomScale="90" zoomScaleNormal="90" workbookViewId="0">
      <selection activeCell="H11" sqref="H1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6.28515625" style="10" customWidth="1"/>
    <col min="6" max="6" width="21.85546875" customWidth="1"/>
    <col min="7" max="7" width="15.7109375" customWidth="1"/>
    <col min="8" max="8" width="47" customWidth="1"/>
    <col min="9" max="10" width="19.42578125" customWidth="1"/>
    <col min="11" max="11" width="24.28515625" customWidth="1"/>
    <col min="12" max="12" width="12" customWidth="1"/>
    <col min="13" max="13" width="42.85546875" customWidth="1"/>
  </cols>
  <sheetData>
    <row r="1" spans="1:13" ht="43.7" customHeight="1" x14ac:dyDescent="0.25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s="10" customFormat="1" ht="42" customHeight="1" x14ac:dyDescent="0.25">
      <c r="A2" s="7" t="s">
        <v>1</v>
      </c>
      <c r="B2" s="21">
        <v>46275</v>
      </c>
      <c r="C2" s="7"/>
      <c r="D2" s="7"/>
      <c r="E2" s="18" t="s">
        <v>233</v>
      </c>
      <c r="F2" s="19"/>
      <c r="G2" s="19"/>
      <c r="H2" s="19"/>
      <c r="I2" s="19"/>
      <c r="J2" s="19"/>
      <c r="K2" s="19"/>
      <c r="L2" s="20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6" t="s">
        <v>15</v>
      </c>
      <c r="L4" s="17"/>
      <c r="M4" s="8" t="s">
        <v>16</v>
      </c>
    </row>
    <row r="5" spans="1:13" ht="27.75" customHeight="1" x14ac:dyDescent="0.25">
      <c r="A5" s="2">
        <v>1</v>
      </c>
      <c r="B5" s="3">
        <v>46273.538402777776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201</v>
      </c>
    </row>
    <row r="6" spans="1:13" ht="27.75" customHeight="1" x14ac:dyDescent="0.25">
      <c r="A6" s="2">
        <f>A5+1</f>
        <v>2</v>
      </c>
      <c r="B6" s="3">
        <v>46272.745185185187</v>
      </c>
      <c r="C6" s="2" t="s">
        <v>27</v>
      </c>
      <c r="D6" s="2" t="s">
        <v>28</v>
      </c>
      <c r="E6" s="9" t="s">
        <v>29</v>
      </c>
      <c r="F6" s="2" t="s">
        <v>20</v>
      </c>
      <c r="G6" s="2" t="s">
        <v>21</v>
      </c>
      <c r="H6" s="2" t="s">
        <v>30</v>
      </c>
      <c r="I6" s="4" t="s">
        <v>31</v>
      </c>
      <c r="J6" s="4" t="s">
        <v>24</v>
      </c>
      <c r="K6" s="5" t="s">
        <v>32</v>
      </c>
      <c r="L6" s="6" t="s">
        <v>26</v>
      </c>
      <c r="M6" s="2" t="s">
        <v>28</v>
      </c>
    </row>
    <row r="7" spans="1:13" ht="27.75" customHeight="1" x14ac:dyDescent="0.25">
      <c r="A7" s="2">
        <f t="shared" ref="A7:A43" si="0">A6+1</f>
        <v>3</v>
      </c>
      <c r="B7" s="3">
        <v>46272.788923611108</v>
      </c>
      <c r="C7" s="2" t="s">
        <v>33</v>
      </c>
      <c r="D7" s="2" t="s">
        <v>28</v>
      </c>
      <c r="E7" s="9" t="s">
        <v>34</v>
      </c>
      <c r="F7" s="2" t="s">
        <v>35</v>
      </c>
      <c r="G7" s="2" t="s">
        <v>21</v>
      </c>
      <c r="H7" s="2" t="s">
        <v>36</v>
      </c>
      <c r="I7" s="4" t="s">
        <v>37</v>
      </c>
      <c r="J7" s="4" t="s">
        <v>38</v>
      </c>
      <c r="K7" s="5" t="s">
        <v>39</v>
      </c>
      <c r="L7" s="6" t="s">
        <v>40</v>
      </c>
      <c r="M7" s="2" t="s">
        <v>28</v>
      </c>
    </row>
    <row r="8" spans="1:13" ht="27.75" customHeight="1" x14ac:dyDescent="0.25">
      <c r="A8" s="2">
        <f t="shared" si="0"/>
        <v>4</v>
      </c>
      <c r="B8" s="3">
        <v>46272.786817129629</v>
      </c>
      <c r="C8" s="2" t="s">
        <v>41</v>
      </c>
      <c r="D8" s="2" t="s">
        <v>28</v>
      </c>
      <c r="E8" s="9" t="s">
        <v>42</v>
      </c>
      <c r="F8" s="2" t="s">
        <v>35</v>
      </c>
      <c r="G8" s="2" t="s">
        <v>21</v>
      </c>
      <c r="H8" s="2" t="s">
        <v>36</v>
      </c>
      <c r="I8" s="4" t="s">
        <v>43</v>
      </c>
      <c r="J8" s="4" t="s">
        <v>44</v>
      </c>
      <c r="K8" s="5" t="s">
        <v>39</v>
      </c>
      <c r="L8" s="6" t="s">
        <v>40</v>
      </c>
      <c r="M8" s="2" t="s">
        <v>28</v>
      </c>
    </row>
    <row r="9" spans="1:13" ht="27.75" customHeight="1" x14ac:dyDescent="0.25">
      <c r="A9" s="2">
        <f t="shared" si="0"/>
        <v>5</v>
      </c>
      <c r="B9" s="3">
        <v>46265.739328703705</v>
      </c>
      <c r="C9" s="2" t="s">
        <v>45</v>
      </c>
      <c r="D9" s="2" t="s">
        <v>28</v>
      </c>
      <c r="E9" s="11" t="s">
        <v>46</v>
      </c>
      <c r="F9" s="2" t="s">
        <v>47</v>
      </c>
      <c r="G9" s="2" t="s">
        <v>21</v>
      </c>
      <c r="H9" s="2" t="s">
        <v>48</v>
      </c>
      <c r="I9" s="4" t="s">
        <v>49</v>
      </c>
      <c r="J9" s="4" t="s">
        <v>50</v>
      </c>
      <c r="K9" s="5" t="s">
        <v>51</v>
      </c>
      <c r="L9" s="6" t="s">
        <v>52</v>
      </c>
      <c r="M9" s="2" t="s">
        <v>202</v>
      </c>
    </row>
    <row r="10" spans="1:13" ht="27.75" customHeight="1" x14ac:dyDescent="0.25">
      <c r="A10" s="2">
        <f t="shared" si="0"/>
        <v>6</v>
      </c>
      <c r="B10" s="3">
        <v>46269.514247685183</v>
      </c>
      <c r="C10" s="2" t="s">
        <v>53</v>
      </c>
      <c r="D10" s="2" t="s">
        <v>18</v>
      </c>
      <c r="E10" s="9" t="s">
        <v>54</v>
      </c>
      <c r="F10" s="2" t="s">
        <v>55</v>
      </c>
      <c r="G10" s="2" t="s">
        <v>21</v>
      </c>
      <c r="H10" s="2" t="s">
        <v>56</v>
      </c>
      <c r="I10" s="4" t="s">
        <v>57</v>
      </c>
      <c r="J10" s="4" t="s">
        <v>58</v>
      </c>
      <c r="K10" s="5" t="s">
        <v>59</v>
      </c>
      <c r="L10" s="6" t="s">
        <v>60</v>
      </c>
      <c r="M10" s="2" t="s">
        <v>203</v>
      </c>
    </row>
    <row r="11" spans="1:13" ht="27.75" customHeight="1" x14ac:dyDescent="0.25">
      <c r="A11" s="2">
        <f t="shared" si="0"/>
        <v>7</v>
      </c>
      <c r="B11" s="3">
        <v>46269.51667824074</v>
      </c>
      <c r="C11" s="2" t="s">
        <v>61</v>
      </c>
      <c r="D11" s="2" t="s">
        <v>18</v>
      </c>
      <c r="E11" s="9" t="s">
        <v>62</v>
      </c>
      <c r="F11" s="2" t="s">
        <v>55</v>
      </c>
      <c r="G11" s="2" t="s">
        <v>21</v>
      </c>
      <c r="H11" s="2" t="s">
        <v>63</v>
      </c>
      <c r="I11" s="4" t="s">
        <v>57</v>
      </c>
      <c r="J11" s="4" t="s">
        <v>58</v>
      </c>
      <c r="K11" s="5" t="s">
        <v>59</v>
      </c>
      <c r="L11" s="6" t="s">
        <v>60</v>
      </c>
      <c r="M11" s="2" t="s">
        <v>203</v>
      </c>
    </row>
    <row r="12" spans="1:13" ht="27.75" customHeight="1" x14ac:dyDescent="0.25">
      <c r="A12" s="2">
        <f t="shared" si="0"/>
        <v>8</v>
      </c>
      <c r="B12" s="3">
        <v>46274.585173611114</v>
      </c>
      <c r="C12" s="2" t="s">
        <v>64</v>
      </c>
      <c r="D12" s="2"/>
      <c r="E12" s="11" t="s">
        <v>65</v>
      </c>
      <c r="F12" s="2" t="s">
        <v>66</v>
      </c>
      <c r="G12" s="2" t="s">
        <v>21</v>
      </c>
      <c r="H12" s="2" t="s">
        <v>67</v>
      </c>
      <c r="I12" s="4" t="s">
        <v>68</v>
      </c>
      <c r="J12" s="4" t="s">
        <v>38</v>
      </c>
      <c r="K12" s="5" t="s">
        <v>69</v>
      </c>
      <c r="L12" s="6" t="s">
        <v>70</v>
      </c>
      <c r="M12" s="2" t="s">
        <v>201</v>
      </c>
    </row>
    <row r="13" spans="1:13" ht="27.75" customHeight="1" x14ac:dyDescent="0.25">
      <c r="A13" s="2">
        <f t="shared" si="0"/>
        <v>9</v>
      </c>
      <c r="B13" s="3">
        <v>46272.586018518516</v>
      </c>
      <c r="C13" s="2" t="s">
        <v>71</v>
      </c>
      <c r="D13" s="2" t="s">
        <v>28</v>
      </c>
      <c r="E13" s="9" t="s">
        <v>72</v>
      </c>
      <c r="F13" s="2" t="s">
        <v>66</v>
      </c>
      <c r="G13" s="2" t="s">
        <v>21</v>
      </c>
      <c r="H13" s="2" t="s">
        <v>73</v>
      </c>
      <c r="I13" s="4" t="s">
        <v>74</v>
      </c>
      <c r="J13" s="4" t="s">
        <v>38</v>
      </c>
      <c r="K13" s="5" t="s">
        <v>69</v>
      </c>
      <c r="L13" s="6" t="s">
        <v>70</v>
      </c>
      <c r="M13" s="2" t="s">
        <v>28</v>
      </c>
    </row>
    <row r="14" spans="1:13" ht="27.75" customHeight="1" x14ac:dyDescent="0.25">
      <c r="A14" s="2">
        <f t="shared" si="0"/>
        <v>10</v>
      </c>
      <c r="B14" s="3">
        <v>46274.535763888889</v>
      </c>
      <c r="C14" s="2" t="s">
        <v>75</v>
      </c>
      <c r="D14" s="2"/>
      <c r="E14" s="9" t="s">
        <v>76</v>
      </c>
      <c r="F14" s="2" t="s">
        <v>77</v>
      </c>
      <c r="G14" s="2" t="s">
        <v>21</v>
      </c>
      <c r="H14" s="2" t="s">
        <v>78</v>
      </c>
      <c r="I14" s="4" t="s">
        <v>49</v>
      </c>
      <c r="J14" s="4" t="s">
        <v>38</v>
      </c>
      <c r="K14" s="5" t="s">
        <v>79</v>
      </c>
      <c r="L14" s="6" t="s">
        <v>80</v>
      </c>
      <c r="M14" s="2" t="s">
        <v>203</v>
      </c>
    </row>
    <row r="15" spans="1:13" ht="27.75" customHeight="1" x14ac:dyDescent="0.25">
      <c r="A15" s="2">
        <f t="shared" si="0"/>
        <v>11</v>
      </c>
      <c r="B15" s="3">
        <v>46269.541446759256</v>
      </c>
      <c r="C15" s="2" t="s">
        <v>81</v>
      </c>
      <c r="D15" s="2" t="s">
        <v>18</v>
      </c>
      <c r="E15" s="9" t="s">
        <v>82</v>
      </c>
      <c r="F15" s="2" t="s">
        <v>83</v>
      </c>
      <c r="G15" s="2" t="s">
        <v>21</v>
      </c>
      <c r="H15" s="2" t="s">
        <v>84</v>
      </c>
      <c r="I15" s="4" t="s">
        <v>85</v>
      </c>
      <c r="J15" s="4" t="s">
        <v>38</v>
      </c>
      <c r="K15" s="5" t="s">
        <v>59</v>
      </c>
      <c r="L15" s="6" t="s">
        <v>60</v>
      </c>
      <c r="M15" s="2" t="s">
        <v>204</v>
      </c>
    </row>
    <row r="16" spans="1:13" ht="27.75" customHeight="1" x14ac:dyDescent="0.25">
      <c r="A16" s="2">
        <f t="shared" si="0"/>
        <v>12</v>
      </c>
      <c r="B16" s="3">
        <v>46269.539583333331</v>
      </c>
      <c r="C16" s="2" t="s">
        <v>86</v>
      </c>
      <c r="D16" s="2" t="s">
        <v>18</v>
      </c>
      <c r="E16" s="9" t="s">
        <v>87</v>
      </c>
      <c r="F16" s="2" t="s">
        <v>83</v>
      </c>
      <c r="G16" s="2" t="s">
        <v>21</v>
      </c>
      <c r="H16" s="2" t="s">
        <v>56</v>
      </c>
      <c r="I16" s="4" t="s">
        <v>85</v>
      </c>
      <c r="J16" s="4" t="s">
        <v>38</v>
      </c>
      <c r="K16" s="5" t="s">
        <v>59</v>
      </c>
      <c r="L16" s="6" t="s">
        <v>60</v>
      </c>
      <c r="M16" s="2" t="s">
        <v>204</v>
      </c>
    </row>
    <row r="17" spans="1:13" ht="27.75" customHeight="1" x14ac:dyDescent="0.25">
      <c r="A17" s="2">
        <f t="shared" si="0"/>
        <v>13</v>
      </c>
      <c r="B17" s="3">
        <v>46274.556203703702</v>
      </c>
      <c r="C17" s="2" t="s">
        <v>88</v>
      </c>
      <c r="D17" s="2"/>
      <c r="E17" s="9" t="s">
        <v>89</v>
      </c>
      <c r="F17" s="2" t="s">
        <v>90</v>
      </c>
      <c r="G17" s="2" t="s">
        <v>21</v>
      </c>
      <c r="H17" s="2" t="s">
        <v>91</v>
      </c>
      <c r="I17" s="4" t="s">
        <v>68</v>
      </c>
      <c r="J17" s="4" t="s">
        <v>38</v>
      </c>
      <c r="K17" s="5" t="s">
        <v>92</v>
      </c>
      <c r="L17" s="6" t="s">
        <v>93</v>
      </c>
      <c r="M17" s="2" t="s">
        <v>208</v>
      </c>
    </row>
    <row r="18" spans="1:13" ht="27.75" customHeight="1" x14ac:dyDescent="0.25">
      <c r="A18" s="2">
        <f t="shared" si="0"/>
        <v>14</v>
      </c>
      <c r="B18" s="3">
        <v>46274.538946759261</v>
      </c>
      <c r="C18" s="2" t="s">
        <v>94</v>
      </c>
      <c r="D18" s="2"/>
      <c r="E18" s="9" t="s">
        <v>95</v>
      </c>
      <c r="F18" s="2" t="s">
        <v>96</v>
      </c>
      <c r="G18" s="2" t="s">
        <v>21</v>
      </c>
      <c r="H18" s="2" t="s">
        <v>97</v>
      </c>
      <c r="I18" s="4" t="s">
        <v>49</v>
      </c>
      <c r="J18" s="4" t="s">
        <v>38</v>
      </c>
      <c r="K18" s="5" t="s">
        <v>98</v>
      </c>
      <c r="L18" s="6" t="s">
        <v>99</v>
      </c>
      <c r="M18" s="2" t="s">
        <v>202</v>
      </c>
    </row>
    <row r="19" spans="1:13" ht="27.75" customHeight="1" x14ac:dyDescent="0.25">
      <c r="A19" s="2">
        <f t="shared" si="0"/>
        <v>15</v>
      </c>
      <c r="B19" s="3">
        <v>46274.647986111115</v>
      </c>
      <c r="C19" s="2" t="s">
        <v>100</v>
      </c>
      <c r="D19" s="2"/>
      <c r="E19" s="9" t="s">
        <v>101</v>
      </c>
      <c r="F19" s="2" t="s">
        <v>102</v>
      </c>
      <c r="G19" s="2" t="s">
        <v>21</v>
      </c>
      <c r="H19" s="2" t="s">
        <v>103</v>
      </c>
      <c r="I19" s="4" t="s">
        <v>104</v>
      </c>
      <c r="J19" s="4" t="s">
        <v>105</v>
      </c>
      <c r="K19" s="5" t="s">
        <v>106</v>
      </c>
      <c r="L19" s="6" t="s">
        <v>107</v>
      </c>
      <c r="M19" s="2" t="s">
        <v>202</v>
      </c>
    </row>
    <row r="20" spans="1:13" ht="27.75" customHeight="1" x14ac:dyDescent="0.25">
      <c r="A20" s="2">
        <f t="shared" si="0"/>
        <v>16</v>
      </c>
      <c r="B20" s="3">
        <v>46274.564641203702</v>
      </c>
      <c r="C20" s="2" t="s">
        <v>108</v>
      </c>
      <c r="D20" s="2"/>
      <c r="E20" s="9" t="s">
        <v>109</v>
      </c>
      <c r="F20" s="2" t="s">
        <v>110</v>
      </c>
      <c r="G20" s="2" t="s">
        <v>21</v>
      </c>
      <c r="H20" s="2" t="s">
        <v>111</v>
      </c>
      <c r="I20" s="4" t="s">
        <v>49</v>
      </c>
      <c r="J20" s="4" t="s">
        <v>38</v>
      </c>
      <c r="K20" s="5" t="s">
        <v>112</v>
      </c>
      <c r="L20" s="6" t="s">
        <v>113</v>
      </c>
      <c r="M20" s="2" t="s">
        <v>202</v>
      </c>
    </row>
    <row r="21" spans="1:13" ht="27.75" customHeight="1" x14ac:dyDescent="0.25">
      <c r="A21" s="2">
        <f t="shared" si="0"/>
        <v>17</v>
      </c>
      <c r="B21" s="3">
        <v>46274.608298611114</v>
      </c>
      <c r="C21" s="2" t="s">
        <v>114</v>
      </c>
      <c r="D21" s="2"/>
      <c r="E21" s="9" t="s">
        <v>115</v>
      </c>
      <c r="F21" s="2" t="s">
        <v>116</v>
      </c>
      <c r="G21" s="2" t="s">
        <v>21</v>
      </c>
      <c r="H21" s="2" t="s">
        <v>117</v>
      </c>
      <c r="I21" s="4" t="s">
        <v>118</v>
      </c>
      <c r="J21" s="4" t="s">
        <v>38</v>
      </c>
      <c r="K21" s="5" t="s">
        <v>119</v>
      </c>
      <c r="L21" s="6" t="s">
        <v>120</v>
      </c>
      <c r="M21" s="2" t="s">
        <v>202</v>
      </c>
    </row>
    <row r="22" spans="1:13" ht="27.75" customHeight="1" x14ac:dyDescent="0.25">
      <c r="A22" s="2">
        <f t="shared" si="0"/>
        <v>18</v>
      </c>
      <c r="B22" s="3">
        <v>46274.591678240744</v>
      </c>
      <c r="C22" s="2" t="s">
        <v>121</v>
      </c>
      <c r="D22" s="2"/>
      <c r="E22" s="9" t="s">
        <v>122</v>
      </c>
      <c r="F22" s="2" t="s">
        <v>123</v>
      </c>
      <c r="G22" s="2" t="s">
        <v>21</v>
      </c>
      <c r="H22" s="2" t="s">
        <v>124</v>
      </c>
      <c r="I22" s="4" t="s">
        <v>125</v>
      </c>
      <c r="J22" s="4" t="s">
        <v>126</v>
      </c>
      <c r="K22" s="5" t="s">
        <v>127</v>
      </c>
      <c r="L22" s="6" t="s">
        <v>128</v>
      </c>
      <c r="M22" s="2" t="s">
        <v>201</v>
      </c>
    </row>
    <row r="23" spans="1:13" ht="27.75" customHeight="1" x14ac:dyDescent="0.25">
      <c r="A23" s="2">
        <f t="shared" si="0"/>
        <v>19</v>
      </c>
      <c r="B23" s="3">
        <v>46274.596863425926</v>
      </c>
      <c r="C23" s="2" t="s">
        <v>129</v>
      </c>
      <c r="D23" s="2"/>
      <c r="E23" s="11" t="s">
        <v>130</v>
      </c>
      <c r="F23" s="2" t="s">
        <v>123</v>
      </c>
      <c r="G23" s="2" t="s">
        <v>21</v>
      </c>
      <c r="H23" s="2" t="s">
        <v>124</v>
      </c>
      <c r="I23" s="4" t="s">
        <v>131</v>
      </c>
      <c r="J23" s="4" t="s">
        <v>105</v>
      </c>
      <c r="K23" s="5" t="s">
        <v>132</v>
      </c>
      <c r="L23" s="6" t="s">
        <v>128</v>
      </c>
      <c r="M23" s="2" t="s">
        <v>201</v>
      </c>
    </row>
    <row r="24" spans="1:13" ht="27.75" customHeight="1" x14ac:dyDescent="0.25">
      <c r="A24" s="2">
        <f t="shared" si="0"/>
        <v>20</v>
      </c>
      <c r="B24" s="3">
        <v>46274.594375000001</v>
      </c>
      <c r="C24" s="2" t="s">
        <v>133</v>
      </c>
      <c r="D24" s="2"/>
      <c r="E24" s="11" t="s">
        <v>134</v>
      </c>
      <c r="F24" s="2" t="s">
        <v>123</v>
      </c>
      <c r="G24" s="2" t="s">
        <v>21</v>
      </c>
      <c r="H24" s="2" t="s">
        <v>124</v>
      </c>
      <c r="I24" s="4" t="s">
        <v>126</v>
      </c>
      <c r="J24" s="4" t="s">
        <v>135</v>
      </c>
      <c r="K24" s="5" t="s">
        <v>127</v>
      </c>
      <c r="L24" s="6" t="s">
        <v>128</v>
      </c>
      <c r="M24" s="2" t="s">
        <v>201</v>
      </c>
    </row>
    <row r="25" spans="1:13" ht="27.75" customHeight="1" x14ac:dyDescent="0.25">
      <c r="A25" s="2">
        <f t="shared" si="0"/>
        <v>21</v>
      </c>
      <c r="B25" s="3">
        <v>46274.471412037034</v>
      </c>
      <c r="C25" s="2" t="s">
        <v>136</v>
      </c>
      <c r="D25" s="2"/>
      <c r="E25" s="9" t="s">
        <v>137</v>
      </c>
      <c r="F25" s="2" t="s">
        <v>138</v>
      </c>
      <c r="G25" s="2" t="s">
        <v>21</v>
      </c>
      <c r="H25" s="2" t="s">
        <v>139</v>
      </c>
      <c r="I25" s="4" t="s">
        <v>68</v>
      </c>
      <c r="J25" s="4" t="s">
        <v>38</v>
      </c>
      <c r="K25" s="5" t="s">
        <v>140</v>
      </c>
      <c r="L25" s="6" t="s">
        <v>141</v>
      </c>
      <c r="M25" s="2" t="s">
        <v>201</v>
      </c>
    </row>
    <row r="26" spans="1:13" ht="27.75" customHeight="1" x14ac:dyDescent="0.25">
      <c r="A26" s="2">
        <f t="shared" si="0"/>
        <v>22</v>
      </c>
      <c r="B26" s="3">
        <v>46273.460127314815</v>
      </c>
      <c r="C26" s="2" t="s">
        <v>142</v>
      </c>
      <c r="D26" s="2"/>
      <c r="E26" s="9" t="s">
        <v>143</v>
      </c>
      <c r="F26" s="2" t="s">
        <v>144</v>
      </c>
      <c r="G26" s="2" t="s">
        <v>145</v>
      </c>
      <c r="H26" s="2" t="s">
        <v>146</v>
      </c>
      <c r="I26" s="4" t="s">
        <v>49</v>
      </c>
      <c r="J26" s="4" t="s">
        <v>38</v>
      </c>
      <c r="K26" s="5" t="s">
        <v>147</v>
      </c>
      <c r="L26" s="6" t="s">
        <v>148</v>
      </c>
      <c r="M26" s="2" t="s">
        <v>201</v>
      </c>
    </row>
    <row r="27" spans="1:13" ht="27.75" customHeight="1" x14ac:dyDescent="0.25">
      <c r="A27" s="2">
        <f t="shared" si="0"/>
        <v>23</v>
      </c>
      <c r="B27" s="3">
        <v>46274.691053240742</v>
      </c>
      <c r="C27" s="2" t="s">
        <v>149</v>
      </c>
      <c r="D27" s="2"/>
      <c r="E27" s="9" t="s">
        <v>150</v>
      </c>
      <c r="F27" s="2" t="s">
        <v>151</v>
      </c>
      <c r="G27" s="2" t="s">
        <v>145</v>
      </c>
      <c r="H27" s="2" t="s">
        <v>152</v>
      </c>
      <c r="I27" s="4" t="s">
        <v>153</v>
      </c>
      <c r="J27" s="4" t="s">
        <v>154</v>
      </c>
      <c r="K27" s="5" t="s">
        <v>155</v>
      </c>
      <c r="L27" s="6" t="s">
        <v>156</v>
      </c>
      <c r="M27" s="2" t="s">
        <v>203</v>
      </c>
    </row>
    <row r="28" spans="1:13" ht="27.75" customHeight="1" x14ac:dyDescent="0.25">
      <c r="A28" s="2">
        <f t="shared" si="0"/>
        <v>24</v>
      </c>
      <c r="B28" s="3">
        <v>46274.563067129631</v>
      </c>
      <c r="C28" s="2" t="s">
        <v>157</v>
      </c>
      <c r="D28" s="2"/>
      <c r="E28" s="9" t="s">
        <v>158</v>
      </c>
      <c r="F28" s="2" t="s">
        <v>159</v>
      </c>
      <c r="G28" s="2" t="s">
        <v>160</v>
      </c>
      <c r="H28" s="2" t="s">
        <v>161</v>
      </c>
      <c r="I28" s="4" t="s">
        <v>118</v>
      </c>
      <c r="J28" s="4" t="s">
        <v>105</v>
      </c>
      <c r="K28" s="5" t="s">
        <v>162</v>
      </c>
      <c r="L28" s="6" t="s">
        <v>163</v>
      </c>
      <c r="M28" s="2" t="s">
        <v>207</v>
      </c>
    </row>
    <row r="29" spans="1:13" ht="27.75" customHeight="1" x14ac:dyDescent="0.25">
      <c r="A29" s="2">
        <f t="shared" si="0"/>
        <v>25</v>
      </c>
      <c r="B29" s="3">
        <v>46274.578043981484</v>
      </c>
      <c r="C29" s="2" t="s">
        <v>164</v>
      </c>
      <c r="D29" s="2"/>
      <c r="E29" s="11" t="s">
        <v>165</v>
      </c>
      <c r="F29" s="2" t="s">
        <v>166</v>
      </c>
      <c r="G29" s="2" t="s">
        <v>21</v>
      </c>
      <c r="H29" s="2" t="s">
        <v>167</v>
      </c>
      <c r="I29" s="4" t="s">
        <v>118</v>
      </c>
      <c r="J29" s="4" t="s">
        <v>154</v>
      </c>
      <c r="K29" s="5" t="s">
        <v>168</v>
      </c>
      <c r="L29" s="6" t="s">
        <v>169</v>
      </c>
      <c r="M29" s="2" t="s">
        <v>201</v>
      </c>
    </row>
    <row r="30" spans="1:13" ht="27.75" customHeight="1" x14ac:dyDescent="0.25">
      <c r="A30" s="2">
        <f t="shared" si="0"/>
        <v>26</v>
      </c>
      <c r="B30" s="3">
        <v>46274.570590277777</v>
      </c>
      <c r="C30" s="2" t="s">
        <v>170</v>
      </c>
      <c r="D30" s="2"/>
      <c r="E30" s="9" t="s">
        <v>171</v>
      </c>
      <c r="F30" s="2" t="s">
        <v>172</v>
      </c>
      <c r="G30" s="2" t="s">
        <v>21</v>
      </c>
      <c r="H30" s="2" t="s">
        <v>173</v>
      </c>
      <c r="I30" s="4" t="s">
        <v>118</v>
      </c>
      <c r="J30" s="4" t="s">
        <v>38</v>
      </c>
      <c r="K30" s="5" t="s">
        <v>174</v>
      </c>
      <c r="L30" s="6" t="s">
        <v>175</v>
      </c>
      <c r="M30" s="2" t="s">
        <v>203</v>
      </c>
    </row>
    <row r="31" spans="1:13" ht="27.75" customHeight="1" x14ac:dyDescent="0.25">
      <c r="A31" s="2">
        <f t="shared" si="0"/>
        <v>27</v>
      </c>
      <c r="B31" s="3">
        <v>46274.639467592591</v>
      </c>
      <c r="C31" s="2" t="s">
        <v>176</v>
      </c>
      <c r="D31" s="2"/>
      <c r="E31" s="9" t="s">
        <v>177</v>
      </c>
      <c r="F31" s="2" t="s">
        <v>178</v>
      </c>
      <c r="G31" s="2" t="s">
        <v>21</v>
      </c>
      <c r="H31" s="2" t="s">
        <v>179</v>
      </c>
      <c r="I31" s="4" t="s">
        <v>118</v>
      </c>
      <c r="J31" s="4" t="s">
        <v>105</v>
      </c>
      <c r="K31" s="5" t="s">
        <v>180</v>
      </c>
      <c r="L31" s="6" t="s">
        <v>181</v>
      </c>
      <c r="M31" s="2" t="s">
        <v>206</v>
      </c>
    </row>
    <row r="32" spans="1:13" ht="27.75" customHeight="1" x14ac:dyDescent="0.25">
      <c r="A32" s="2">
        <f t="shared" si="0"/>
        <v>28</v>
      </c>
      <c r="B32" s="3">
        <v>46268.535208333335</v>
      </c>
      <c r="C32" s="2" t="s">
        <v>182</v>
      </c>
      <c r="D32" s="2" t="s">
        <v>28</v>
      </c>
      <c r="E32" s="9" t="s">
        <v>183</v>
      </c>
      <c r="F32" s="2" t="s">
        <v>184</v>
      </c>
      <c r="G32" s="2" t="s">
        <v>21</v>
      </c>
      <c r="H32" s="2" t="s">
        <v>185</v>
      </c>
      <c r="I32" s="4" t="s">
        <v>186</v>
      </c>
      <c r="J32" s="4" t="s">
        <v>187</v>
      </c>
      <c r="K32" s="5" t="s">
        <v>188</v>
      </c>
      <c r="L32" s="6" t="s">
        <v>189</v>
      </c>
      <c r="M32" s="2" t="s">
        <v>28</v>
      </c>
    </row>
    <row r="33" spans="1:13" ht="27.75" customHeight="1" x14ac:dyDescent="0.25">
      <c r="A33" s="2">
        <f t="shared" si="0"/>
        <v>29</v>
      </c>
      <c r="B33" s="3">
        <v>46274.597280092596</v>
      </c>
      <c r="C33" s="2" t="s">
        <v>190</v>
      </c>
      <c r="D33" s="2"/>
      <c r="E33" s="9" t="s">
        <v>191</v>
      </c>
      <c r="F33" s="2" t="s">
        <v>192</v>
      </c>
      <c r="G33" s="2" t="s">
        <v>21</v>
      </c>
      <c r="H33" s="2" t="s">
        <v>193</v>
      </c>
      <c r="I33" s="4" t="s">
        <v>49</v>
      </c>
      <c r="J33" s="4" t="s">
        <v>38</v>
      </c>
      <c r="K33" s="5" t="s">
        <v>194</v>
      </c>
      <c r="L33" s="6" t="s">
        <v>195</v>
      </c>
      <c r="M33" s="2" t="s">
        <v>203</v>
      </c>
    </row>
    <row r="34" spans="1:13" ht="27.75" customHeight="1" x14ac:dyDescent="0.25">
      <c r="A34" s="2">
        <f t="shared" si="0"/>
        <v>30</v>
      </c>
      <c r="B34" s="3">
        <v>46259.779247685183</v>
      </c>
      <c r="C34" s="2" t="s">
        <v>198</v>
      </c>
      <c r="D34" s="2" t="s">
        <v>28</v>
      </c>
      <c r="E34" s="9" t="s">
        <v>199</v>
      </c>
      <c r="F34" s="2" t="s">
        <v>196</v>
      </c>
      <c r="G34" s="2" t="s">
        <v>21</v>
      </c>
      <c r="H34" s="2" t="s">
        <v>200</v>
      </c>
      <c r="I34" s="4" t="s">
        <v>197</v>
      </c>
      <c r="J34" s="4" t="s">
        <v>24</v>
      </c>
      <c r="K34" s="5" t="s">
        <v>39</v>
      </c>
      <c r="L34" s="6" t="s">
        <v>40</v>
      </c>
      <c r="M34" s="2" t="s">
        <v>205</v>
      </c>
    </row>
    <row r="35" spans="1:13" ht="102" x14ac:dyDescent="0.25">
      <c r="A35" s="2">
        <f t="shared" si="0"/>
        <v>31</v>
      </c>
      <c r="B35" s="3">
        <v>46274.597280092596</v>
      </c>
      <c r="C35" s="2"/>
      <c r="D35" s="2"/>
      <c r="E35" s="9" t="s">
        <v>209</v>
      </c>
      <c r="F35" s="2"/>
      <c r="G35" s="2" t="s">
        <v>231</v>
      </c>
      <c r="H35" s="9" t="s">
        <v>225</v>
      </c>
      <c r="I35" s="4" t="s">
        <v>218</v>
      </c>
      <c r="J35" s="4" t="s">
        <v>219</v>
      </c>
      <c r="K35" s="5" t="s">
        <v>218</v>
      </c>
      <c r="L35" s="6" t="s">
        <v>220</v>
      </c>
      <c r="M35" s="2" t="s">
        <v>207</v>
      </c>
    </row>
    <row r="36" spans="1:13" ht="38.25" x14ac:dyDescent="0.25">
      <c r="A36" s="2">
        <f t="shared" si="0"/>
        <v>32</v>
      </c>
      <c r="B36" s="3">
        <v>46274.597280092596</v>
      </c>
      <c r="C36" s="2"/>
      <c r="D36" s="2"/>
      <c r="E36" s="9" t="s">
        <v>210</v>
      </c>
      <c r="F36" s="2"/>
      <c r="G36" s="2" t="s">
        <v>231</v>
      </c>
      <c r="H36" s="9" t="s">
        <v>226</v>
      </c>
      <c r="I36" s="4" t="s">
        <v>218</v>
      </c>
      <c r="J36" s="4" t="s">
        <v>221</v>
      </c>
      <c r="K36" s="5" t="s">
        <v>218</v>
      </c>
      <c r="L36" s="6" t="s">
        <v>222</v>
      </c>
      <c r="M36" s="2" t="s">
        <v>207</v>
      </c>
    </row>
    <row r="37" spans="1:13" ht="63.75" x14ac:dyDescent="0.25">
      <c r="A37" s="2">
        <f t="shared" si="0"/>
        <v>33</v>
      </c>
      <c r="B37" s="3">
        <v>46274.597280092596</v>
      </c>
      <c r="C37" s="2"/>
      <c r="D37" s="2"/>
      <c r="E37" s="9" t="s">
        <v>211</v>
      </c>
      <c r="F37" s="2"/>
      <c r="G37" s="2" t="s">
        <v>231</v>
      </c>
      <c r="H37" s="9" t="s">
        <v>227</v>
      </c>
      <c r="I37" s="4" t="s">
        <v>218</v>
      </c>
      <c r="J37" s="4" t="s">
        <v>221</v>
      </c>
      <c r="K37" s="5" t="s">
        <v>218</v>
      </c>
      <c r="L37" s="6" t="s">
        <v>220</v>
      </c>
      <c r="M37" s="2" t="s">
        <v>207</v>
      </c>
    </row>
    <row r="38" spans="1:13" ht="63.75" x14ac:dyDescent="0.25">
      <c r="A38" s="2">
        <f t="shared" si="0"/>
        <v>34</v>
      </c>
      <c r="B38" s="3">
        <v>46274.597280092596</v>
      </c>
      <c r="C38" s="2"/>
      <c r="D38" s="2"/>
      <c r="E38" s="9" t="s">
        <v>212</v>
      </c>
      <c r="F38" s="2"/>
      <c r="G38" s="2" t="s">
        <v>231</v>
      </c>
      <c r="H38" s="9" t="s">
        <v>227</v>
      </c>
      <c r="I38" s="4" t="s">
        <v>218</v>
      </c>
      <c r="J38" s="4" t="s">
        <v>221</v>
      </c>
      <c r="K38" s="5" t="s">
        <v>218</v>
      </c>
      <c r="L38" s="6" t="s">
        <v>220</v>
      </c>
      <c r="M38" s="2" t="s">
        <v>207</v>
      </c>
    </row>
    <row r="39" spans="1:13" ht="63.75" x14ac:dyDescent="0.25">
      <c r="A39" s="2">
        <f t="shared" si="0"/>
        <v>35</v>
      </c>
      <c r="B39" s="3">
        <v>46274.597280092596</v>
      </c>
      <c r="C39" s="2"/>
      <c r="D39" s="2"/>
      <c r="E39" s="9" t="s">
        <v>213</v>
      </c>
      <c r="F39" s="2"/>
      <c r="G39" s="2" t="s">
        <v>231</v>
      </c>
      <c r="H39" s="9" t="s">
        <v>227</v>
      </c>
      <c r="I39" s="4" t="s">
        <v>218</v>
      </c>
      <c r="J39" s="4" t="s">
        <v>219</v>
      </c>
      <c r="K39" s="5" t="s">
        <v>218</v>
      </c>
      <c r="L39" s="6" t="s">
        <v>220</v>
      </c>
      <c r="M39" s="2" t="s">
        <v>201</v>
      </c>
    </row>
    <row r="40" spans="1:13" ht="38.25" x14ac:dyDescent="0.25">
      <c r="A40" s="2">
        <f t="shared" si="0"/>
        <v>36</v>
      </c>
      <c r="B40" s="3">
        <v>46274.597280092596</v>
      </c>
      <c r="C40" s="2"/>
      <c r="D40" s="2"/>
      <c r="E40" s="9" t="s">
        <v>214</v>
      </c>
      <c r="F40" s="2"/>
      <c r="G40" s="2" t="s">
        <v>231</v>
      </c>
      <c r="H40" s="9" t="s">
        <v>228</v>
      </c>
      <c r="I40" s="4" t="s">
        <v>218</v>
      </c>
      <c r="J40" s="4" t="s">
        <v>219</v>
      </c>
      <c r="K40" s="5" t="s">
        <v>218</v>
      </c>
      <c r="L40" s="6" t="s">
        <v>223</v>
      </c>
      <c r="M40" s="2" t="s">
        <v>207</v>
      </c>
    </row>
    <row r="41" spans="1:13" ht="25.5" x14ac:dyDescent="0.25">
      <c r="A41" s="2">
        <f t="shared" si="0"/>
        <v>37</v>
      </c>
      <c r="B41" s="3">
        <v>46274.597280092596</v>
      </c>
      <c r="C41" s="2"/>
      <c r="D41" s="2"/>
      <c r="E41" s="9" t="s">
        <v>215</v>
      </c>
      <c r="F41" s="2"/>
      <c r="G41" s="2" t="s">
        <v>231</v>
      </c>
      <c r="H41" s="9" t="s">
        <v>229</v>
      </c>
      <c r="I41" s="4" t="s">
        <v>218</v>
      </c>
      <c r="J41" s="4" t="s">
        <v>221</v>
      </c>
      <c r="K41" s="5" t="s">
        <v>218</v>
      </c>
      <c r="L41" s="6" t="s">
        <v>223</v>
      </c>
      <c r="M41" s="2" t="s">
        <v>205</v>
      </c>
    </row>
    <row r="42" spans="1:13" ht="63.75" x14ac:dyDescent="0.25">
      <c r="A42" s="2">
        <f t="shared" si="0"/>
        <v>38</v>
      </c>
      <c r="B42" s="3">
        <v>46274.597280092596</v>
      </c>
      <c r="C42" s="2"/>
      <c r="D42" s="2"/>
      <c r="E42" s="9" t="s">
        <v>216</v>
      </c>
      <c r="F42" s="2"/>
      <c r="G42" s="2" t="s">
        <v>231</v>
      </c>
      <c r="H42" s="9" t="s">
        <v>227</v>
      </c>
      <c r="I42" s="4" t="s">
        <v>218</v>
      </c>
      <c r="J42" s="4" t="s">
        <v>219</v>
      </c>
      <c r="K42" s="5" t="s">
        <v>218</v>
      </c>
      <c r="L42" s="6" t="s">
        <v>223</v>
      </c>
      <c r="M42" s="2" t="s">
        <v>207</v>
      </c>
    </row>
    <row r="43" spans="1:13" ht="38.25" x14ac:dyDescent="0.25">
      <c r="A43" s="2">
        <f t="shared" si="0"/>
        <v>39</v>
      </c>
      <c r="B43" s="3">
        <v>46274.597280092596</v>
      </c>
      <c r="C43" s="2"/>
      <c r="D43" s="2"/>
      <c r="E43" s="9" t="s">
        <v>217</v>
      </c>
      <c r="F43" s="2"/>
      <c r="G43" s="2" t="s">
        <v>231</v>
      </c>
      <c r="H43" s="9" t="s">
        <v>230</v>
      </c>
      <c r="I43" s="4" t="s">
        <v>218</v>
      </c>
      <c r="J43" s="4" t="s">
        <v>224</v>
      </c>
      <c r="K43" s="5" t="s">
        <v>218</v>
      </c>
      <c r="L43" s="6" t="s">
        <v>220</v>
      </c>
      <c r="M43" s="2" t="s">
        <v>201</v>
      </c>
    </row>
    <row r="44" spans="1:13" ht="18" x14ac:dyDescent="0.25">
      <c r="A44" s="2"/>
      <c r="B44" s="3"/>
      <c r="C44" s="2"/>
      <c r="D44" s="2"/>
      <c r="E44" s="9"/>
      <c r="F44" s="2"/>
      <c r="G44" s="2"/>
      <c r="H44" s="2"/>
      <c r="I44" s="4"/>
      <c r="J44" s="4"/>
      <c r="K44" s="5"/>
      <c r="L44" s="6"/>
      <c r="M44" s="15" t="s">
        <v>232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2026-09-09T11:29:00Z</dcterms:created>
  <dcterms:modified xsi:type="dcterms:W3CDTF">2026-09-09T12:50:14Z</dcterms:modified>
</cp:coreProperties>
</file>
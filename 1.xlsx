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NEXT DAY SHUTDOWN\"/>
    </mc:Choice>
  </mc:AlternateContent>
  <bookViews>
    <workbookView xWindow="-120" yWindow="-120" windowWidth="21840" windowHeight="13140"/>
  </bookViews>
  <sheets>
    <sheet name="Sheet0" sheetId="1" r:id="rId1"/>
  </sheets>
  <definedNames>
    <definedName name="__bookmark_1">Sheet0!$A$1:$M$30</definedName>
    <definedName name="_xlnm.Print_Area" localSheetId="0">Sheet0!$A$1:$M$29</definedName>
    <definedName name="_xlnm.Print_Titles" localSheetId="0">Sheet0!$4:$4</definedName>
  </definedNames>
  <calcPr calcId="162913"/>
</workbook>
</file>

<file path=xl/calcChain.xml><?xml version="1.0" encoding="utf-8"?>
<calcChain xmlns="http://schemas.openxmlformats.org/spreadsheetml/2006/main">
  <c r="A6" i="1" l="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alcChain>
</file>

<file path=xl/sharedStrings.xml><?xml version="1.0" encoding="utf-8"?>
<sst xmlns="http://schemas.openxmlformats.org/spreadsheetml/2006/main" count="238" uniqueCount="155">
  <si>
    <t>STATE LOAD DESPATCH CENTRE 
Madhya Pradesh Power Transmission Company Limited, Jabalpur</t>
  </si>
  <si>
    <t>From Date:</t>
  </si>
  <si>
    <t>Control Area :</t>
  </si>
  <si>
    <t>ALL</t>
  </si>
  <si>
    <t xml:space="preserve">Circle :  </t>
  </si>
  <si>
    <t>S.NO.</t>
  </si>
  <si>
    <t>APPLICATION DATE</t>
  </si>
  <si>
    <t>REQ_ID</t>
  </si>
  <si>
    <t>REQ TYPE</t>
  </si>
  <si>
    <t>ELEMENT</t>
  </si>
  <si>
    <t>SUBSTATION</t>
  </si>
  <si>
    <t>CATEGORY TYPE</t>
  </si>
  <si>
    <t>REASON FOR SHUT DOWN</t>
  </si>
  <si>
    <t>PROPOSED START DATE &amp; TIME</t>
  </si>
  <si>
    <t>PROPOSED STOP DATE &amp; TIME</t>
  </si>
  <si>
    <t>Availing Officer Name &amp; Mob. No.</t>
  </si>
  <si>
    <t>REMARK</t>
  </si>
  <si>
    <t>MR2609/0022</t>
  </si>
  <si>
    <t>220KV_160MVA Transformer No. 1, CGL</t>
  </si>
  <si>
    <t>220KV_BHOPAL</t>
  </si>
  <si>
    <t>NON-OCCM-WR</t>
  </si>
  <si>
    <t>to attend hot point on Line Isolator Y-phase CT si</t>
  </si>
  <si>
    <t>03-09-2026 11:00:00</t>
  </si>
  <si>
    <t>03-09-2026 13:00:00</t>
  </si>
  <si>
    <t>A. K. Jain</t>
  </si>
  <si>
    <t>9425806899</t>
  </si>
  <si>
    <t>MR2609/0023</t>
  </si>
  <si>
    <t>132KV_132 KV Bhopal â¿¿ Lalghati</t>
  </si>
  <si>
    <t>to attend hot point on Line Isolator Y phase pad c</t>
  </si>
  <si>
    <t>03-09-2026 09:00:00</t>
  </si>
  <si>
    <t>MR2609/0024</t>
  </si>
  <si>
    <t>Continuous</t>
  </si>
  <si>
    <t>220KV_220 KV Chhatarpur-Tikamgarh line</t>
  </si>
  <si>
    <t>220KV_CHATARPUR</t>
  </si>
  <si>
    <t>NON-OCCM-MP</t>
  </si>
  <si>
    <t>installation of ERS and tower erection</t>
  </si>
  <si>
    <t>02-09-2026 18:00:00</t>
  </si>
  <si>
    <t>07-09-2026 18:00:00</t>
  </si>
  <si>
    <t>PANKAJ YADAV</t>
  </si>
  <si>
    <t>9406713332</t>
  </si>
  <si>
    <t>MR2608/0318</t>
  </si>
  <si>
    <t>Daily</t>
  </si>
  <si>
    <t>220KV_220KV Daloda Mandsaur Circuit Ist</t>
  </si>
  <si>
    <t>220KV_DALODA</t>
  </si>
  <si>
    <t>Hotline shutdown for crossing work</t>
  </si>
  <si>
    <t>27-08-2026 08:00:00</t>
  </si>
  <si>
    <t>05-09-2026 18:00:00</t>
  </si>
  <si>
    <t>Gaurav Goyal</t>
  </si>
  <si>
    <t>9425805120</t>
  </si>
  <si>
    <t>MR2608/0319</t>
  </si>
  <si>
    <t>220KV_220KV Daloda Mandsaur Circuit IInd</t>
  </si>
  <si>
    <t>MR2609/0029</t>
  </si>
  <si>
    <t>132KV_132kV Gwalior(2) - Chinore Line</t>
  </si>
  <si>
    <t>220KV_GWALIOR-II</t>
  </si>
  <si>
    <t>Line Maintenance work</t>
  </si>
  <si>
    <t>03-09-2026 17:00:00</t>
  </si>
  <si>
    <t>Pankaj Kumar</t>
  </si>
  <si>
    <t>9425805317</t>
  </si>
  <si>
    <t>MR2609/0019</t>
  </si>
  <si>
    <t>132KV_132KV JOBAT FEEDER</t>
  </si>
  <si>
    <t>220KV_KUKSHI</t>
  </si>
  <si>
    <t>HOT POINT ATTEND ON 132KV MAIN BUS</t>
  </si>
  <si>
    <t>03-09-2026 05:00:00</t>
  </si>
  <si>
    <t>03-09-2026 07:30:00</t>
  </si>
  <si>
    <t>KAILSH MOURYA</t>
  </si>
  <si>
    <t>9752348190</t>
  </si>
  <si>
    <t>MR2609/0020</t>
  </si>
  <si>
    <t>132KV_132KV NVDA FEEDER</t>
  </si>
  <si>
    <t>MR2609/0016</t>
  </si>
  <si>
    <t>132KV_132KV MAIN BUS SECTION-II</t>
  </si>
  <si>
    <t>HOT POINT ATTEND ON TIE ISOLATOR</t>
  </si>
  <si>
    <t>KAILASH MOURYA</t>
  </si>
  <si>
    <t>MR2609/0017</t>
  </si>
  <si>
    <t>132KV_132KV INCOMING-I (160MVA BBL)</t>
  </si>
  <si>
    <t>MR2609/0018</t>
  </si>
  <si>
    <t>132KV_132KV INCOMING-II (160MVA BBL)</t>
  </si>
  <si>
    <t>MR2609/0025</t>
  </si>
  <si>
    <t>220KV_220KV MANDSAUR-NEEMUCH-II</t>
  </si>
  <si>
    <t>400KV_MANDSOUR4</t>
  </si>
  <si>
    <t>OCCM-MP</t>
  </si>
  <si>
    <t>for 220KV Circuit Breaker B Phase pole SF6 gas fil</t>
  </si>
  <si>
    <t>03-09-2026 10:00:00</t>
  </si>
  <si>
    <t>03-09-2026 14:00:00</t>
  </si>
  <si>
    <t>KAILASH PAWAR</t>
  </si>
  <si>
    <t>9907702072</t>
  </si>
  <si>
    <t>MR2609/0021</t>
  </si>
  <si>
    <t>132KV_40MVA XMER ABB</t>
  </si>
  <si>
    <t>132KV_RAMPUR BAGHELAN</t>
  </si>
  <si>
    <t>For Hot point attending work</t>
  </si>
  <si>
    <t>03-09-2026 12:00:00</t>
  </si>
  <si>
    <t>Kanishka Singh</t>
  </si>
  <si>
    <t>9425804656</t>
  </si>
  <si>
    <t>220KV_SHAHDOL</t>
  </si>
  <si>
    <t>Dharmendra Dwivedi</t>
  </si>
  <si>
    <t>9425805311</t>
  </si>
  <si>
    <t>MR2609/0009</t>
  </si>
  <si>
    <t>220KV_220 KV ATPS SHAHDOL LINE</t>
  </si>
  <si>
    <t>Stringing &amp; De-Stringing Work</t>
  </si>
  <si>
    <t>MR2609/0030</t>
  </si>
  <si>
    <t>220KV_160 MVA transformer no 1st EMCO</t>
  </si>
  <si>
    <t>220KV_SHIVPURI</t>
  </si>
  <si>
    <t>Dherendra chorsiya</t>
  </si>
  <si>
    <t>7000491070</t>
  </si>
  <si>
    <t>MR2609/0008</t>
  </si>
  <si>
    <t>220KV_220 KV ATPS SIDHI</t>
  </si>
  <si>
    <t>220KV_SIDHI</t>
  </si>
  <si>
    <t>Stringing &amp; De-Stringing work</t>
  </si>
  <si>
    <t>MR2609/0013</t>
  </si>
  <si>
    <t>132KV_132 KV Mahalgaon FB</t>
  </si>
  <si>
    <t>132KV_TIGRA</t>
  </si>
  <si>
    <t>Uprating work</t>
  </si>
  <si>
    <t>03-09-2026 19:00:00</t>
  </si>
  <si>
    <t>Er. Navneet Kumar Payasi</t>
  </si>
  <si>
    <t>9425806842</t>
  </si>
  <si>
    <t>132KV_63MVA BBL X-Mer</t>
  </si>
  <si>
    <t>132KV_VINOBA BHAVE</t>
  </si>
  <si>
    <t>Kite thread removing work</t>
  </si>
  <si>
    <t>03-09-2026 08:00:00</t>
  </si>
  <si>
    <t>A.K.Binghade</t>
  </si>
  <si>
    <t>7509148945</t>
  </si>
  <si>
    <t>MR2609/0028</t>
  </si>
  <si>
    <t>132KV_WAIDHAN</t>
  </si>
  <si>
    <t>01-09-2026 08:00:00</t>
  </si>
  <si>
    <t>15-09-2026 18:00:00</t>
  </si>
  <si>
    <t>DHARMENDRA DWIVEDI</t>
  </si>
  <si>
    <t>MR2608/0297</t>
  </si>
  <si>
    <t>132KV_132KV FEEDER BAY AT WAIDHAN FOR VINDHYANCHAL 1</t>
  </si>
  <si>
    <t>REPLACEMENT OF EXIST. ACSR CONDUCTOR &amp; EQUIPEMENT</t>
  </si>
  <si>
    <t>ok, through sub ld</t>
  </si>
  <si>
    <t>sub ld</t>
  </si>
  <si>
    <t>ok, line to be in service</t>
  </si>
  <si>
    <t>deferred by site</t>
  </si>
  <si>
    <t>CB replacement work</t>
  </si>
  <si>
    <t>ok, through sub ld, please get the reason why x-mer will be charged through TBC</t>
  </si>
  <si>
    <t>ok</t>
  </si>
  <si>
    <t>ok, FTC of line and bays to be completed before final charging</t>
  </si>
  <si>
    <t>OCC</t>
  </si>
  <si>
    <t>NHPTL-TESTING-@-NHPTL - 400KV at BINA-NHPTL - 400KV</t>
  </si>
  <si>
    <t>SC TESTING</t>
  </si>
  <si>
    <t>TESTING COMPLETED
Bypass arrangement details: 1)JB Bina (400kV) to POWER GRID Bina diverted to SATNA PG. 2)JP Bina (400kV) to MPPTCL Bina diverted to Bhopal(MP).  Bypass arrangement may be done during low load hours(10 Hrs to 11 Hrs) as suggested by SLDC MP. SLDC MP/WR2/NLDC to be informed.</t>
  </si>
  <si>
    <t>03-09-2026 17:59:00</t>
  </si>
  <si>
    <t>220KV-AJAYGARH-SATNA-1</t>
  </si>
  <si>
    <t>220KV-KHANDWA-CHHEGAON-2</t>
  </si>
  <si>
    <t>132KV-VSTPS-WAIDHAN-1</t>
  </si>
  <si>
    <t xml:space="preserve">FOR REPLACEMENT OF SINGLE FITTING HARDWARE INTO DOUBLE FITTING HARDWARE AT VARIOUS ROAD CROSSING LOCATIONS </t>
  </si>
  <si>
    <t>FOR LINE MAINTENANCE WORK I.E. CLEANING OF DISC INSULATORS DURING LINE PATROLLING, REPLACEMENT OF FLASHOVERED DISC INSULATORS, TREE BRANCH CUTTING ETC AT VARIOUS TOWER LOCATIONS</t>
  </si>
  <si>
    <t>FOR REPLACEMENT OF EXISTING CONDUCTOR TO HTLS CONDUCTOR WORK</t>
  </si>
  <si>
    <t>REAL TIME
Ok. All other lines at 220kV AJAYGARH/SATNA to be in service.Load to be managed by SLDC MP in case of any contingency.</t>
  </si>
  <si>
    <t>REAL TIME
ckt-1 to be in service. Load to be managed by SLDC MP. WR2 to be informed</t>
  </si>
  <si>
    <t>REAL TIME
Ckt-2 to be in service. Load to be managed by SLDC MP.</t>
  </si>
  <si>
    <t>03-09-2026 18::00</t>
  </si>
  <si>
    <t>400KV/220KV JABALPUR-ICT-1</t>
  </si>
  <si>
    <t>FOR BAY MAINTENANCE &amp; TESTING WORK AT SUBSTASTION, REPLACEMENT OF DAMAGED CLAMPS/JUMPERS ETC.</t>
  </si>
  <si>
    <t>REAL TIME
ICT-2,3 to be in service with complete dia. WR2 to be informed. Load to be managed by SLDC MP</t>
  </si>
  <si>
    <t>02-09-2026 09:00:00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</si>
</sst>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1010809]dd\-mm\-yyyy"/>
    <numFmt numFmtId="165" formatCode="[$-1010809]dd/mm/yyyy\ hh:mm"/>
  </numFmts>
  <fonts count="9">
    <font>
      <sz val="11"/>
      <color indexed="8"/>
      <name val="Calibri"/>
      <family val="2"/>
      <scheme val="minor"/>
    </font>
    <font>
      <b/>
      <sz val="10"/>
      <color rgb="FF000000"/>
      <name val="Arial"/>
    </font>
    <font>
      <b/>
      <sz val="12"/>
      <color rgb="FF000000"/>
      <name val="Arial"/>
    </font>
    <font>
      <sz val="11"/>
      <name val="Calibri"/>
    </font>
    <font>
      <sz val="10"/>
      <color rgb="FF000000"/>
      <name val="Arial"/>
    </font>
    <font>
      <b/>
      <sz val="14"/>
      <color rgb="FF000000"/>
      <name val="Arial"/>
      <family val="2"/>
    </font>
    <font>
      <sz val="11"/>
      <name val="Calibri"/>
      <family val="2"/>
      <scheme val="minor"/>
    </font>
    <font>
      <sz val="10"/>
      <color rgb="FF000000"/>
      <name val="Arial"/>
      <family val="2"/>
    </font>
    <font>
      <sz val="10"/>
      <name val="Calibri"/>
      <family val="2"/>
      <scheme val="minor"/>
    </font>
  </fonts>
  <fills count="5">
    <fill>
      <patternFill patternType="none"/>
    </fill>
    <fill>
      <patternFill patternType="gray125"/>
    </fill>
    <fill>
      <patternFill patternType="solid">
        <fgColor rgb="FFFFFFFF"/>
      </patternFill>
    </fill>
    <fill>
      <patternFill patternType="solid">
        <fgColor rgb="FFFFFF00"/>
        <bgColor indexed="64"/>
      </patternFill>
    </fill>
    <fill>
      <patternFill patternType="solid">
        <fgColor rgb="FFFFFF00"/>
        <bgColor rgb="FF000000"/>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
    <xf numFmtId="0" fontId="0" fillId="0" borderId="0" xfId="0"/>
    <xf numFmtId="0" fontId="1" fillId="2" borderId="1" xfId="0" applyFont="1" applyFill="1" applyBorder="1" applyAlignment="1">
      <alignment horizontal="center" vertical="center"/>
    </xf>
    <xf numFmtId="164" fontId="1" fillId="2" borderId="1" xfId="0" applyNumberFormat="1" applyFont="1" applyFill="1" applyBorder="1" applyAlignment="1">
      <alignment horizontal="center" vertical="center"/>
    </xf>
    <xf numFmtId="0" fontId="1" fillId="0" borderId="1" xfId="0" applyFont="1" applyBorder="1" applyAlignment="1">
      <alignment horizontal="center" vertical="center"/>
    </xf>
    <xf numFmtId="0" fontId="4" fillId="0" borderId="1" xfId="0" applyFont="1" applyBorder="1" applyAlignment="1">
      <alignment horizontal="center" vertical="center"/>
    </xf>
    <xf numFmtId="164" fontId="4" fillId="0" borderId="1" xfId="0" applyNumberFormat="1" applyFont="1" applyBorder="1" applyAlignment="1">
      <alignment horizontal="center" vertical="center"/>
    </xf>
    <xf numFmtId="165" fontId="4" fillId="0" borderId="1" xfId="0" applyNumberFormat="1" applyFont="1" applyBorder="1" applyAlignment="1">
      <alignment horizontal="center" vertical="center"/>
    </xf>
    <xf numFmtId="0" fontId="4" fillId="0" borderId="4" xfId="0" applyFont="1" applyBorder="1" applyAlignment="1">
      <alignment horizontal="center" vertical="center"/>
    </xf>
    <xf numFmtId="0" fontId="4" fillId="0" borderId="3" xfId="0" applyFont="1" applyBorder="1" applyAlignment="1">
      <alignment horizontal="center" vertical="center"/>
    </xf>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Alignment="1">
      <alignment wrapText="1"/>
    </xf>
    <xf numFmtId="164" fontId="5" fillId="2" borderId="1" xfId="0" applyNumberFormat="1" applyFont="1" applyFill="1" applyBorder="1" applyAlignment="1">
      <alignment horizontal="center" vertical="center"/>
    </xf>
    <xf numFmtId="0" fontId="6" fillId="4" borderId="5" xfId="0" applyFont="1" applyFill="1" applyBorder="1" applyAlignment="1">
      <alignment horizontal="left" vertical="center" wrapText="1"/>
    </xf>
    <xf numFmtId="0" fontId="7" fillId="0" borderId="1" xfId="0" quotePrefix="1" applyFont="1" applyBorder="1" applyAlignment="1">
      <alignment horizontal="center" vertical="center" wrapText="1"/>
    </xf>
    <xf numFmtId="0" fontId="6" fillId="3" borderId="5" xfId="0" applyFont="1" applyFill="1" applyBorder="1" applyAlignment="1">
      <alignment horizontal="center" vertical="center" wrapText="1"/>
    </xf>
    <xf numFmtId="0" fontId="8" fillId="3" borderId="5" xfId="0" applyFont="1" applyFill="1" applyBorder="1" applyAlignment="1">
      <alignment horizontal="center" vertical="center" wrapText="1"/>
    </xf>
    <xf numFmtId="0" fontId="6" fillId="3" borderId="5"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1"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605333</xdr:colOff>
      <xdr:row>1</xdr:row>
      <xdr:rowOff>3335</xdr:rowOff>
    </xdr:to>
    <xdr:pic>
      <xdr:nvPicPr>
        <xdr:cNvPr id="2" name="Picture 1"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tabSelected="1" workbookViewId="0">
      <selection activeCell="E7" sqref="E7"/>
    </sheetView>
  </sheetViews>
  <sheetFormatPr defaultRowHeight="15"/>
  <cols>
    <col min="2" max="2" width="11.140625" customWidth="1"/>
    <col min="3" max="3" width="8.140625" customWidth="1"/>
    <col min="4" max="4" width="4.42578125" customWidth="1"/>
    <col min="5" max="5" width="28.140625" customWidth="1"/>
    <col min="6" max="6" width="19" customWidth="1"/>
    <col min="7" max="7" width="10.140625" customWidth="1"/>
    <col min="8" max="8" width="27.42578125" customWidth="1"/>
    <col min="9" max="9" width="11.7109375" customWidth="1"/>
    <col min="10" max="10" width="11.140625" customWidth="1"/>
    <col min="11" max="11" width="7" customWidth="1"/>
    <col min="12" max="12" width="7.28515625" customWidth="1"/>
    <col min="13" max="13" width="42.42578125" style="12" customWidth="1"/>
  </cols>
  <sheetData>
    <row r="1" spans="1:13" ht="43.7" customHeight="1">
      <c r="A1" s="1"/>
      <c r="B1" s="19" t="s">
        <v>0</v>
      </c>
      <c r="C1" s="20"/>
      <c r="D1" s="20"/>
      <c r="E1" s="20"/>
      <c r="F1" s="20"/>
      <c r="G1" s="20"/>
      <c r="H1" s="20"/>
      <c r="I1" s="20"/>
      <c r="J1" s="20"/>
      <c r="K1" s="20"/>
      <c r="L1" s="20"/>
      <c r="M1" s="21"/>
    </row>
    <row r="2" spans="1:13" ht="42" customHeight="1">
      <c r="A2" s="9" t="s">
        <v>1</v>
      </c>
      <c r="B2" s="2">
        <v>46268</v>
      </c>
      <c r="C2" s="1"/>
      <c r="D2" s="1"/>
      <c r="E2" s="13">
        <v>46268</v>
      </c>
      <c r="F2" s="1"/>
      <c r="G2" s="1"/>
      <c r="H2" s="1"/>
      <c r="I2" s="1"/>
      <c r="J2" s="1"/>
      <c r="K2" s="1"/>
      <c r="L2" s="1"/>
      <c r="M2" s="9"/>
    </row>
    <row r="3" spans="1:13" ht="42" customHeight="1">
      <c r="A3" s="3" t="s">
        <v>2</v>
      </c>
      <c r="B3" s="3" t="s">
        <v>3</v>
      </c>
      <c r="C3" s="3" t="s">
        <v>4</v>
      </c>
      <c r="D3" s="3" t="s">
        <v>3</v>
      </c>
      <c r="E3" s="1"/>
      <c r="F3" s="1"/>
      <c r="G3" s="1"/>
      <c r="H3" s="1"/>
      <c r="I3" s="1"/>
      <c r="J3" s="1"/>
      <c r="K3" s="1"/>
      <c r="L3" s="1"/>
      <c r="M3" s="9"/>
    </row>
    <row r="4" spans="1:13" ht="42" customHeight="1">
      <c r="A4" s="10" t="s">
        <v>5</v>
      </c>
      <c r="B4" s="3" t="s">
        <v>6</v>
      </c>
      <c r="C4" s="3" t="s">
        <v>7</v>
      </c>
      <c r="D4" s="3" t="s">
        <v>8</v>
      </c>
      <c r="E4" s="3" t="s">
        <v>9</v>
      </c>
      <c r="F4" s="3" t="s">
        <v>10</v>
      </c>
      <c r="G4" s="3" t="s">
        <v>11</v>
      </c>
      <c r="H4" s="3" t="s">
        <v>12</v>
      </c>
      <c r="I4" s="3" t="s">
        <v>13</v>
      </c>
      <c r="J4" s="3" t="s">
        <v>14</v>
      </c>
      <c r="K4" s="22" t="s">
        <v>15</v>
      </c>
      <c r="L4" s="21"/>
      <c r="M4" s="10" t="s">
        <v>16</v>
      </c>
    </row>
    <row r="5" spans="1:13" ht="35.25" customHeight="1">
      <c r="A5" s="10">
        <v>1</v>
      </c>
      <c r="B5" s="5">
        <v>46267.638321759259</v>
      </c>
      <c r="C5" s="10" t="s">
        <v>17</v>
      </c>
      <c r="D5" s="10"/>
      <c r="E5" s="10" t="s">
        <v>18</v>
      </c>
      <c r="F5" s="10" t="s">
        <v>19</v>
      </c>
      <c r="G5" s="10" t="s">
        <v>20</v>
      </c>
      <c r="H5" s="10" t="s">
        <v>21</v>
      </c>
      <c r="I5" s="10" t="s">
        <v>22</v>
      </c>
      <c r="J5" s="10" t="s">
        <v>23</v>
      </c>
      <c r="K5" s="10" t="s">
        <v>24</v>
      </c>
      <c r="L5" s="10" t="s">
        <v>25</v>
      </c>
      <c r="M5" s="10" t="s">
        <v>128</v>
      </c>
    </row>
    <row r="6" spans="1:13" ht="35.25" customHeight="1">
      <c r="A6" s="10">
        <f>A5+1</f>
        <v>2</v>
      </c>
      <c r="B6" s="5">
        <v>46267.641759259262</v>
      </c>
      <c r="C6" s="10" t="s">
        <v>26</v>
      </c>
      <c r="D6" s="10"/>
      <c r="E6" s="10" t="s">
        <v>27</v>
      </c>
      <c r="F6" s="10" t="s">
        <v>19</v>
      </c>
      <c r="G6" s="10" t="s">
        <v>20</v>
      </c>
      <c r="H6" s="10" t="s">
        <v>28</v>
      </c>
      <c r="I6" s="10" t="s">
        <v>29</v>
      </c>
      <c r="J6" s="10" t="s">
        <v>22</v>
      </c>
      <c r="K6" s="10" t="s">
        <v>24</v>
      </c>
      <c r="L6" s="10" t="s">
        <v>25</v>
      </c>
      <c r="M6" s="10" t="s">
        <v>129</v>
      </c>
    </row>
    <row r="7" spans="1:13" ht="35.25" customHeight="1">
      <c r="A7" s="10">
        <f t="shared" ref="A7:A21" si="0">A6+1</f>
        <v>3</v>
      </c>
      <c r="B7" s="5">
        <v>46267.644328703704</v>
      </c>
      <c r="C7" s="10" t="s">
        <v>30</v>
      </c>
      <c r="D7" s="10" t="s">
        <v>31</v>
      </c>
      <c r="E7" s="10" t="s">
        <v>32</v>
      </c>
      <c r="F7" s="10" t="s">
        <v>33</v>
      </c>
      <c r="G7" s="10" t="s">
        <v>34</v>
      </c>
      <c r="H7" s="10" t="s">
        <v>35</v>
      </c>
      <c r="I7" s="10" t="s">
        <v>36</v>
      </c>
      <c r="J7" s="10" t="s">
        <v>37</v>
      </c>
      <c r="K7" s="10" t="s">
        <v>38</v>
      </c>
      <c r="L7" s="10" t="s">
        <v>39</v>
      </c>
      <c r="M7" s="10" t="s">
        <v>31</v>
      </c>
    </row>
    <row r="8" spans="1:13" ht="35.25" customHeight="1">
      <c r="A8" s="10">
        <f t="shared" si="0"/>
        <v>4</v>
      </c>
      <c r="B8" s="5">
        <v>46260.635046296295</v>
      </c>
      <c r="C8" s="10" t="s">
        <v>40</v>
      </c>
      <c r="D8" s="10" t="s">
        <v>41</v>
      </c>
      <c r="E8" s="10" t="s">
        <v>42</v>
      </c>
      <c r="F8" s="10" t="s">
        <v>43</v>
      </c>
      <c r="G8" s="10" t="s">
        <v>34</v>
      </c>
      <c r="H8" s="10" t="s">
        <v>44</v>
      </c>
      <c r="I8" s="10" t="s">
        <v>45</v>
      </c>
      <c r="J8" s="10" t="s">
        <v>46</v>
      </c>
      <c r="K8" s="10" t="s">
        <v>47</v>
      </c>
      <c r="L8" s="10" t="s">
        <v>48</v>
      </c>
      <c r="M8" s="10" t="s">
        <v>130</v>
      </c>
    </row>
    <row r="9" spans="1:13" ht="35.25" customHeight="1">
      <c r="A9" s="10">
        <f t="shared" si="0"/>
        <v>5</v>
      </c>
      <c r="B9" s="5">
        <v>46260.636493055557</v>
      </c>
      <c r="C9" s="10" t="s">
        <v>49</v>
      </c>
      <c r="D9" s="10" t="s">
        <v>41</v>
      </c>
      <c r="E9" s="10" t="s">
        <v>50</v>
      </c>
      <c r="F9" s="10" t="s">
        <v>43</v>
      </c>
      <c r="G9" s="10" t="s">
        <v>34</v>
      </c>
      <c r="H9" s="10" t="s">
        <v>44</v>
      </c>
      <c r="I9" s="10" t="s">
        <v>45</v>
      </c>
      <c r="J9" s="10" t="s">
        <v>46</v>
      </c>
      <c r="K9" s="10" t="s">
        <v>47</v>
      </c>
      <c r="L9" s="10" t="s">
        <v>48</v>
      </c>
      <c r="M9" s="10" t="s">
        <v>130</v>
      </c>
    </row>
    <row r="10" spans="1:13" ht="35.25" customHeight="1">
      <c r="A10" s="10">
        <f t="shared" si="0"/>
        <v>6</v>
      </c>
      <c r="B10" s="5">
        <v>46267.688796296294</v>
      </c>
      <c r="C10" s="10" t="s">
        <v>51</v>
      </c>
      <c r="D10" s="10"/>
      <c r="E10" s="10" t="s">
        <v>52</v>
      </c>
      <c r="F10" s="10" t="s">
        <v>53</v>
      </c>
      <c r="G10" s="10" t="s">
        <v>34</v>
      </c>
      <c r="H10" s="10" t="s">
        <v>54</v>
      </c>
      <c r="I10" s="10" t="s">
        <v>22</v>
      </c>
      <c r="J10" s="10" t="s">
        <v>55</v>
      </c>
      <c r="K10" s="10" t="s">
        <v>56</v>
      </c>
      <c r="L10" s="10" t="s">
        <v>57</v>
      </c>
      <c r="M10" s="10" t="s">
        <v>129</v>
      </c>
    </row>
    <row r="11" spans="1:13" ht="35.25" customHeight="1">
      <c r="A11" s="10">
        <f t="shared" si="0"/>
        <v>7</v>
      </c>
      <c r="B11" s="5">
        <v>46267.531793981485</v>
      </c>
      <c r="C11" s="10" t="s">
        <v>58</v>
      </c>
      <c r="D11" s="10"/>
      <c r="E11" s="10" t="s">
        <v>59</v>
      </c>
      <c r="F11" s="10" t="s">
        <v>60</v>
      </c>
      <c r="G11" s="10" t="s">
        <v>34</v>
      </c>
      <c r="H11" s="10" t="s">
        <v>61</v>
      </c>
      <c r="I11" s="10" t="s">
        <v>62</v>
      </c>
      <c r="J11" s="10" t="s">
        <v>63</v>
      </c>
      <c r="K11" s="10" t="s">
        <v>64</v>
      </c>
      <c r="L11" s="10" t="s">
        <v>65</v>
      </c>
      <c r="M11" s="10" t="s">
        <v>129</v>
      </c>
    </row>
    <row r="12" spans="1:13" ht="35.25" customHeight="1">
      <c r="A12" s="10">
        <f t="shared" si="0"/>
        <v>8</v>
      </c>
      <c r="B12" s="5">
        <v>46267.533101851855</v>
      </c>
      <c r="C12" s="10" t="s">
        <v>66</v>
      </c>
      <c r="D12" s="10"/>
      <c r="E12" s="10" t="s">
        <v>67</v>
      </c>
      <c r="F12" s="10" t="s">
        <v>60</v>
      </c>
      <c r="G12" s="10" t="s">
        <v>34</v>
      </c>
      <c r="H12" s="10" t="s">
        <v>61</v>
      </c>
      <c r="I12" s="10" t="s">
        <v>62</v>
      </c>
      <c r="J12" s="10" t="s">
        <v>63</v>
      </c>
      <c r="K12" s="10" t="s">
        <v>64</v>
      </c>
      <c r="L12" s="10" t="s">
        <v>65</v>
      </c>
      <c r="M12" s="10" t="s">
        <v>129</v>
      </c>
    </row>
    <row r="13" spans="1:13" ht="35.25" customHeight="1">
      <c r="A13" s="10">
        <f t="shared" si="0"/>
        <v>9</v>
      </c>
      <c r="B13" s="5">
        <v>46267.527939814812</v>
      </c>
      <c r="C13" s="10" t="s">
        <v>68</v>
      </c>
      <c r="D13" s="10"/>
      <c r="E13" s="10" t="s">
        <v>69</v>
      </c>
      <c r="F13" s="10" t="s">
        <v>60</v>
      </c>
      <c r="G13" s="10" t="s">
        <v>34</v>
      </c>
      <c r="H13" s="10" t="s">
        <v>70</v>
      </c>
      <c r="I13" s="10" t="s">
        <v>62</v>
      </c>
      <c r="J13" s="10" t="s">
        <v>63</v>
      </c>
      <c r="K13" s="10" t="s">
        <v>71</v>
      </c>
      <c r="L13" s="10" t="s">
        <v>65</v>
      </c>
      <c r="M13" s="10" t="s">
        <v>129</v>
      </c>
    </row>
    <row r="14" spans="1:13" ht="35.25" customHeight="1">
      <c r="A14" s="10">
        <f t="shared" si="0"/>
        <v>10</v>
      </c>
      <c r="B14" s="5">
        <v>46267.529317129629</v>
      </c>
      <c r="C14" s="10" t="s">
        <v>72</v>
      </c>
      <c r="D14" s="10"/>
      <c r="E14" s="10" t="s">
        <v>73</v>
      </c>
      <c r="F14" s="10" t="s">
        <v>60</v>
      </c>
      <c r="G14" s="10" t="s">
        <v>34</v>
      </c>
      <c r="H14" s="10" t="s">
        <v>61</v>
      </c>
      <c r="I14" s="10" t="s">
        <v>62</v>
      </c>
      <c r="J14" s="10" t="s">
        <v>63</v>
      </c>
      <c r="K14" s="10" t="s">
        <v>64</v>
      </c>
      <c r="L14" s="10" t="s">
        <v>65</v>
      </c>
      <c r="M14" s="10" t="s">
        <v>128</v>
      </c>
    </row>
    <row r="15" spans="1:13" ht="35.25" customHeight="1">
      <c r="A15" s="10">
        <f t="shared" si="0"/>
        <v>11</v>
      </c>
      <c r="B15" s="5">
        <v>46267.530636574076</v>
      </c>
      <c r="C15" s="10" t="s">
        <v>74</v>
      </c>
      <c r="D15" s="10"/>
      <c r="E15" s="10" t="s">
        <v>75</v>
      </c>
      <c r="F15" s="10" t="s">
        <v>60</v>
      </c>
      <c r="G15" s="10" t="s">
        <v>34</v>
      </c>
      <c r="H15" s="10" t="s">
        <v>61</v>
      </c>
      <c r="I15" s="10" t="s">
        <v>62</v>
      </c>
      <c r="J15" s="10" t="s">
        <v>63</v>
      </c>
      <c r="K15" s="10" t="s">
        <v>64</v>
      </c>
      <c r="L15" s="10" t="s">
        <v>65</v>
      </c>
      <c r="M15" s="10" t="s">
        <v>128</v>
      </c>
    </row>
    <row r="16" spans="1:13" ht="35.25" customHeight="1">
      <c r="A16" s="10">
        <f t="shared" si="0"/>
        <v>12</v>
      </c>
      <c r="B16" s="5">
        <v>46267.644930555558</v>
      </c>
      <c r="C16" s="10" t="s">
        <v>76</v>
      </c>
      <c r="D16" s="10"/>
      <c r="E16" s="10" t="s">
        <v>77</v>
      </c>
      <c r="F16" s="10" t="s">
        <v>78</v>
      </c>
      <c r="G16" s="10" t="s">
        <v>79</v>
      </c>
      <c r="H16" s="10" t="s">
        <v>80</v>
      </c>
      <c r="I16" s="10" t="s">
        <v>81</v>
      </c>
      <c r="J16" s="10" t="s">
        <v>82</v>
      </c>
      <c r="K16" s="10" t="s">
        <v>83</v>
      </c>
      <c r="L16" s="10" t="s">
        <v>84</v>
      </c>
      <c r="M16" s="10" t="s">
        <v>128</v>
      </c>
    </row>
    <row r="17" spans="1:13" ht="35.25" customHeight="1">
      <c r="A17" s="10">
        <f t="shared" si="0"/>
        <v>13</v>
      </c>
      <c r="B17" s="5">
        <v>46267.574733796297</v>
      </c>
      <c r="C17" s="10" t="s">
        <v>85</v>
      </c>
      <c r="D17" s="10"/>
      <c r="E17" s="10" t="s">
        <v>86</v>
      </c>
      <c r="F17" s="10" t="s">
        <v>87</v>
      </c>
      <c r="G17" s="10" t="s">
        <v>20</v>
      </c>
      <c r="H17" s="10" t="s">
        <v>88</v>
      </c>
      <c r="I17" s="10" t="s">
        <v>89</v>
      </c>
      <c r="J17" s="10" t="s">
        <v>82</v>
      </c>
      <c r="K17" s="10" t="s">
        <v>90</v>
      </c>
      <c r="L17" s="10" t="s">
        <v>91</v>
      </c>
      <c r="M17" s="10" t="s">
        <v>134</v>
      </c>
    </row>
    <row r="18" spans="1:13" ht="35.25" customHeight="1">
      <c r="A18" s="10">
        <f t="shared" si="0"/>
        <v>14</v>
      </c>
      <c r="B18" s="5">
        <v>46266.596377314818</v>
      </c>
      <c r="C18" s="10" t="s">
        <v>95</v>
      </c>
      <c r="D18" s="10" t="s">
        <v>31</v>
      </c>
      <c r="E18" s="10" t="s">
        <v>96</v>
      </c>
      <c r="F18" s="10" t="s">
        <v>92</v>
      </c>
      <c r="G18" s="10" t="s">
        <v>34</v>
      </c>
      <c r="H18" s="10" t="s">
        <v>97</v>
      </c>
      <c r="I18" s="10" t="s">
        <v>29</v>
      </c>
      <c r="J18" s="10">
        <v>46269.75</v>
      </c>
      <c r="K18" s="10" t="s">
        <v>93</v>
      </c>
      <c r="L18" s="10" t="s">
        <v>94</v>
      </c>
      <c r="M18" s="10" t="s">
        <v>135</v>
      </c>
    </row>
    <row r="19" spans="1:13" ht="35.25" customHeight="1">
      <c r="A19" s="10">
        <f t="shared" si="0"/>
        <v>15</v>
      </c>
      <c r="B19" s="5">
        <v>46267.706921296296</v>
      </c>
      <c r="C19" s="10" t="s">
        <v>98</v>
      </c>
      <c r="D19" s="10"/>
      <c r="E19" s="10" t="s">
        <v>99</v>
      </c>
      <c r="F19" s="10" t="s">
        <v>100</v>
      </c>
      <c r="G19" s="10" t="s">
        <v>34</v>
      </c>
      <c r="H19" s="10" t="s">
        <v>132</v>
      </c>
      <c r="I19" s="10" t="s">
        <v>29</v>
      </c>
      <c r="J19" s="10" t="s">
        <v>55</v>
      </c>
      <c r="K19" s="10" t="s">
        <v>101</v>
      </c>
      <c r="L19" s="10" t="s">
        <v>102</v>
      </c>
      <c r="M19" s="10" t="s">
        <v>133</v>
      </c>
    </row>
    <row r="20" spans="1:13" ht="35.25" customHeight="1">
      <c r="A20" s="10">
        <f t="shared" si="0"/>
        <v>16</v>
      </c>
      <c r="B20" s="5">
        <v>46266.593217592592</v>
      </c>
      <c r="C20" s="10" t="s">
        <v>103</v>
      </c>
      <c r="D20" s="10" t="s">
        <v>31</v>
      </c>
      <c r="E20" s="10" t="s">
        <v>104</v>
      </c>
      <c r="F20" s="10" t="s">
        <v>105</v>
      </c>
      <c r="G20" s="10" t="s">
        <v>34</v>
      </c>
      <c r="H20" s="10" t="s">
        <v>106</v>
      </c>
      <c r="I20" s="10" t="s">
        <v>29</v>
      </c>
      <c r="J20" s="10">
        <v>46269.75</v>
      </c>
      <c r="K20" s="10" t="s">
        <v>93</v>
      </c>
      <c r="L20" s="10" t="s">
        <v>94</v>
      </c>
      <c r="M20" s="10" t="s">
        <v>135</v>
      </c>
    </row>
    <row r="21" spans="1:13" ht="35.25" customHeight="1">
      <c r="A21" s="10">
        <f t="shared" si="0"/>
        <v>17</v>
      </c>
      <c r="B21" s="5">
        <v>46266.696759259263</v>
      </c>
      <c r="C21" s="10" t="s">
        <v>107</v>
      </c>
      <c r="D21" s="10"/>
      <c r="E21" s="10" t="s">
        <v>108</v>
      </c>
      <c r="F21" s="10" t="s">
        <v>109</v>
      </c>
      <c r="G21" s="10" t="s">
        <v>34</v>
      </c>
      <c r="H21" s="10" t="s">
        <v>110</v>
      </c>
      <c r="I21" s="10" t="s">
        <v>29</v>
      </c>
      <c r="J21" s="10" t="s">
        <v>111</v>
      </c>
      <c r="K21" s="10" t="s">
        <v>112</v>
      </c>
      <c r="L21" s="10" t="s">
        <v>113</v>
      </c>
      <c r="M21" s="10" t="s">
        <v>129</v>
      </c>
    </row>
    <row r="22" spans="1:13" ht="35.25" customHeight="1">
      <c r="A22" s="10">
        <f t="shared" ref="A22:A28" si="1">A21+1</f>
        <v>18</v>
      </c>
      <c r="B22" s="5">
        <v>46267.666597222225</v>
      </c>
      <c r="C22" s="10" t="s">
        <v>120</v>
      </c>
      <c r="D22" s="10"/>
      <c r="E22" s="10" t="s">
        <v>114</v>
      </c>
      <c r="F22" s="10" t="s">
        <v>115</v>
      </c>
      <c r="G22" s="10" t="s">
        <v>20</v>
      </c>
      <c r="H22" s="10" t="s">
        <v>116</v>
      </c>
      <c r="I22" s="10" t="s">
        <v>117</v>
      </c>
      <c r="J22" s="10" t="s">
        <v>81</v>
      </c>
      <c r="K22" s="10" t="s">
        <v>118</v>
      </c>
      <c r="L22" s="10" t="s">
        <v>119</v>
      </c>
      <c r="M22" s="10" t="s">
        <v>134</v>
      </c>
    </row>
    <row r="23" spans="1:13" ht="35.25" customHeight="1">
      <c r="A23" s="10">
        <f t="shared" si="1"/>
        <v>19</v>
      </c>
      <c r="B23" s="5">
        <v>46259.779247685183</v>
      </c>
      <c r="C23" s="10" t="s">
        <v>125</v>
      </c>
      <c r="D23" s="10" t="s">
        <v>31</v>
      </c>
      <c r="E23" s="10" t="s">
        <v>126</v>
      </c>
      <c r="F23" s="10" t="s">
        <v>121</v>
      </c>
      <c r="G23" s="10" t="s">
        <v>34</v>
      </c>
      <c r="H23" s="10" t="s">
        <v>127</v>
      </c>
      <c r="I23" s="10" t="s">
        <v>122</v>
      </c>
      <c r="J23" s="10" t="s">
        <v>123</v>
      </c>
      <c r="K23" s="10" t="s">
        <v>124</v>
      </c>
      <c r="L23" s="10" t="s">
        <v>94</v>
      </c>
      <c r="M23" s="10" t="s">
        <v>131</v>
      </c>
    </row>
    <row r="24" spans="1:13" ht="93.75" customHeight="1">
      <c r="A24" s="10">
        <f t="shared" si="1"/>
        <v>20</v>
      </c>
      <c r="B24" s="5"/>
      <c r="C24" s="11" t="s">
        <v>136</v>
      </c>
      <c r="D24" s="4"/>
      <c r="E24" s="11" t="s">
        <v>137</v>
      </c>
      <c r="F24" s="11"/>
      <c r="G24" s="11"/>
      <c r="H24" s="11" t="s">
        <v>138</v>
      </c>
      <c r="I24" s="15" t="s">
        <v>29</v>
      </c>
      <c r="J24" s="15" t="s">
        <v>140</v>
      </c>
      <c r="K24" s="11"/>
      <c r="L24" s="11"/>
      <c r="M24" s="14" t="s">
        <v>139</v>
      </c>
    </row>
    <row r="25" spans="1:13" ht="65.25" customHeight="1">
      <c r="A25" s="10">
        <f t="shared" si="1"/>
        <v>21</v>
      </c>
      <c r="B25" s="5"/>
      <c r="C25" s="16">
        <v>320973</v>
      </c>
      <c r="D25" s="4"/>
      <c r="E25" s="16" t="s">
        <v>141</v>
      </c>
      <c r="F25" s="11"/>
      <c r="G25" s="11"/>
      <c r="H25" s="17" t="s">
        <v>144</v>
      </c>
      <c r="I25" s="15" t="s">
        <v>117</v>
      </c>
      <c r="J25" s="15" t="s">
        <v>111</v>
      </c>
      <c r="K25" s="11"/>
      <c r="L25" s="11"/>
      <c r="M25" s="18" t="s">
        <v>147</v>
      </c>
    </row>
    <row r="26" spans="1:13" ht="65.25" customHeight="1">
      <c r="A26" s="10">
        <f t="shared" si="1"/>
        <v>22</v>
      </c>
      <c r="B26" s="5"/>
      <c r="C26" s="16">
        <v>320974</v>
      </c>
      <c r="D26" s="4"/>
      <c r="E26" s="16" t="s">
        <v>142</v>
      </c>
      <c r="F26" s="11"/>
      <c r="G26" s="11"/>
      <c r="H26" s="17" t="s">
        <v>145</v>
      </c>
      <c r="I26" s="15" t="s">
        <v>117</v>
      </c>
      <c r="J26" s="15" t="s">
        <v>150</v>
      </c>
      <c r="K26" s="11"/>
      <c r="L26" s="11"/>
      <c r="M26" s="18" t="s">
        <v>148</v>
      </c>
    </row>
    <row r="27" spans="1:13" ht="57" customHeight="1">
      <c r="A27" s="10">
        <f t="shared" si="1"/>
        <v>23</v>
      </c>
      <c r="B27" s="5"/>
      <c r="C27" s="16">
        <v>321033</v>
      </c>
      <c r="D27" s="4"/>
      <c r="E27" s="16" t="s">
        <v>143</v>
      </c>
      <c r="F27" s="11"/>
      <c r="G27" s="11"/>
      <c r="H27" s="17" t="s">
        <v>146</v>
      </c>
      <c r="I27" s="15" t="s">
        <v>117</v>
      </c>
      <c r="J27" s="15" t="s">
        <v>55</v>
      </c>
      <c r="K27" s="11"/>
      <c r="L27" s="11"/>
      <c r="M27" s="18" t="s">
        <v>149</v>
      </c>
    </row>
    <row r="28" spans="1:13" ht="57" customHeight="1">
      <c r="A28" s="10">
        <f t="shared" si="1"/>
        <v>24</v>
      </c>
      <c r="B28" s="5"/>
      <c r="C28" s="16">
        <v>320942</v>
      </c>
      <c r="D28" s="4"/>
      <c r="E28" s="16" t="s">
        <v>151</v>
      </c>
      <c r="F28" s="11"/>
      <c r="G28" s="11"/>
      <c r="H28" s="17" t="s">
        <v>152</v>
      </c>
      <c r="I28" s="15" t="s">
        <v>154</v>
      </c>
      <c r="J28" s="15" t="s">
        <v>55</v>
      </c>
      <c r="K28" s="11"/>
      <c r="L28" s="11"/>
      <c r="M28" s="18" t="s">
        <v>153</v>
      </c>
    </row>
    <row r="29" spans="1:13" ht="21" customHeight="1">
      <c r="A29" s="10"/>
      <c r="B29" s="5"/>
      <c r="C29" s="11"/>
      <c r="D29" s="4"/>
      <c r="E29" s="11"/>
      <c r="F29" s="11"/>
      <c r="G29" s="11"/>
      <c r="H29" s="11"/>
      <c r="I29" s="11"/>
      <c r="J29" s="11"/>
      <c r="K29" s="11"/>
      <c r="L29" s="11"/>
      <c r="M29" s="11"/>
    </row>
    <row r="30" spans="1:13" ht="35.25" customHeight="1">
      <c r="A30" s="10"/>
      <c r="B30" s="5"/>
      <c r="C30" s="4"/>
      <c r="D30" s="4"/>
      <c r="E30" s="4"/>
      <c r="F30" s="4"/>
      <c r="G30" s="4"/>
      <c r="H30" s="4"/>
      <c r="I30" s="6"/>
      <c r="J30" s="6"/>
      <c r="K30" s="7"/>
      <c r="L30" s="8"/>
      <c r="M30" s="11"/>
    </row>
  </sheetData>
  <mergeCells count="2">
    <mergeCell ref="B1:M1"/>
    <mergeCell ref="K4:L4"/>
  </mergeCells>
  <pageMargins left="3.937007874015748E-2" right="3.937007874015748E-2" top="3.937007874015748E-2" bottom="3.937007874015748E-2" header="3.937007874015748E-2" footer="3.937007874015748E-2"/>
  <pageSetup paperSize="9" scale="73"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Sheet0</vt:lpstr>
      <vt:lpstr>__bookmark_1</vt:lpstr>
      <vt:lpstr>Sheet0!Print_Area</vt:lpstr>
      <vt:lpstr>Sheet0!Print_Titles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DELL</cp:lastModifiedBy>
  <cp:lastPrinted>2026-09-02T15:12:04Z</cp:lastPrinted>
  <dcterms:created xsi:type="dcterms:W3CDTF">2026-09-02T11:46:30Z</dcterms:created>
  <dcterms:modified xsi:type="dcterms:W3CDTF">2026-09-02T15:45:15Z</dcterms:modified>
</cp:coreProperties>
</file>
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XT DAY SHUTDOWN\"/>
    </mc:Choice>
  </mc:AlternateContent>
  <bookViews>
    <workbookView xWindow="-120" yWindow="-120" windowWidth="21840" windowHeight="13140"/>
  </bookViews>
  <sheets>
    <sheet name="Sheet0" sheetId="1" r:id="rId1"/>
  </sheets>
  <definedNames>
    <definedName name="__bookmark_1">Sheet0!$A$1:$M$35</definedName>
  </definedNames>
  <calcPr calcId="162913"/>
</workbook>
</file>

<file path=xl/calcChain.xml><?xml version="1.0" encoding="utf-8"?>
<calcChain xmlns="http://schemas.openxmlformats.org/spreadsheetml/2006/main">
  <c r="A7" i="1" l="1"/>
  <c r="A8" i="1"/>
  <c r="A9" i="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6" i="1"/>
</calcChain>
</file>

<file path=xl/sharedStrings.xml><?xml version="1.0" encoding="utf-8"?>
<sst xmlns="http://schemas.openxmlformats.org/spreadsheetml/2006/main" count="347" uniqueCount="232">
  <si>
    <t>STATE LOAD DESPATCH CENTRE 
Madhya Pradesh Power Transmission Company Limited, Jabalpur</t>
  </si>
  <si>
    <t>From Date:</t>
  </si>
  <si>
    <t>Control Area :</t>
  </si>
  <si>
    <t>ALL</t>
  </si>
  <si>
    <t xml:space="preserve">Circle :  </t>
  </si>
  <si>
    <t>S.NO.</t>
  </si>
  <si>
    <t>APPLICATION DATE</t>
  </si>
  <si>
    <t>REQ_ID</t>
  </si>
  <si>
    <t>REQ TYPE</t>
  </si>
  <si>
    <t>ELEMENT</t>
  </si>
  <si>
    <t>SUBSTATION</t>
  </si>
  <si>
    <t>CATEGORY TYPE</t>
  </si>
  <si>
    <t>REASON FOR SHUT DOWN</t>
  </si>
  <si>
    <t>PROPOSED START DATE &amp; TIME</t>
  </si>
  <si>
    <t>PROPOSED STOP DATE &amp; TIME</t>
  </si>
  <si>
    <t>Availing Officer Name &amp; Mob. No.</t>
  </si>
  <si>
    <t>REMARK</t>
  </si>
  <si>
    <t>132KV_132 KV Shivpuri - Bairad ckt-II</t>
  </si>
  <si>
    <t>132KV_BAIRAD</t>
  </si>
  <si>
    <t>NON-OCCM-MP</t>
  </si>
  <si>
    <t>Minor rectification work.</t>
  </si>
  <si>
    <t>07-01-2026 10:00:00</t>
  </si>
  <si>
    <t>07-01-2026 17:00:00</t>
  </si>
  <si>
    <t>Er. Sunny Kumar</t>
  </si>
  <si>
    <t>9425806888</t>
  </si>
  <si>
    <t>MR2601/0104</t>
  </si>
  <si>
    <t>MR2601/0092</t>
  </si>
  <si>
    <t>132KV_132 KV Barman â¿¿ Chichli</t>
  </si>
  <si>
    <t>132KV_BARMAN</t>
  </si>
  <si>
    <t>For Equipment (CT, BRAKER) R, Y, B painting work</t>
  </si>
  <si>
    <t>07-01-2026 12:00:00</t>
  </si>
  <si>
    <t>Khagesh chore</t>
  </si>
  <si>
    <t>9425801357</t>
  </si>
  <si>
    <t>MR2601/0094</t>
  </si>
  <si>
    <t>132KV_132 KV Barman -Narsinghpur -II</t>
  </si>
  <si>
    <t>07-01-2026 13:30:00</t>
  </si>
  <si>
    <t>07-01-2026 14:30:00</t>
  </si>
  <si>
    <t>Khagesh Chore</t>
  </si>
  <si>
    <t>MR2601/0084</t>
  </si>
  <si>
    <t>132KV_63 MVA X-MER MAKE BBL</t>
  </si>
  <si>
    <t>Equipment painting work</t>
  </si>
  <si>
    <t>07-01-2026 08:00:00</t>
  </si>
  <si>
    <t>Er K.K. Choure</t>
  </si>
  <si>
    <t>MR2601/0093</t>
  </si>
  <si>
    <t>132KV_132 KV Barman -Narsinghpur -I</t>
  </si>
  <si>
    <t>07-01-2026 13:00:00</t>
  </si>
  <si>
    <t>9425801352</t>
  </si>
  <si>
    <t>MR2601/0086</t>
  </si>
  <si>
    <t>132KV_50MVA 132/33KV TESLA XMER</t>
  </si>
  <si>
    <t>132KV_BELKHEDA</t>
  </si>
  <si>
    <t>POST MONSOON MAINTENANCE WORK</t>
  </si>
  <si>
    <t>CHETAN YADAV</t>
  </si>
  <si>
    <t>9425805282</t>
  </si>
  <si>
    <t>MR2601/0089</t>
  </si>
  <si>
    <t>132KV_132 KV Karakbel-Belkheda Line (Radial Feeder)</t>
  </si>
  <si>
    <t>Post Monsoon Maintenance work and replacement of P</t>
  </si>
  <si>
    <t>Ashish Kumar</t>
  </si>
  <si>
    <t>9425805935</t>
  </si>
  <si>
    <t>MR2601/0105</t>
  </si>
  <si>
    <t>220KV_220KV Bhopal-Interconnector Ckt.-1</t>
  </si>
  <si>
    <t>400KV_BHOPAL4</t>
  </si>
  <si>
    <t>For Tan Delta &amp; Cap. Measurement of CTs &amp; CVTs</t>
  </si>
  <si>
    <t>07-01-2026 11:00:00</t>
  </si>
  <si>
    <t>07-01-2026 18:00:00</t>
  </si>
  <si>
    <t>Akram Khan</t>
  </si>
  <si>
    <t>9425804695</t>
  </si>
  <si>
    <t>MR2601/0087</t>
  </si>
  <si>
    <t>132KV_132 kV Birsinghpur-Umariya Circuit II</t>
  </si>
  <si>
    <t>220KV_BIRSINGHPUR</t>
  </si>
  <si>
    <t>F/o disc stringing replacement &amp; other line Maint.</t>
  </si>
  <si>
    <t>Jitendra Tiwari</t>
  </si>
  <si>
    <t>9425805298</t>
  </si>
  <si>
    <t>MR2601/0080</t>
  </si>
  <si>
    <t>132KV_132 kV Chhindwara-Borgaon</t>
  </si>
  <si>
    <t>220KV_CHHINDWARA</t>
  </si>
  <si>
    <t>J/C, A/h, V/d tightening &amp; V/d provide work</t>
  </si>
  <si>
    <t>07-01-2026 09:00:00</t>
  </si>
  <si>
    <t>07-01-2026 16:00:00</t>
  </si>
  <si>
    <t>A.M.Shende</t>
  </si>
  <si>
    <t>7587951136</t>
  </si>
  <si>
    <t>MR2601/0081</t>
  </si>
  <si>
    <t>220KV_Daloda- Jaora (Borh end)</t>
  </si>
  <si>
    <t>220KV_DALODA</t>
  </si>
  <si>
    <t>post monsoon maintenance work.</t>
  </si>
  <si>
    <t>Er. Shailendra Bourasi</t>
  </si>
  <si>
    <t>9907246485</t>
  </si>
  <si>
    <t>MR2601/0082</t>
  </si>
  <si>
    <t>132KV_132KV Tejgarh Feeder</t>
  </si>
  <si>
    <t>220KV_DAMOH</t>
  </si>
  <si>
    <t>C.T. Ten delta Measurement &amp; Bay Maintenance work</t>
  </si>
  <si>
    <t>M.K.Choubey</t>
  </si>
  <si>
    <t>9425801424</t>
  </si>
  <si>
    <t>MR2601/0107</t>
  </si>
  <si>
    <t>132KV_20MVA NGEF X-Mer</t>
  </si>
  <si>
    <t>132KV_DONGRITAL</t>
  </si>
  <si>
    <t>Oil topping Work</t>
  </si>
  <si>
    <t>07-01-2026 15:00:00</t>
  </si>
  <si>
    <t>S.P.Prajapati</t>
  </si>
  <si>
    <t>9039634660</t>
  </si>
  <si>
    <t>MR2601/0095</t>
  </si>
  <si>
    <t>132KV_132 KV 50 MVA BBL-2</t>
  </si>
  <si>
    <t>132KV_GADARWARA</t>
  </si>
  <si>
    <t>NON-OCCM-WR</t>
  </si>
  <si>
    <t>TANDELTA TESTING &amp;STRUCTURE PAINTING WORK</t>
  </si>
  <si>
    <t>MUKESH AUGRWALL</t>
  </si>
  <si>
    <t>7987152911</t>
  </si>
  <si>
    <t>MR2601/0088</t>
  </si>
  <si>
    <t>132KV_132/33kv 50MVA Xmer Make BHEL</t>
  </si>
  <si>
    <t>132KV_GUDGAON</t>
  </si>
  <si>
    <t>Replacement work of  HV side Bphase bushing.</t>
  </si>
  <si>
    <t>Er.Sanjay Kumar Pawar</t>
  </si>
  <si>
    <t>9425802293</t>
  </si>
  <si>
    <t>MR2601/0073</t>
  </si>
  <si>
    <t>Daily</t>
  </si>
  <si>
    <t>132KV_132 KV ICHHAWAR WANEEP SOLAR PLANT</t>
  </si>
  <si>
    <t>132KV_ICHHAWAR</t>
  </si>
  <si>
    <t>BIRD GUARD PROVIDING WORK</t>
  </si>
  <si>
    <t>06-01-2026 15:00:00</t>
  </si>
  <si>
    <t>NITIN RESHWAL</t>
  </si>
  <si>
    <t>9425804890</t>
  </si>
  <si>
    <t>MR2601/0090</t>
  </si>
  <si>
    <t>132KV_132 KV NORTHZONE (INDORE) - CHAMBAL CKT-1 LINE</t>
  </si>
  <si>
    <t>132KV_INDORE CHAMBAL</t>
  </si>
  <si>
    <t>JUMPER REPLACEMENT WORK AT LOC.NO.161 AND OTHER MA</t>
  </si>
  <si>
    <t>RAVINDRA PATIL</t>
  </si>
  <si>
    <t>8305612190</t>
  </si>
  <si>
    <t>MR2601/0091</t>
  </si>
  <si>
    <t>132KV_132 KV NORTHZONE (INDORE) - CHAMBAL CKT- 2  LINE</t>
  </si>
  <si>
    <t>MR2601/0022</t>
  </si>
  <si>
    <t>132KV_132 KV Itarsi-Pipariya</t>
  </si>
  <si>
    <t>220KV_ITARSI</t>
  </si>
  <si>
    <t>Defective Disc replacement work</t>
  </si>
  <si>
    <t>05-01-2026 09:00:00</t>
  </si>
  <si>
    <t>08-01-2026 18:00:00</t>
  </si>
  <si>
    <t>Ashutosh Rai</t>
  </si>
  <si>
    <t>9425806902</t>
  </si>
  <si>
    <t>Continuous</t>
  </si>
  <si>
    <t>400KV_400KV KATNI - DAMOH LINE</t>
  </si>
  <si>
    <t>400KV_KATNI4</t>
  </si>
  <si>
    <t>OCCM-MP</t>
  </si>
  <si>
    <t>TOWER STRENGTHENING WORK</t>
  </si>
  <si>
    <t>M.M. BAIG</t>
  </si>
  <si>
    <t>9425805067</t>
  </si>
  <si>
    <t>220KV_220KV KATNI - DAMOH LINE</t>
  </si>
  <si>
    <t>MR2601/0009</t>
  </si>
  <si>
    <t>132KV_132 kv katni ic line ckt 1 st</t>
  </si>
  <si>
    <t>For stringing of htls conductor.</t>
  </si>
  <si>
    <t>02-01-2026 09:00:00</t>
  </si>
  <si>
    <t>22-01-2026 18:00:00</t>
  </si>
  <si>
    <t>pankaj yadav</t>
  </si>
  <si>
    <t>9406713326</t>
  </si>
  <si>
    <t>MR2510/0739</t>
  </si>
  <si>
    <t>10-01-2026 18:00:00</t>
  </si>
  <si>
    <t>M.M.BAIG</t>
  </si>
  <si>
    <t>MR2510/0730</t>
  </si>
  <si>
    <t>MR2601/0098</t>
  </si>
  <si>
    <t>220KV_220/132KV 160MVA X-Mer-II BHEL</t>
  </si>
  <si>
    <t>220KV_NIMRANI</t>
  </si>
  <si>
    <t>For got Defective Backup Relay Replacement work</t>
  </si>
  <si>
    <t>Er. Pradip Patidar</t>
  </si>
  <si>
    <t>9425801217</t>
  </si>
  <si>
    <t>MR2601/0102</t>
  </si>
  <si>
    <t>220KV_220KV Super-Corridor ckt-2</t>
  </si>
  <si>
    <t>400KV_PITHAMPUR4</t>
  </si>
  <si>
    <t>For minor SF6 gas leakage check on Y Ph CB Pole</t>
  </si>
  <si>
    <t>Rajudas Bairagi</t>
  </si>
  <si>
    <t>9425801532</t>
  </si>
  <si>
    <t>MR2601/0076</t>
  </si>
  <si>
    <t>400KV_220KV PITHAMPUR-DEPALPUR LINE</t>
  </si>
  <si>
    <t>FOR POST MANSOON AND BKR DCRM TESTING WORK</t>
  </si>
  <si>
    <t>RAJUDAS BAIRAGI</t>
  </si>
  <si>
    <t>MR2601/0083</t>
  </si>
  <si>
    <t>220KV_220KV Ratlam-Nagra-II and 220KV Bus-coupler feeder</t>
  </si>
  <si>
    <t>220KV_RATLAM</t>
  </si>
  <si>
    <t>for bay maintenance &amp; tan delta measurement work</t>
  </si>
  <si>
    <t>NIKHIL DUNGE</t>
  </si>
  <si>
    <t>9425801487</t>
  </si>
  <si>
    <t>MR2601/0085</t>
  </si>
  <si>
    <t>220KV_220 kv Satna  â¿¿  Rewa  line</t>
  </si>
  <si>
    <t>220KV_SATNA</t>
  </si>
  <si>
    <t>Line maintenance work</t>
  </si>
  <si>
    <t>Mr. R.K.Prajapati</t>
  </si>
  <si>
    <t>9407070182</t>
  </si>
  <si>
    <t>400KV_SATPURA TPS</t>
  </si>
  <si>
    <t>YASHWANT WARATHE</t>
  </si>
  <si>
    <t>9425611046</t>
  </si>
  <si>
    <t>MR2512/0507</t>
  </si>
  <si>
    <t>400KV_Sarni Indirasagar</t>
  </si>
  <si>
    <t>OPGW STRINGING WORK</t>
  </si>
  <si>
    <t>26-12-2025 07:00:00</t>
  </si>
  <si>
    <t>10-01-2026 19:00:00</t>
  </si>
  <si>
    <t>SHIV KUMAR</t>
  </si>
  <si>
    <t>9425806917</t>
  </si>
  <si>
    <t>MR2512/0191</t>
  </si>
  <si>
    <t>400KV_400KV SARNI-SEONI</t>
  </si>
  <si>
    <t>ROUTINE TESTING,RELAY TESTING, GEN CHECKING &amp; MAIN</t>
  </si>
  <si>
    <t>MR2601/0065</t>
  </si>
  <si>
    <t>400KV_400 kV Seoni-Sarni</t>
  </si>
  <si>
    <t>765KV_SEONI-PG</t>
  </si>
  <si>
    <t>J/c, A/h, Corona ring &amp; Sus. Clamp tightening</t>
  </si>
  <si>
    <t>220KV_220 KV SHUJALPUR-BHOPAL-I CKT</t>
  </si>
  <si>
    <t>220KV_SHUJALPUR</t>
  </si>
  <si>
    <t>220 KV BHOPAL BAY SHIFTING FOR NEW ADD. 200 MVA</t>
  </si>
  <si>
    <t>13-12-2025 09:00:00</t>
  </si>
  <si>
    <t>12-01-2026 18:00:00</t>
  </si>
  <si>
    <t>Er VIJAY OJHA</t>
  </si>
  <si>
    <t>9755836908</t>
  </si>
  <si>
    <t>MR2512/0233</t>
  </si>
  <si>
    <t>sub ld</t>
  </si>
  <si>
    <t>deferred</t>
  </si>
  <si>
    <t>ok, line to be in service</t>
  </si>
  <si>
    <t>ok</t>
  </si>
  <si>
    <t>as opportunity s/d</t>
  </si>
  <si>
    <t>ok, through sub ld</t>
  </si>
  <si>
    <t>real time</t>
  </si>
  <si>
    <t>real time as per the loading conditions</t>
  </si>
  <si>
    <t>o&amp;m consent required</t>
  </si>
  <si>
    <t>o&amp;m shall be informed</t>
  </si>
  <si>
    <t>deferred due to Jaora-daloda ckt s/d</t>
  </si>
  <si>
    <t>deferred due to high loading</t>
  </si>
  <si>
    <t>400KV-BINA-BINA-NHPTL-1</t>
  </si>
  <si>
    <t>400KV-SEONI-PG-SATPURA-1</t>
  </si>
  <si>
    <t>220KV-ITARSI-BUDNI-2</t>
  </si>
  <si>
    <t>PWTL-POWERGRID</t>
  </si>
  <si>
    <t>POWERGRID-WR1 (PGCIL)</t>
  </si>
  <si>
    <t>POWERGRID-WR2 (PGCIL),MADHYA PRADESH</t>
  </si>
  <si>
    <t>SC TESTING</t>
  </si>
  <si>
    <t>FOR LINE MAINTENANCE WORK i.e. ROUTINE TESTING,GENERAL CHECKING &amp;MAINTENANCE OF 400 KV &amp; 220 KV BAYS EQUIPMENT OF OTHER BAYS AT 400 KV &amp; 220KV SWITCHYARD STPS.</t>
  </si>
  <si>
    <t>Line Terminal AMP works and Hot spot attending works</t>
  </si>
  <si>
    <t>Ok.400kV KORADI-STPURA-T1 Sensitivity of  21.00% and All other lines at SEONI-PG - 400KV and SATPURA - 400KV to be in service with A/R Enabled</t>
  </si>
  <si>
    <t>testing shall be started only after normalisation of 400kv Bhopal-Bina ckt 2, all the instructions to be passed to JP BINA and MP BINA; JP Bina and MPSLDC consented for the testing. Bypass arrangement and BUS Splitting arrangement would be as per MOM of Meeting with NHPTL held on 14th July 2025. Bypass and split arrangement shall be done during light load hours(11:00 hr to 14:00 hr). Sequence of operation shared in mail. Planned shutdown of Tie bay of JP Bina line at Bina PG on 06.01.2026 to be restored.</t>
  </si>
  <si>
    <t xml:space="preserve">real time, as per the laoding conditions, SLDC MP consent is required. To be facilitated after 11:00, Ckt-1 and all other lines at 220kV Itarsi(PG) to be in servie. In case of any contingency SLDC MP to manage the load.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</si>
</sst>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1010809]dd\-mm\-yyyy"/>
    <numFmt numFmtId="165" formatCode="[$-1010809]dd/mm/yyyy\ hh:mm"/>
  </numFmts>
  <fonts count="6" x14ac:knownFonts="1">
    <font>
      <sz val="11"/>
      <color indexed="8"/>
      <name val="Calibri"/>
      <family val="2"/>
      <scheme val="minor"/>
    </font>
    <font>
      <b/>
      <sz val="10"/>
      <color rgb="FF000000"/>
      <name val="Arial"/>
      <family val="2"/>
    </font>
    <font>
      <b/>
      <sz val="12"/>
      <color rgb="FF000000"/>
      <name val="Arial"/>
      <family val="2"/>
    </font>
    <font>
      <sz val="11"/>
      <name val="Calibri"/>
      <family val="2"/>
    </font>
    <font>
      <sz val="10"/>
      <color rgb="FF000000"/>
      <name val="Arial"/>
      <family val="2"/>
    </font>
    <font>
      <sz val="11"/>
      <name val="Calibri"/>
      <family val="2"/>
      <scheme val="minor"/>
    </font>
  </fonts>
  <fills count="4">
    <fill>
      <patternFill patternType="none"/>
    </fill>
    <fill>
      <patternFill patternType="gray125"/>
    </fill>
    <fill>
      <patternFill patternType="solid">
        <fgColor rgb="FFFFFFFF"/>
      </patternFill>
    </fill>
    <fill>
      <patternFill patternType="solid">
        <fgColor theme="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8">
    <xf numFmtId="0" fontId="0" fillId="0" borderId="0" xfId="0"/>
    <xf numFmtId="0" fontId="1" fillId="2" borderId="1" xfId="0" applyFont="1" applyFill="1" applyBorder="1" applyAlignment="1">
      <alignment horizontal="center" vertical="center"/>
    </xf>
    <xf numFmtId="164" fontId="1" fillId="2" borderId="1" xfId="0" applyNumberFormat="1" applyFont="1" applyFill="1" applyBorder="1" applyAlignment="1">
      <alignment horizontal="center" vertical="center"/>
    </xf>
    <xf numFmtId="0" fontId="1" fillId="0" borderId="1" xfId="0" applyFont="1" applyBorder="1" applyAlignment="1">
      <alignment horizontal="center" vertical="center"/>
    </xf>
    <xf numFmtId="0" fontId="4" fillId="0" borderId="1" xfId="0" applyFont="1" applyBorder="1" applyAlignment="1">
      <alignment horizontal="center" vertical="center"/>
    </xf>
    <xf numFmtId="164" fontId="4" fillId="0" borderId="1" xfId="0" applyNumberFormat="1" applyFont="1" applyBorder="1" applyAlignment="1">
      <alignment horizontal="center" vertical="center"/>
    </xf>
    <xf numFmtId="165" fontId="4" fillId="0" borderId="1" xfId="0" applyNumberFormat="1" applyFont="1" applyBorder="1" applyAlignment="1">
      <alignment horizontal="center" vertical="center"/>
    </xf>
    <xf numFmtId="0" fontId="4" fillId="0" borderId="4" xfId="0" applyFont="1" applyBorder="1" applyAlignment="1">
      <alignment horizontal="center" vertical="center"/>
    </xf>
    <xf numFmtId="0" fontId="4" fillId="0" borderId="3"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Alignment="1">
      <alignment wrapText="1"/>
    </xf>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1" fillId="0" borderId="1" xfId="0" applyFont="1" applyBorder="1" applyAlignment="1">
      <alignment horizontal="center" vertical="center"/>
    </xf>
    <xf numFmtId="0" fontId="4" fillId="0" borderId="6" xfId="0" applyFont="1" applyBorder="1" applyAlignment="1">
      <alignment horizontal="center" vertical="center"/>
    </xf>
    <xf numFmtId="164" fontId="4" fillId="0" borderId="6" xfId="0" applyNumberFormat="1" applyFont="1" applyBorder="1" applyAlignment="1">
      <alignment horizontal="center" vertical="center"/>
    </xf>
    <xf numFmtId="0" fontId="4" fillId="0" borderId="6" xfId="0" applyFont="1" applyBorder="1" applyAlignment="1">
      <alignment horizontal="center" vertical="center" wrapText="1"/>
    </xf>
    <xf numFmtId="165" fontId="4" fillId="0" borderId="6" xfId="0" applyNumberFormat="1"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0" fillId="3" borderId="5" xfId="0" applyFill="1" applyBorder="1" applyAlignment="1">
      <alignment horizontal="center" vertical="center"/>
    </xf>
    <xf numFmtId="0" fontId="0" fillId="3" borderId="5" xfId="0" applyFill="1" applyBorder="1"/>
    <xf numFmtId="0" fontId="5" fillId="3" borderId="5" xfId="0" applyFont="1" applyFill="1" applyBorder="1" applyAlignment="1">
      <alignment horizontal="center" vertical="center" wrapText="1"/>
    </xf>
    <xf numFmtId="165" fontId="4" fillId="3" borderId="5" xfId="0" applyNumberFormat="1" applyFont="1" applyFill="1" applyBorder="1" applyAlignment="1">
      <alignment horizontal="center" vertical="center"/>
    </xf>
    <xf numFmtId="0" fontId="5" fillId="3" borderId="5"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605333</xdr:colOff>
      <xdr:row>1</xdr:row>
      <xdr:rowOff>3335</xdr:rowOff>
    </xdr:to>
    <xdr:pic>
      <xdr:nvPicPr>
        <xdr:cNvPr id="2" name="Picture 1"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8"/>
  <sheetViews>
    <sheetView tabSelected="1" workbookViewId="0">
      <pane xSplit="5" ySplit="1" topLeftCell="F33" activePane="bottomRight" state="frozen"/>
      <selection pane="topRight" activeCell="F1" sqref="F1"/>
      <selection pane="bottomLeft" activeCell="A2" sqref="A2"/>
      <selection pane="bottomRight" activeCell="E38" sqref="E38"/>
    </sheetView>
  </sheetViews>
  <sheetFormatPr defaultRowHeight="15" x14ac:dyDescent="0.25"/>
  <cols>
    <col min="2" max="2" width="11.140625" customWidth="1"/>
    <col min="3" max="3" width="13.42578125" customWidth="1"/>
    <col min="5" max="5" width="56.7109375" style="12" customWidth="1"/>
    <col min="6" max="6" width="22" customWidth="1"/>
    <col min="7" max="7" width="15.7109375" customWidth="1"/>
    <col min="8" max="8" width="50" customWidth="1"/>
    <col min="9" max="10" width="19.42578125" customWidth="1"/>
    <col min="11" max="11" width="20.85546875" customWidth="1"/>
    <col min="12" max="12" width="12" customWidth="1"/>
    <col min="13" max="13" width="47.140625" customWidth="1"/>
  </cols>
  <sheetData>
    <row r="1" spans="1:13" ht="43.7" customHeight="1" x14ac:dyDescent="0.25">
      <c r="A1" s="1"/>
      <c r="B1" s="13" t="s">
        <v>0</v>
      </c>
      <c r="C1" s="14"/>
      <c r="D1" s="14"/>
      <c r="E1" s="14"/>
      <c r="F1" s="14"/>
      <c r="G1" s="14"/>
      <c r="H1" s="14"/>
      <c r="I1" s="14"/>
      <c r="J1" s="14"/>
      <c r="K1" s="14"/>
      <c r="L1" s="14"/>
      <c r="M1" s="15"/>
    </row>
    <row r="2" spans="1:13" ht="42" customHeight="1" x14ac:dyDescent="0.25">
      <c r="A2" s="1" t="s">
        <v>1</v>
      </c>
      <c r="B2" s="2">
        <v>46029</v>
      </c>
      <c r="C2" s="1"/>
      <c r="D2" s="1"/>
      <c r="E2" s="9"/>
      <c r="F2" s="1"/>
      <c r="G2" s="1"/>
      <c r="H2" s="1"/>
      <c r="I2" s="1"/>
      <c r="J2" s="1"/>
      <c r="K2" s="1"/>
      <c r="L2" s="1"/>
      <c r="M2" s="1"/>
    </row>
    <row r="3" spans="1:13" ht="42" customHeight="1" x14ac:dyDescent="0.25">
      <c r="A3" s="3" t="s">
        <v>2</v>
      </c>
      <c r="B3" s="3" t="s">
        <v>3</v>
      </c>
      <c r="C3" s="3" t="s">
        <v>4</v>
      </c>
      <c r="D3" s="3" t="s">
        <v>3</v>
      </c>
      <c r="E3" s="9"/>
      <c r="F3" s="1"/>
      <c r="G3" s="1"/>
      <c r="H3" s="1"/>
      <c r="I3" s="1"/>
      <c r="J3" s="1"/>
      <c r="K3" s="1"/>
      <c r="L3" s="1"/>
      <c r="M3" s="1"/>
    </row>
    <row r="4" spans="1:13" ht="42" customHeight="1" x14ac:dyDescent="0.25">
      <c r="A4" s="3" t="s">
        <v>5</v>
      </c>
      <c r="B4" s="3" t="s">
        <v>6</v>
      </c>
      <c r="C4" s="3" t="s">
        <v>7</v>
      </c>
      <c r="D4" s="3" t="s">
        <v>8</v>
      </c>
      <c r="E4" s="10" t="s">
        <v>9</v>
      </c>
      <c r="F4" s="3" t="s">
        <v>10</v>
      </c>
      <c r="G4" s="3" t="s">
        <v>11</v>
      </c>
      <c r="H4" s="3" t="s">
        <v>12</v>
      </c>
      <c r="I4" s="3" t="s">
        <v>13</v>
      </c>
      <c r="J4" s="3" t="s">
        <v>14</v>
      </c>
      <c r="K4" s="16" t="s">
        <v>15</v>
      </c>
      <c r="L4" s="15"/>
      <c r="M4" s="3" t="s">
        <v>16</v>
      </c>
    </row>
    <row r="5" spans="1:13" ht="36.75" customHeight="1" x14ac:dyDescent="0.25">
      <c r="A5" s="4">
        <v>1</v>
      </c>
      <c r="B5" s="5">
        <v>46028.692430555559</v>
      </c>
      <c r="C5" s="4" t="s">
        <v>25</v>
      </c>
      <c r="D5" s="4"/>
      <c r="E5" s="11" t="s">
        <v>17</v>
      </c>
      <c r="F5" s="4" t="s">
        <v>18</v>
      </c>
      <c r="G5" s="4" t="s">
        <v>19</v>
      </c>
      <c r="H5" s="4" t="s">
        <v>20</v>
      </c>
      <c r="I5" s="6" t="s">
        <v>21</v>
      </c>
      <c r="J5" s="6" t="s">
        <v>22</v>
      </c>
      <c r="K5" s="7" t="s">
        <v>23</v>
      </c>
      <c r="L5" s="8" t="s">
        <v>24</v>
      </c>
      <c r="M5" s="4" t="s">
        <v>208</v>
      </c>
    </row>
    <row r="6" spans="1:13" ht="36.75" customHeight="1" x14ac:dyDescent="0.25">
      <c r="A6" s="4">
        <f>A5+1</f>
        <v>2</v>
      </c>
      <c r="B6" s="5">
        <v>46028.641377314816</v>
      </c>
      <c r="C6" s="4" t="s">
        <v>26</v>
      </c>
      <c r="D6" s="4"/>
      <c r="E6" s="11" t="s">
        <v>27</v>
      </c>
      <c r="F6" s="4" t="s">
        <v>28</v>
      </c>
      <c r="G6" s="4" t="s">
        <v>19</v>
      </c>
      <c r="H6" s="4" t="s">
        <v>29</v>
      </c>
      <c r="I6" s="6" t="s">
        <v>21</v>
      </c>
      <c r="J6" s="6" t="s">
        <v>30</v>
      </c>
      <c r="K6" s="7" t="s">
        <v>31</v>
      </c>
      <c r="L6" s="8" t="s">
        <v>32</v>
      </c>
      <c r="M6" s="4" t="s">
        <v>211</v>
      </c>
    </row>
    <row r="7" spans="1:13" ht="36.75" customHeight="1" x14ac:dyDescent="0.25">
      <c r="A7" s="4">
        <f t="shared" ref="A7:A35" si="0">A6+1</f>
        <v>3</v>
      </c>
      <c r="B7" s="5">
        <v>46028.644837962966</v>
      </c>
      <c r="C7" s="4" t="s">
        <v>33</v>
      </c>
      <c r="D7" s="4"/>
      <c r="E7" s="11" t="s">
        <v>34</v>
      </c>
      <c r="F7" s="4" t="s">
        <v>28</v>
      </c>
      <c r="G7" s="4" t="s">
        <v>19</v>
      </c>
      <c r="H7" s="4" t="s">
        <v>29</v>
      </c>
      <c r="I7" s="6" t="s">
        <v>35</v>
      </c>
      <c r="J7" s="6" t="s">
        <v>36</v>
      </c>
      <c r="K7" s="7" t="s">
        <v>37</v>
      </c>
      <c r="L7" s="8" t="s">
        <v>32</v>
      </c>
      <c r="M7" s="4" t="s">
        <v>211</v>
      </c>
    </row>
    <row r="8" spans="1:13" ht="36.75" customHeight="1" x14ac:dyDescent="0.25">
      <c r="A8" s="4">
        <f t="shared" si="0"/>
        <v>4</v>
      </c>
      <c r="B8" s="5">
        <v>46028.569525462961</v>
      </c>
      <c r="C8" s="4" t="s">
        <v>38</v>
      </c>
      <c r="D8" s="4"/>
      <c r="E8" s="11" t="s">
        <v>39</v>
      </c>
      <c r="F8" s="4" t="s">
        <v>28</v>
      </c>
      <c r="G8" s="4" t="s">
        <v>19</v>
      </c>
      <c r="H8" s="4" t="s">
        <v>40</v>
      </c>
      <c r="I8" s="6" t="s">
        <v>41</v>
      </c>
      <c r="J8" s="6" t="s">
        <v>21</v>
      </c>
      <c r="K8" s="7" t="s">
        <v>42</v>
      </c>
      <c r="L8" s="8" t="s">
        <v>32</v>
      </c>
      <c r="M8" s="4" t="s">
        <v>211</v>
      </c>
    </row>
    <row r="9" spans="1:13" ht="36.75" customHeight="1" x14ac:dyDescent="0.25">
      <c r="A9" s="4">
        <f t="shared" si="0"/>
        <v>5</v>
      </c>
      <c r="B9" s="5">
        <v>46028.643252314818</v>
      </c>
      <c r="C9" s="4" t="s">
        <v>43</v>
      </c>
      <c r="D9" s="4"/>
      <c r="E9" s="11" t="s">
        <v>44</v>
      </c>
      <c r="F9" s="4" t="s">
        <v>28</v>
      </c>
      <c r="G9" s="4" t="s">
        <v>19</v>
      </c>
      <c r="H9" s="4" t="s">
        <v>29</v>
      </c>
      <c r="I9" s="6" t="s">
        <v>30</v>
      </c>
      <c r="J9" s="6" t="s">
        <v>45</v>
      </c>
      <c r="K9" s="7" t="s">
        <v>37</v>
      </c>
      <c r="L9" s="8" t="s">
        <v>46</v>
      </c>
      <c r="M9" s="4" t="s">
        <v>211</v>
      </c>
    </row>
    <row r="10" spans="1:13" ht="36.75" customHeight="1" x14ac:dyDescent="0.25">
      <c r="A10" s="4">
        <f t="shared" si="0"/>
        <v>6</v>
      </c>
      <c r="B10" s="5">
        <v>46028.589837962965</v>
      </c>
      <c r="C10" s="4" t="s">
        <v>47</v>
      </c>
      <c r="D10" s="4"/>
      <c r="E10" s="11" t="s">
        <v>48</v>
      </c>
      <c r="F10" s="4" t="s">
        <v>49</v>
      </c>
      <c r="G10" s="4" t="s">
        <v>19</v>
      </c>
      <c r="H10" s="4" t="s">
        <v>50</v>
      </c>
      <c r="I10" s="6" t="s">
        <v>21</v>
      </c>
      <c r="J10" s="6" t="s">
        <v>22</v>
      </c>
      <c r="K10" s="7" t="s">
        <v>51</v>
      </c>
      <c r="L10" s="8" t="s">
        <v>52</v>
      </c>
      <c r="M10" s="4" t="s">
        <v>211</v>
      </c>
    </row>
    <row r="11" spans="1:13" ht="36.75" customHeight="1" x14ac:dyDescent="0.25">
      <c r="A11" s="4">
        <f t="shared" si="0"/>
        <v>7</v>
      </c>
      <c r="B11" s="5">
        <v>46028.62773148148</v>
      </c>
      <c r="C11" s="4" t="s">
        <v>53</v>
      </c>
      <c r="D11" s="4"/>
      <c r="E11" s="11" t="s">
        <v>54</v>
      </c>
      <c r="F11" s="4" t="s">
        <v>49</v>
      </c>
      <c r="G11" s="4" t="s">
        <v>19</v>
      </c>
      <c r="H11" s="4" t="s">
        <v>55</v>
      </c>
      <c r="I11" s="6" t="s">
        <v>21</v>
      </c>
      <c r="J11" s="6" t="s">
        <v>22</v>
      </c>
      <c r="K11" s="7" t="s">
        <v>56</v>
      </c>
      <c r="L11" s="8" t="s">
        <v>57</v>
      </c>
      <c r="M11" s="4" t="s">
        <v>212</v>
      </c>
    </row>
    <row r="12" spans="1:13" ht="36.75" customHeight="1" x14ac:dyDescent="0.25">
      <c r="A12" s="4">
        <f t="shared" si="0"/>
        <v>8</v>
      </c>
      <c r="B12" s="5">
        <v>46028.692777777775</v>
      </c>
      <c r="C12" s="4" t="s">
        <v>58</v>
      </c>
      <c r="D12" s="4"/>
      <c r="E12" s="11" t="s">
        <v>59</v>
      </c>
      <c r="F12" s="4" t="s">
        <v>60</v>
      </c>
      <c r="G12" s="4" t="s">
        <v>19</v>
      </c>
      <c r="H12" s="4" t="s">
        <v>61</v>
      </c>
      <c r="I12" s="6" t="s">
        <v>62</v>
      </c>
      <c r="J12" s="6" t="s">
        <v>63</v>
      </c>
      <c r="K12" s="7" t="s">
        <v>64</v>
      </c>
      <c r="L12" s="8" t="s">
        <v>65</v>
      </c>
      <c r="M12" s="4" t="s">
        <v>219</v>
      </c>
    </row>
    <row r="13" spans="1:13" ht="36.75" customHeight="1" x14ac:dyDescent="0.25">
      <c r="A13" s="4">
        <f t="shared" si="0"/>
        <v>9</v>
      </c>
      <c r="B13" s="5">
        <v>46028.612453703703</v>
      </c>
      <c r="C13" s="4" t="s">
        <v>66</v>
      </c>
      <c r="D13" s="4"/>
      <c r="E13" s="11" t="s">
        <v>67</v>
      </c>
      <c r="F13" s="4" t="s">
        <v>68</v>
      </c>
      <c r="G13" s="4" t="s">
        <v>19</v>
      </c>
      <c r="H13" s="4" t="s">
        <v>69</v>
      </c>
      <c r="I13" s="6" t="s">
        <v>21</v>
      </c>
      <c r="J13" s="6" t="s">
        <v>22</v>
      </c>
      <c r="K13" s="7" t="s">
        <v>70</v>
      </c>
      <c r="L13" s="8" t="s">
        <v>71</v>
      </c>
      <c r="M13" s="4" t="s">
        <v>217</v>
      </c>
    </row>
    <row r="14" spans="1:13" ht="36.75" customHeight="1" x14ac:dyDescent="0.25">
      <c r="A14" s="4">
        <f t="shared" si="0"/>
        <v>10</v>
      </c>
      <c r="B14" s="5">
        <v>46028.515092592592</v>
      </c>
      <c r="C14" s="4" t="s">
        <v>72</v>
      </c>
      <c r="D14" s="4"/>
      <c r="E14" s="11" t="s">
        <v>73</v>
      </c>
      <c r="F14" s="4" t="s">
        <v>74</v>
      </c>
      <c r="G14" s="4" t="s">
        <v>19</v>
      </c>
      <c r="H14" s="4" t="s">
        <v>75</v>
      </c>
      <c r="I14" s="6" t="s">
        <v>76</v>
      </c>
      <c r="J14" s="6" t="s">
        <v>77</v>
      </c>
      <c r="K14" s="7" t="s">
        <v>78</v>
      </c>
      <c r="L14" s="8" t="s">
        <v>79</v>
      </c>
      <c r="M14" s="4" t="s">
        <v>211</v>
      </c>
    </row>
    <row r="15" spans="1:13" ht="36.75" customHeight="1" x14ac:dyDescent="0.25">
      <c r="A15" s="4">
        <f t="shared" si="0"/>
        <v>11</v>
      </c>
      <c r="B15" s="5">
        <v>46028.524537037039</v>
      </c>
      <c r="C15" s="4" t="s">
        <v>80</v>
      </c>
      <c r="D15" s="4"/>
      <c r="E15" s="11" t="s">
        <v>81</v>
      </c>
      <c r="F15" s="4" t="s">
        <v>82</v>
      </c>
      <c r="G15" s="4" t="s">
        <v>19</v>
      </c>
      <c r="H15" s="4" t="s">
        <v>83</v>
      </c>
      <c r="I15" s="6" t="s">
        <v>76</v>
      </c>
      <c r="J15" s="6" t="s">
        <v>22</v>
      </c>
      <c r="K15" s="7" t="s">
        <v>84</v>
      </c>
      <c r="L15" s="8" t="s">
        <v>85</v>
      </c>
      <c r="M15" s="4" t="s">
        <v>213</v>
      </c>
    </row>
    <row r="16" spans="1:13" ht="36.75" customHeight="1" x14ac:dyDescent="0.25">
      <c r="A16" s="4">
        <f t="shared" si="0"/>
        <v>12</v>
      </c>
      <c r="B16" s="5">
        <v>46028.528877314813</v>
      </c>
      <c r="C16" s="4" t="s">
        <v>86</v>
      </c>
      <c r="D16" s="4"/>
      <c r="E16" s="11" t="s">
        <v>87</v>
      </c>
      <c r="F16" s="4" t="s">
        <v>88</v>
      </c>
      <c r="G16" s="4" t="s">
        <v>19</v>
      </c>
      <c r="H16" s="4" t="s">
        <v>89</v>
      </c>
      <c r="I16" s="6" t="s">
        <v>30</v>
      </c>
      <c r="J16" s="6" t="s">
        <v>77</v>
      </c>
      <c r="K16" s="7" t="s">
        <v>90</v>
      </c>
      <c r="L16" s="8" t="s">
        <v>91</v>
      </c>
      <c r="M16" s="4" t="s">
        <v>211</v>
      </c>
    </row>
    <row r="17" spans="1:13" ht="36.75" customHeight="1" x14ac:dyDescent="0.25">
      <c r="A17" s="4">
        <f t="shared" si="0"/>
        <v>13</v>
      </c>
      <c r="B17" s="5">
        <v>46028.694224537037</v>
      </c>
      <c r="C17" s="4" t="s">
        <v>92</v>
      </c>
      <c r="D17" s="4"/>
      <c r="E17" s="11" t="s">
        <v>93</v>
      </c>
      <c r="F17" s="4" t="s">
        <v>94</v>
      </c>
      <c r="G17" s="4" t="s">
        <v>19</v>
      </c>
      <c r="H17" s="4" t="s">
        <v>95</v>
      </c>
      <c r="I17" s="6" t="s">
        <v>45</v>
      </c>
      <c r="J17" s="6" t="s">
        <v>96</v>
      </c>
      <c r="K17" s="7" t="s">
        <v>97</v>
      </c>
      <c r="L17" s="8" t="s">
        <v>98</v>
      </c>
      <c r="M17" s="4" t="s">
        <v>211</v>
      </c>
    </row>
    <row r="18" spans="1:13" ht="36.75" customHeight="1" x14ac:dyDescent="0.25">
      <c r="A18" s="4">
        <f t="shared" si="0"/>
        <v>14</v>
      </c>
      <c r="B18" s="5">
        <v>46028.648009259261</v>
      </c>
      <c r="C18" s="4" t="s">
        <v>99</v>
      </c>
      <c r="D18" s="4"/>
      <c r="E18" s="11" t="s">
        <v>100</v>
      </c>
      <c r="F18" s="4" t="s">
        <v>101</v>
      </c>
      <c r="G18" s="4" t="s">
        <v>102</v>
      </c>
      <c r="H18" s="4" t="s">
        <v>103</v>
      </c>
      <c r="I18" s="6" t="s">
        <v>62</v>
      </c>
      <c r="J18" s="6" t="s">
        <v>22</v>
      </c>
      <c r="K18" s="7" t="s">
        <v>104</v>
      </c>
      <c r="L18" s="8" t="s">
        <v>105</v>
      </c>
      <c r="M18" s="4" t="s">
        <v>216</v>
      </c>
    </row>
    <row r="19" spans="1:13" ht="36.75" customHeight="1" x14ac:dyDescent="0.25">
      <c r="A19" s="4">
        <f t="shared" si="0"/>
        <v>15</v>
      </c>
      <c r="B19" s="5">
        <v>46028.623877314814</v>
      </c>
      <c r="C19" s="4" t="s">
        <v>106</v>
      </c>
      <c r="D19" s="4"/>
      <c r="E19" s="11" t="s">
        <v>107</v>
      </c>
      <c r="F19" s="4" t="s">
        <v>108</v>
      </c>
      <c r="G19" s="4" t="s">
        <v>19</v>
      </c>
      <c r="H19" s="4" t="s">
        <v>109</v>
      </c>
      <c r="I19" s="6" t="s">
        <v>21</v>
      </c>
      <c r="J19" s="6" t="s">
        <v>63</v>
      </c>
      <c r="K19" s="7" t="s">
        <v>110</v>
      </c>
      <c r="L19" s="8" t="s">
        <v>111</v>
      </c>
      <c r="M19" s="4" t="s">
        <v>208</v>
      </c>
    </row>
    <row r="20" spans="1:13" ht="36.75" customHeight="1" x14ac:dyDescent="0.25">
      <c r="A20" s="4">
        <f t="shared" si="0"/>
        <v>16</v>
      </c>
      <c r="B20" s="5">
        <v>46027.714085648149</v>
      </c>
      <c r="C20" s="4" t="s">
        <v>112</v>
      </c>
      <c r="D20" s="4" t="s">
        <v>113</v>
      </c>
      <c r="E20" s="11" t="s">
        <v>114</v>
      </c>
      <c r="F20" s="4" t="s">
        <v>115</v>
      </c>
      <c r="G20" s="4" t="s">
        <v>19</v>
      </c>
      <c r="H20" s="4" t="s">
        <v>116</v>
      </c>
      <c r="I20" s="6" t="s">
        <v>117</v>
      </c>
      <c r="J20" s="6" t="s">
        <v>63</v>
      </c>
      <c r="K20" s="7" t="s">
        <v>118</v>
      </c>
      <c r="L20" s="8" t="s">
        <v>119</v>
      </c>
      <c r="M20" s="4" t="s">
        <v>208</v>
      </c>
    </row>
    <row r="21" spans="1:13" ht="36.75" customHeight="1" x14ac:dyDescent="0.25">
      <c r="A21" s="4">
        <f t="shared" si="0"/>
        <v>17</v>
      </c>
      <c r="B21" s="5">
        <v>46028.631168981483</v>
      </c>
      <c r="C21" s="4" t="s">
        <v>120</v>
      </c>
      <c r="D21" s="4"/>
      <c r="E21" s="11" t="s">
        <v>121</v>
      </c>
      <c r="F21" s="4" t="s">
        <v>122</v>
      </c>
      <c r="G21" s="4" t="s">
        <v>19</v>
      </c>
      <c r="H21" s="4" t="s">
        <v>123</v>
      </c>
      <c r="I21" s="6" t="s">
        <v>21</v>
      </c>
      <c r="J21" s="6" t="s">
        <v>77</v>
      </c>
      <c r="K21" s="7" t="s">
        <v>124</v>
      </c>
      <c r="L21" s="8" t="s">
        <v>125</v>
      </c>
      <c r="M21" s="4" t="s">
        <v>208</v>
      </c>
    </row>
    <row r="22" spans="1:13" ht="36.75" customHeight="1" x14ac:dyDescent="0.25">
      <c r="A22" s="4">
        <f t="shared" si="0"/>
        <v>18</v>
      </c>
      <c r="B22" s="5">
        <v>46028.633344907408</v>
      </c>
      <c r="C22" s="4" t="s">
        <v>126</v>
      </c>
      <c r="D22" s="4"/>
      <c r="E22" s="11" t="s">
        <v>127</v>
      </c>
      <c r="F22" s="4" t="s">
        <v>122</v>
      </c>
      <c r="G22" s="4" t="s">
        <v>19</v>
      </c>
      <c r="H22" s="4" t="s">
        <v>123</v>
      </c>
      <c r="I22" s="6" t="s">
        <v>21</v>
      </c>
      <c r="J22" s="6" t="s">
        <v>77</v>
      </c>
      <c r="K22" s="7" t="s">
        <v>124</v>
      </c>
      <c r="L22" s="8" t="s">
        <v>125</v>
      </c>
      <c r="M22" s="4" t="s">
        <v>208</v>
      </c>
    </row>
    <row r="23" spans="1:13" ht="36.75" customHeight="1" x14ac:dyDescent="0.25">
      <c r="A23" s="4">
        <f t="shared" si="0"/>
        <v>19</v>
      </c>
      <c r="B23" s="5">
        <v>46025.465069444443</v>
      </c>
      <c r="C23" s="4" t="s">
        <v>128</v>
      </c>
      <c r="D23" s="4" t="s">
        <v>113</v>
      </c>
      <c r="E23" s="11" t="s">
        <v>129</v>
      </c>
      <c r="F23" s="4" t="s">
        <v>130</v>
      </c>
      <c r="G23" s="4" t="s">
        <v>19</v>
      </c>
      <c r="H23" s="4" t="s">
        <v>131</v>
      </c>
      <c r="I23" s="6" t="s">
        <v>132</v>
      </c>
      <c r="J23" s="6" t="s">
        <v>133</v>
      </c>
      <c r="K23" s="7" t="s">
        <v>134</v>
      </c>
      <c r="L23" s="8" t="s">
        <v>135</v>
      </c>
      <c r="M23" s="4" t="s">
        <v>208</v>
      </c>
    </row>
    <row r="24" spans="1:13" ht="36.75" customHeight="1" x14ac:dyDescent="0.25">
      <c r="A24" s="4">
        <f t="shared" si="0"/>
        <v>20</v>
      </c>
      <c r="B24" s="5">
        <v>46023.642534722225</v>
      </c>
      <c r="C24" s="4" t="s">
        <v>144</v>
      </c>
      <c r="D24" s="4" t="s">
        <v>136</v>
      </c>
      <c r="E24" s="11" t="s">
        <v>145</v>
      </c>
      <c r="F24" s="4" t="s">
        <v>138</v>
      </c>
      <c r="G24" s="4" t="s">
        <v>19</v>
      </c>
      <c r="H24" s="4" t="s">
        <v>146</v>
      </c>
      <c r="I24" s="6" t="s">
        <v>147</v>
      </c>
      <c r="J24" s="6" t="s">
        <v>148</v>
      </c>
      <c r="K24" s="7" t="s">
        <v>149</v>
      </c>
      <c r="L24" s="8" t="s">
        <v>150</v>
      </c>
      <c r="M24" s="4" t="s">
        <v>209</v>
      </c>
    </row>
    <row r="25" spans="1:13" ht="36.75" customHeight="1" x14ac:dyDescent="0.25">
      <c r="A25" s="4">
        <f t="shared" si="0"/>
        <v>21</v>
      </c>
      <c r="B25" s="5">
        <v>45961.750509259262</v>
      </c>
      <c r="C25" s="4" t="s">
        <v>151</v>
      </c>
      <c r="D25" s="4" t="s">
        <v>136</v>
      </c>
      <c r="E25" s="11" t="s">
        <v>143</v>
      </c>
      <c r="F25" s="4" t="s">
        <v>138</v>
      </c>
      <c r="G25" s="4" t="s">
        <v>19</v>
      </c>
      <c r="H25" s="4" t="s">
        <v>140</v>
      </c>
      <c r="I25" s="6" t="s">
        <v>132</v>
      </c>
      <c r="J25" s="6" t="s">
        <v>152</v>
      </c>
      <c r="K25" s="7" t="s">
        <v>153</v>
      </c>
      <c r="L25" s="8" t="s">
        <v>142</v>
      </c>
      <c r="M25" s="4" t="s">
        <v>136</v>
      </c>
    </row>
    <row r="26" spans="1:13" ht="36.75" customHeight="1" x14ac:dyDescent="0.25">
      <c r="A26" s="4">
        <f t="shared" si="0"/>
        <v>22</v>
      </c>
      <c r="B26" s="5">
        <v>45961.72996527778</v>
      </c>
      <c r="C26" s="4" t="s">
        <v>154</v>
      </c>
      <c r="D26" s="4" t="s">
        <v>136</v>
      </c>
      <c r="E26" s="11" t="s">
        <v>137</v>
      </c>
      <c r="F26" s="4" t="s">
        <v>138</v>
      </c>
      <c r="G26" s="4" t="s">
        <v>139</v>
      </c>
      <c r="H26" s="4" t="s">
        <v>140</v>
      </c>
      <c r="I26" s="6" t="s">
        <v>132</v>
      </c>
      <c r="J26" s="6" t="s">
        <v>152</v>
      </c>
      <c r="K26" s="7" t="s">
        <v>141</v>
      </c>
      <c r="L26" s="8" t="s">
        <v>142</v>
      </c>
      <c r="M26" s="4" t="s">
        <v>136</v>
      </c>
    </row>
    <row r="27" spans="1:13" ht="36.75" customHeight="1" x14ac:dyDescent="0.25">
      <c r="A27" s="4">
        <f t="shared" si="0"/>
        <v>23</v>
      </c>
      <c r="B27" s="5">
        <v>46028.661979166667</v>
      </c>
      <c r="C27" s="4" t="s">
        <v>155</v>
      </c>
      <c r="D27" s="4"/>
      <c r="E27" s="11" t="s">
        <v>156</v>
      </c>
      <c r="F27" s="4" t="s">
        <v>157</v>
      </c>
      <c r="G27" s="4" t="s">
        <v>19</v>
      </c>
      <c r="H27" s="4" t="s">
        <v>158</v>
      </c>
      <c r="I27" s="6" t="s">
        <v>30</v>
      </c>
      <c r="J27" s="6" t="s">
        <v>96</v>
      </c>
      <c r="K27" s="7" t="s">
        <v>159</v>
      </c>
      <c r="L27" s="8" t="s">
        <v>160</v>
      </c>
      <c r="M27" s="4" t="s">
        <v>214</v>
      </c>
    </row>
    <row r="28" spans="1:13" ht="36.75" customHeight="1" x14ac:dyDescent="0.25">
      <c r="A28" s="4">
        <f t="shared" si="0"/>
        <v>24</v>
      </c>
      <c r="B28" s="5">
        <v>46028.688287037039</v>
      </c>
      <c r="C28" s="4" t="s">
        <v>161</v>
      </c>
      <c r="D28" s="4"/>
      <c r="E28" s="11" t="s">
        <v>162</v>
      </c>
      <c r="F28" s="4" t="s">
        <v>163</v>
      </c>
      <c r="G28" s="4" t="s">
        <v>19</v>
      </c>
      <c r="H28" s="4" t="s">
        <v>164</v>
      </c>
      <c r="I28" s="6" t="s">
        <v>21</v>
      </c>
      <c r="J28" s="6" t="s">
        <v>63</v>
      </c>
      <c r="K28" s="7" t="s">
        <v>165</v>
      </c>
      <c r="L28" s="8" t="s">
        <v>166</v>
      </c>
      <c r="M28" s="4" t="s">
        <v>213</v>
      </c>
    </row>
    <row r="29" spans="1:13" ht="36.75" customHeight="1" x14ac:dyDescent="0.25">
      <c r="A29" s="4">
        <f t="shared" si="0"/>
        <v>25</v>
      </c>
      <c r="B29" s="5">
        <v>46027.841446759259</v>
      </c>
      <c r="C29" s="4" t="s">
        <v>167</v>
      </c>
      <c r="D29" s="4"/>
      <c r="E29" s="11" t="s">
        <v>168</v>
      </c>
      <c r="F29" s="4" t="s">
        <v>163</v>
      </c>
      <c r="G29" s="4" t="s">
        <v>19</v>
      </c>
      <c r="H29" s="4" t="s">
        <v>169</v>
      </c>
      <c r="I29" s="6" t="s">
        <v>21</v>
      </c>
      <c r="J29" s="6" t="s">
        <v>22</v>
      </c>
      <c r="K29" s="7" t="s">
        <v>170</v>
      </c>
      <c r="L29" s="8" t="s">
        <v>166</v>
      </c>
      <c r="M29" s="4" t="s">
        <v>215</v>
      </c>
    </row>
    <row r="30" spans="1:13" ht="36.75" customHeight="1" x14ac:dyDescent="0.25">
      <c r="A30" s="4">
        <f t="shared" si="0"/>
        <v>26</v>
      </c>
      <c r="B30" s="5">
        <v>46028.534884259258</v>
      </c>
      <c r="C30" s="4" t="s">
        <v>171</v>
      </c>
      <c r="D30" s="4"/>
      <c r="E30" s="11" t="s">
        <v>172</v>
      </c>
      <c r="F30" s="4" t="s">
        <v>173</v>
      </c>
      <c r="G30" s="4" t="s">
        <v>19</v>
      </c>
      <c r="H30" s="4" t="s">
        <v>174</v>
      </c>
      <c r="I30" s="6" t="s">
        <v>76</v>
      </c>
      <c r="J30" s="6" t="s">
        <v>22</v>
      </c>
      <c r="K30" s="7" t="s">
        <v>175</v>
      </c>
      <c r="L30" s="8" t="s">
        <v>176</v>
      </c>
      <c r="M30" s="4" t="s">
        <v>218</v>
      </c>
    </row>
    <row r="31" spans="1:13" ht="36.75" customHeight="1" x14ac:dyDescent="0.25">
      <c r="A31" s="4">
        <f t="shared" si="0"/>
        <v>27</v>
      </c>
      <c r="B31" s="5">
        <v>46028.572627314818</v>
      </c>
      <c r="C31" s="4" t="s">
        <v>177</v>
      </c>
      <c r="D31" s="4"/>
      <c r="E31" s="11" t="s">
        <v>178</v>
      </c>
      <c r="F31" s="4" t="s">
        <v>179</v>
      </c>
      <c r="G31" s="4" t="s">
        <v>19</v>
      </c>
      <c r="H31" s="4" t="s">
        <v>180</v>
      </c>
      <c r="I31" s="6" t="s">
        <v>62</v>
      </c>
      <c r="J31" s="6" t="s">
        <v>22</v>
      </c>
      <c r="K31" s="7" t="s">
        <v>181</v>
      </c>
      <c r="L31" s="8" t="s">
        <v>182</v>
      </c>
      <c r="M31" s="4" t="s">
        <v>211</v>
      </c>
    </row>
    <row r="32" spans="1:13" ht="36.75" customHeight="1" x14ac:dyDescent="0.25">
      <c r="A32" s="4">
        <f t="shared" si="0"/>
        <v>28</v>
      </c>
      <c r="B32" s="5">
        <v>46016.785428240742</v>
      </c>
      <c r="C32" s="4" t="s">
        <v>186</v>
      </c>
      <c r="D32" s="4" t="s">
        <v>113</v>
      </c>
      <c r="E32" s="11" t="s">
        <v>187</v>
      </c>
      <c r="F32" s="4" t="s">
        <v>183</v>
      </c>
      <c r="G32" s="4" t="s">
        <v>19</v>
      </c>
      <c r="H32" s="4" t="s">
        <v>188</v>
      </c>
      <c r="I32" s="6" t="s">
        <v>189</v>
      </c>
      <c r="J32" s="6" t="s">
        <v>190</v>
      </c>
      <c r="K32" s="7" t="s">
        <v>191</v>
      </c>
      <c r="L32" s="8" t="s">
        <v>192</v>
      </c>
      <c r="M32" s="4" t="s">
        <v>210</v>
      </c>
    </row>
    <row r="33" spans="1:13" ht="36.75" customHeight="1" x14ac:dyDescent="0.25">
      <c r="A33" s="4">
        <f t="shared" si="0"/>
        <v>29</v>
      </c>
      <c r="B33" s="5">
        <v>46001.737534722219</v>
      </c>
      <c r="C33" s="4" t="s">
        <v>193</v>
      </c>
      <c r="D33" s="4"/>
      <c r="E33" s="11" t="s">
        <v>194</v>
      </c>
      <c r="F33" s="4" t="s">
        <v>183</v>
      </c>
      <c r="G33" s="4" t="s">
        <v>19</v>
      </c>
      <c r="H33" s="4" t="s">
        <v>195</v>
      </c>
      <c r="I33" s="6" t="s">
        <v>76</v>
      </c>
      <c r="J33" s="6" t="s">
        <v>63</v>
      </c>
      <c r="K33" s="7" t="s">
        <v>184</v>
      </c>
      <c r="L33" s="8" t="s">
        <v>185</v>
      </c>
      <c r="M33" s="4" t="s">
        <v>211</v>
      </c>
    </row>
    <row r="34" spans="1:13" ht="36.75" customHeight="1" x14ac:dyDescent="0.25">
      <c r="A34" s="4">
        <f t="shared" si="0"/>
        <v>30</v>
      </c>
      <c r="B34" s="5">
        <v>46027.639479166668</v>
      </c>
      <c r="C34" s="4" t="s">
        <v>196</v>
      </c>
      <c r="D34" s="4"/>
      <c r="E34" s="11" t="s">
        <v>197</v>
      </c>
      <c r="F34" s="4" t="s">
        <v>198</v>
      </c>
      <c r="G34" s="4" t="s">
        <v>139</v>
      </c>
      <c r="H34" s="4" t="s">
        <v>199</v>
      </c>
      <c r="I34" s="6" t="s">
        <v>76</v>
      </c>
      <c r="J34" s="6" t="s">
        <v>63</v>
      </c>
      <c r="K34" s="7" t="s">
        <v>78</v>
      </c>
      <c r="L34" s="8" t="s">
        <v>79</v>
      </c>
      <c r="M34" s="4" t="s">
        <v>212</v>
      </c>
    </row>
    <row r="35" spans="1:13" ht="36.75" customHeight="1" x14ac:dyDescent="0.25">
      <c r="A35" s="17">
        <f t="shared" si="0"/>
        <v>31</v>
      </c>
      <c r="B35" s="18">
        <v>46003.541168981479</v>
      </c>
      <c r="C35" s="17" t="s">
        <v>207</v>
      </c>
      <c r="D35" s="17" t="s">
        <v>136</v>
      </c>
      <c r="E35" s="19" t="s">
        <v>200</v>
      </c>
      <c r="F35" s="17" t="s">
        <v>201</v>
      </c>
      <c r="G35" s="17" t="s">
        <v>19</v>
      </c>
      <c r="H35" s="17" t="s">
        <v>202</v>
      </c>
      <c r="I35" s="20" t="s">
        <v>203</v>
      </c>
      <c r="J35" s="20" t="s">
        <v>204</v>
      </c>
      <c r="K35" s="21" t="s">
        <v>205</v>
      </c>
      <c r="L35" s="22" t="s">
        <v>206</v>
      </c>
      <c r="M35" s="17" t="s">
        <v>136</v>
      </c>
    </row>
    <row r="36" spans="1:13" ht="165" x14ac:dyDescent="0.25">
      <c r="A36" s="23">
        <v>32</v>
      </c>
      <c r="B36" s="24"/>
      <c r="C36" s="24"/>
      <c r="D36" s="24"/>
      <c r="E36" s="25" t="s">
        <v>220</v>
      </c>
      <c r="F36" s="25" t="s">
        <v>223</v>
      </c>
      <c r="G36" s="24"/>
      <c r="H36" s="25" t="s">
        <v>226</v>
      </c>
      <c r="I36" s="26">
        <v>46028.458333333336</v>
      </c>
      <c r="J36" s="26">
        <v>46028.75</v>
      </c>
      <c r="K36" s="24"/>
      <c r="L36" s="24"/>
      <c r="M36" s="27" t="s">
        <v>230</v>
      </c>
    </row>
    <row r="37" spans="1:13" ht="60" x14ac:dyDescent="0.25">
      <c r="A37" s="23">
        <v>33</v>
      </c>
      <c r="B37" s="24"/>
      <c r="C37" s="24"/>
      <c r="D37" s="24"/>
      <c r="E37" s="25" t="s">
        <v>221</v>
      </c>
      <c r="F37" s="25" t="s">
        <v>224</v>
      </c>
      <c r="G37" s="24"/>
      <c r="H37" s="25" t="s">
        <v>227</v>
      </c>
      <c r="I37" s="26">
        <v>46028.375</v>
      </c>
      <c r="J37" s="26">
        <v>46028.75</v>
      </c>
      <c r="K37" s="24"/>
      <c r="L37" s="24"/>
      <c r="M37" s="27" t="s">
        <v>229</v>
      </c>
    </row>
    <row r="38" spans="1:13" ht="75" x14ac:dyDescent="0.25">
      <c r="A38" s="23">
        <v>34</v>
      </c>
      <c r="B38" s="24"/>
      <c r="C38" s="24"/>
      <c r="D38" s="24"/>
      <c r="E38" s="25" t="s">
        <v>222</v>
      </c>
      <c r="F38" s="25" t="s">
        <v>225</v>
      </c>
      <c r="G38" s="24"/>
      <c r="H38" s="25" t="s">
        <v>228</v>
      </c>
      <c r="I38" s="26">
        <v>46028.375</v>
      </c>
      <c r="J38" s="26">
        <v>46028.75</v>
      </c>
      <c r="K38" s="24"/>
      <c r="L38" s="24"/>
      <c r="M38" s="27" t="s">
        <v>231</v>
      </c>
    </row>
  </sheetData>
  <mergeCells count="2">
    <mergeCell ref="B1:M1"/>
    <mergeCell ref="K4:L4"/>
  </mergeCells>
  <pageMargins left="0.25" right="0.25" top="0.75" bottom="0.75" header="0.5" footer="0.5"/>
  <pageSetup paperSize="9"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Sheet0</vt:lpstr>
      <vt:lpstr>__bookmark_1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DELL</cp:lastModifiedBy>
  <dcterms:created xsi:type="dcterms:W3CDTF">2026-01-06T11:12:39Z</dcterms:created>
  <dcterms:modified xsi:type="dcterms:W3CDTF">2026-01-06T13:21:48Z</dcterms:modified>
</cp:coreProperties>
</file>
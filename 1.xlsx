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Sheet0!$A$1:$M$17</definedName>
  </definedNames>
  <calcPr calcId="162913"/>
</workbook>
</file>

<file path=xl/calcChain.xml><?xml version="1.0" encoding="utf-8"?>
<calcChain xmlns="http://schemas.openxmlformats.org/spreadsheetml/2006/main">
  <c r="A18" i="1" l="1"/>
  <c r="A19" i="1"/>
  <c r="A20" i="1" s="1"/>
  <c r="A21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<sst xmlns="http://schemas.openxmlformats.org/spreadsheetml/2006/main" count="188" uniqueCount="123">
  <si>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</si>
  <si>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</si>
  <si>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</si>
  <si>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</si>
  <si>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</si>
  <si>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</si>
  <si>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</si>
  <si>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</si>
  <si>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</si>
  <si>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</si>
  <si>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</si>
  <si>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</si>
  <si>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</si>
  <si>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</si>
  <si>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</si>
  <si>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</si>
  <si>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</si>
  <si>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MR2608/0181</t>
  </si>
  <si>
    <t>220KV_220 KV Chhegaon Nepanagar ckt</t>
  </si>
  <si>
    <t>400KV_CHHEGAON4</t>
  </si>
  <si>
    <t>NON-OCCM-MP</t>
  </si>
  <si>
    <t>Main-2 DPR autorecloser testing work</t>
  </si>
  <si>
    <t>18-08-2026 11:00:00</t>
  </si>
  <si>
    <t>18-08-2026 17:00:00</t>
  </si>
  <si>
    <t>Er Ganesh Mansare</t>
  </si>
  <si>
    <t>9425802441</t>
  </si>
  <si>
    <t>MR2608/0180</t>
  </si>
  <si>
    <t>Daily</t>
  </si>
  <si>
    <t>132KV_132KV DAMOH-PATERA LINE IST&amp;IIND CKT</t>
  </si>
  <si>
    <t>220KV_DAMOH</t>
  </si>
  <si>
    <t>PTW FOR LIVE LINE OPGW INSTALLATION</t>
  </si>
  <si>
    <t>18-08-2026 07:00:00</t>
  </si>
  <si>
    <t>22-08-2026 19:00:00</t>
  </si>
  <si>
    <t>M.M. BAIG</t>
  </si>
  <si>
    <t>9425805067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</si>
  <si>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</si>
  <si>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</si>
  <si>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</si>
  <si>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</si>
  <si>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</si>
  <si>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</si>
  <si>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</si>
  <si>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</si>
  <si>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MR2608/0193</t>
  </si>
  <si>
    <t>132KV_132kv RTS ckt</t>
  </si>
  <si>
    <t>220KV_MALANPUR</t>
  </si>
  <si>
    <t>OCCM-MP</t>
  </si>
  <si>
    <t>Bay Maintenance both end</t>
  </si>
  <si>
    <t>18-08-2026 14:30:00</t>
  </si>
  <si>
    <t>18-08-2026 16:30:00</t>
  </si>
  <si>
    <t>VIKRAM AHIRWAR</t>
  </si>
  <si>
    <t>9425805415</t>
  </si>
  <si>
    <t>MR2608/0194</t>
  </si>
  <si>
    <t>132KV_Opportunity Shutdown on 132KV RTS Malanpur</t>
  </si>
  <si>
    <t>Opportunity Shutdown for Line Maintenanace work</t>
  </si>
  <si>
    <t>Baidyanath Kumar</t>
  </si>
  <si>
    <t>6265588473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</si>
  <si>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</si>
  <si>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</si>
  <si>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</si>
  <si>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</si>
  <si>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</si>
  <si>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</si>
  <si>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</si>
  <si>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</si>
  <si>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MR2608/0185</t>
  </si>
  <si>
    <t>220KV_220KV Neemuch- Mandsaur-II</t>
  </si>
  <si>
    <t>NON-OCCM-WR</t>
  </si>
  <si>
    <t>IInd New DPR relay replacement work</t>
  </si>
  <si>
    <t>18-08-2026 09:00:00</t>
  </si>
  <si>
    <t>S.H. Mansuri</t>
  </si>
  <si>
    <t>7587951068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</si>
  <si>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</si>
  <si>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</si>
  <si>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</si>
  <si>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</si>
  <si>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</si>
  <si>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</si>
  <si>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</si>
  <si>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</si>
  <si>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MR2608/0184</t>
  </si>
  <si>
    <t>220KV_220 kV Pandhurna-Betul PGCIL</t>
  </si>
  <si>
    <t>220KV_PANDHURNA</t>
  </si>
  <si>
    <t>Suspension clamp, A/h, V/d tightening</t>
  </si>
  <si>
    <t>18-08-2026 18:00:00</t>
  </si>
  <si>
    <t>A.M.Shende</t>
  </si>
  <si>
    <t>7587951136</t>
  </si>
  <si>
    <t>220KV_220 KV BUS TIE</t>
  </si>
  <si>
    <t>220KV_SIDHI</t>
  </si>
  <si>
    <t>R PHASE CT CLAMP ISOLATOR SIDE HOT POINT ATTENDING</t>
  </si>
  <si>
    <t>18-08-2026 12:00:00</t>
  </si>
  <si>
    <t>18-08-2026 16:00:00</t>
  </si>
  <si>
    <t>VISHAL BHALADHARE</t>
  </si>
  <si>
    <t>9425613436</t>
  </si>
  <si>
    <t>MR2608/0188</t>
  </si>
  <si>
    <t>132KV_132kV Sidhi - Mauganj Ckt - I</t>
  </si>
  <si>
    <t>Disc Replacement And Bird Excreta Provided work.</t>
  </si>
  <si>
    <t>18-08-2026 10:30:00</t>
  </si>
  <si>
    <t>G.L Sahu</t>
  </si>
  <si>
    <t>9425805102</t>
  </si>
  <si>
    <t>MR2608/0187</t>
  </si>
  <si>
    <t>real time</t>
  </si>
  <si>
    <t>ok, line to be in service</t>
  </si>
  <si>
    <t>continous</t>
  </si>
  <si>
    <t>sub ld</t>
  </si>
  <si>
    <t>ok, through sub ld, AR off also approved</t>
  </si>
  <si>
    <t>ok, line to be in service, Outage also approved</t>
  </si>
  <si>
    <t>ok</t>
  </si>
  <si>
    <t>ok, 220kv Pandhurna-Kalmeshwar ckt to be in service</t>
  </si>
  <si>
    <t>220KV-ANNUPUR-KOTMIKALA-1</t>
  </si>
  <si>
    <t>220KV-INDORE-UJJAIN-1</t>
  </si>
  <si>
    <t>220KV-DAMOH-SAGAR-2</t>
  </si>
  <si>
    <t>220KV-BETUL-PANDURNA-1</t>
  </si>
  <si>
    <t>18-Aug-2026</t>
  </si>
  <si>
    <t>08:00</t>
  </si>
  <si>
    <t>18:00</t>
  </si>
  <si>
    <t>06:00</t>
  </si>
  <si>
    <t>09:00</t>
  </si>
  <si>
    <t>FOR CONDUCTOR RE-SAGGING WORK IN LOCATION NO.379-388,388-397,397-406 &amp;406-418</t>
  </si>
  <si>
    <t>FOR LINE MAINTENANCE WORK I.E. CLEANING OF DISC INSULATORS DURING LINE PATROLLING, REPLACEMENT OF FLASHOVERED DISC INSULATORS, TREE BRANCH CUTTING ETC AT VARIOUS TOWER LOCATIONS</t>
  </si>
  <si>
    <t>OCCM-WR</t>
  </si>
  <si>
    <t>S/I ,SLDC MPPTCL JABALPUR</t>
  </si>
  <si>
    <t>APPROVED OUTAGE LIST FOR DTD.18.08.26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</si>
</sst>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b/>
      <sz val="22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4" fillId="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551023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tabSelected="1" zoomScale="80" zoomScaleNormal="80" workbookViewId="0">
      <selection activeCell="E2" sqref="E2:K2"/>
    </sheetView>
  </sheetViews>
  <sheetFormatPr defaultRowHeight="15" x14ac:dyDescent="0.25"/>
  <cols>
    <col min="2" max="2" width="11.140625" customWidth="1"/>
    <col min="3" max="3" width="13.42578125" customWidth="1"/>
    <col min="5" max="5" width="54.5703125" style="10" customWidth="1"/>
    <col min="6" max="6" width="20.85546875" customWidth="1"/>
    <col min="7" max="7" width="16.140625" customWidth="1"/>
    <col min="8" max="8" width="59.7109375" customWidth="1"/>
    <col min="9" max="9" width="19.42578125" customWidth="1"/>
    <col min="10" max="10" width="19.5703125" customWidth="1"/>
    <col min="11" max="11" width="22.28515625" customWidth="1"/>
    <col min="12" max="12" width="12" customWidth="1"/>
    <col min="13" max="13" width="40" style="13" customWidth="1"/>
  </cols>
  <sheetData>
    <row r="1" spans="1:13" ht="51.75" customHeight="1" x14ac:dyDescent="0.35">
      <c r="A1" s="1"/>
      <c r="B1" s="15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s="10" customFormat="1" ht="42" customHeight="1" x14ac:dyDescent="0.25">
      <c r="A2" s="7" t="s">
        <v>1</v>
      </c>
      <c r="B2" s="20">
        <v>46252</v>
      </c>
      <c r="C2" s="7"/>
      <c r="D2" s="7"/>
      <c r="E2" s="21" t="s">
        <v>122</v>
      </c>
      <c r="F2" s="22"/>
      <c r="G2" s="22"/>
      <c r="H2" s="22"/>
      <c r="I2" s="22"/>
      <c r="J2" s="22"/>
      <c r="K2" s="23"/>
      <c r="L2" s="7"/>
      <c r="M2" s="11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11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8" t="s">
        <v>15</v>
      </c>
      <c r="L4" s="19"/>
      <c r="M4" s="11" t="s">
        <v>16</v>
      </c>
    </row>
    <row r="5" spans="1:13" ht="32.25" customHeight="1" x14ac:dyDescent="0.25">
      <c r="A5" s="2">
        <v>1</v>
      </c>
      <c r="B5" s="3">
        <v>46251.489537037036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12" t="s">
        <v>101</v>
      </c>
    </row>
    <row r="6" spans="1:13" ht="32.25" customHeight="1" x14ac:dyDescent="0.25">
      <c r="A6" s="2">
        <f>A5+1</f>
        <v>2</v>
      </c>
      <c r="B6" s="3">
        <v>46251.488530092596</v>
      </c>
      <c r="C6" s="2" t="s">
        <v>26</v>
      </c>
      <c r="D6" s="2" t="s">
        <v>27</v>
      </c>
      <c r="E6" s="9" t="s">
        <v>28</v>
      </c>
      <c r="F6" s="2" t="s">
        <v>29</v>
      </c>
      <c r="G6" s="2" t="s">
        <v>20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12" t="s">
        <v>102</v>
      </c>
    </row>
    <row r="7" spans="1:13" ht="32.25" customHeight="1" x14ac:dyDescent="0.25">
      <c r="A7" s="2">
        <f t="shared" ref="A7:A21" si="0">A6+1</f>
        <v>3</v>
      </c>
      <c r="B7" s="3">
        <v>46239.682071759256</v>
      </c>
      <c r="C7" s="2" t="s">
        <v>35</v>
      </c>
      <c r="D7" s="2" t="s">
        <v>27</v>
      </c>
      <c r="E7" s="9" t="s">
        <v>36</v>
      </c>
      <c r="F7" s="2" t="s">
        <v>37</v>
      </c>
      <c r="G7" s="2" t="s">
        <v>20</v>
      </c>
      <c r="H7" s="2" t="s">
        <v>38</v>
      </c>
      <c r="I7" s="4" t="s">
        <v>39</v>
      </c>
      <c r="J7" s="4" t="s">
        <v>40</v>
      </c>
      <c r="K7" s="5" t="s">
        <v>41</v>
      </c>
      <c r="L7" s="6" t="s">
        <v>42</v>
      </c>
      <c r="M7" s="12" t="s">
        <v>103</v>
      </c>
    </row>
    <row r="8" spans="1:13" ht="32.25" customHeight="1" x14ac:dyDescent="0.25">
      <c r="A8" s="2">
        <f t="shared" si="0"/>
        <v>4</v>
      </c>
      <c r="B8" s="3">
        <v>46251.667187500003</v>
      </c>
      <c r="C8" s="2" t="s">
        <v>43</v>
      </c>
      <c r="D8" s="2"/>
      <c r="E8" s="9" t="s">
        <v>44</v>
      </c>
      <c r="F8" s="2" t="s">
        <v>45</v>
      </c>
      <c r="G8" s="2" t="s">
        <v>46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12" t="s">
        <v>104</v>
      </c>
    </row>
    <row r="9" spans="1:13" ht="32.25" customHeight="1" x14ac:dyDescent="0.25">
      <c r="A9" s="2">
        <f t="shared" si="0"/>
        <v>5</v>
      </c>
      <c r="B9" s="3">
        <v>46251.710162037038</v>
      </c>
      <c r="C9" s="2" t="s">
        <v>52</v>
      </c>
      <c r="D9" s="2"/>
      <c r="E9" s="9" t="s">
        <v>53</v>
      </c>
      <c r="F9" s="2" t="s">
        <v>45</v>
      </c>
      <c r="G9" s="2" t="s">
        <v>20</v>
      </c>
      <c r="H9" s="2" t="s">
        <v>54</v>
      </c>
      <c r="I9" s="4" t="s">
        <v>48</v>
      </c>
      <c r="J9" s="4" t="s">
        <v>49</v>
      </c>
      <c r="K9" s="5" t="s">
        <v>55</v>
      </c>
      <c r="L9" s="6" t="s">
        <v>56</v>
      </c>
      <c r="M9" s="12" t="s">
        <v>104</v>
      </c>
    </row>
    <row r="10" spans="1:13" ht="32.25" customHeight="1" x14ac:dyDescent="0.25">
      <c r="A10" s="2">
        <f t="shared" si="0"/>
        <v>6</v>
      </c>
      <c r="B10" s="3">
        <v>46242.584861111114</v>
      </c>
      <c r="C10" s="2" t="s">
        <v>57</v>
      </c>
      <c r="D10" s="2" t="s">
        <v>27</v>
      </c>
      <c r="E10" s="9" t="s">
        <v>58</v>
      </c>
      <c r="F10" s="2" t="s">
        <v>59</v>
      </c>
      <c r="G10" s="2" t="s">
        <v>20</v>
      </c>
      <c r="H10" s="2" t="s">
        <v>60</v>
      </c>
      <c r="I10" s="4" t="s">
        <v>61</v>
      </c>
      <c r="J10" s="4" t="s">
        <v>62</v>
      </c>
      <c r="K10" s="5" t="s">
        <v>63</v>
      </c>
      <c r="L10" s="6" t="s">
        <v>64</v>
      </c>
      <c r="M10" s="12" t="s">
        <v>104</v>
      </c>
    </row>
    <row r="11" spans="1:13" ht="32.25" customHeight="1" x14ac:dyDescent="0.25">
      <c r="A11" s="2">
        <f t="shared" si="0"/>
        <v>7</v>
      </c>
      <c r="B11" s="3">
        <v>46251.587048611109</v>
      </c>
      <c r="C11" s="2" t="s">
        <v>65</v>
      </c>
      <c r="D11" s="2"/>
      <c r="E11" s="9" t="s">
        <v>66</v>
      </c>
      <c r="F11" s="2" t="s">
        <v>59</v>
      </c>
      <c r="G11" s="2" t="s">
        <v>67</v>
      </c>
      <c r="H11" s="2" t="s">
        <v>68</v>
      </c>
      <c r="I11" s="4" t="s">
        <v>69</v>
      </c>
      <c r="J11" s="4" t="s">
        <v>22</v>
      </c>
      <c r="K11" s="5" t="s">
        <v>70</v>
      </c>
      <c r="L11" s="6" t="s">
        <v>71</v>
      </c>
      <c r="M11" s="12" t="s">
        <v>105</v>
      </c>
    </row>
    <row r="12" spans="1:13" ht="32.25" customHeight="1" x14ac:dyDescent="0.25">
      <c r="A12" s="2">
        <f t="shared" si="0"/>
        <v>8</v>
      </c>
      <c r="B12" s="3">
        <v>46242.578993055555</v>
      </c>
      <c r="C12" s="2" t="s">
        <v>72</v>
      </c>
      <c r="D12" s="2" t="s">
        <v>27</v>
      </c>
      <c r="E12" s="9" t="s">
        <v>73</v>
      </c>
      <c r="F12" s="2" t="s">
        <v>59</v>
      </c>
      <c r="G12" s="2" t="s">
        <v>20</v>
      </c>
      <c r="H12" s="2" t="s">
        <v>74</v>
      </c>
      <c r="I12" s="4" t="s">
        <v>61</v>
      </c>
      <c r="J12" s="4" t="s">
        <v>62</v>
      </c>
      <c r="K12" s="5" t="s">
        <v>63</v>
      </c>
      <c r="L12" s="6" t="s">
        <v>64</v>
      </c>
      <c r="M12" s="12" t="s">
        <v>102</v>
      </c>
    </row>
    <row r="13" spans="1:13" ht="32.25" customHeight="1" x14ac:dyDescent="0.25">
      <c r="A13" s="2">
        <f t="shared" si="0"/>
        <v>9</v>
      </c>
      <c r="B13" s="3">
        <v>46242.58148148148</v>
      </c>
      <c r="C13" s="2" t="s">
        <v>75</v>
      </c>
      <c r="D13" s="2" t="s">
        <v>27</v>
      </c>
      <c r="E13" s="9" t="s">
        <v>76</v>
      </c>
      <c r="F13" s="2" t="s">
        <v>59</v>
      </c>
      <c r="G13" s="2" t="s">
        <v>20</v>
      </c>
      <c r="H13" s="2" t="s">
        <v>60</v>
      </c>
      <c r="I13" s="4" t="s">
        <v>61</v>
      </c>
      <c r="J13" s="4" t="s">
        <v>62</v>
      </c>
      <c r="K13" s="5" t="s">
        <v>63</v>
      </c>
      <c r="L13" s="6" t="s">
        <v>64</v>
      </c>
      <c r="M13" s="12" t="s">
        <v>106</v>
      </c>
    </row>
    <row r="14" spans="1:13" ht="32.25" customHeight="1" x14ac:dyDescent="0.25">
      <c r="A14" s="2">
        <f t="shared" si="0"/>
        <v>10</v>
      </c>
      <c r="B14" s="3">
        <v>46242.586817129632</v>
      </c>
      <c r="C14" s="2" t="s">
        <v>77</v>
      </c>
      <c r="D14" s="2" t="s">
        <v>27</v>
      </c>
      <c r="E14" s="9" t="s">
        <v>78</v>
      </c>
      <c r="F14" s="2" t="s">
        <v>59</v>
      </c>
      <c r="G14" s="2" t="s">
        <v>20</v>
      </c>
      <c r="H14" s="2" t="s">
        <v>79</v>
      </c>
      <c r="I14" s="4" t="s">
        <v>61</v>
      </c>
      <c r="J14" s="4" t="s">
        <v>62</v>
      </c>
      <c r="K14" s="5" t="s">
        <v>63</v>
      </c>
      <c r="L14" s="6" t="s">
        <v>64</v>
      </c>
      <c r="M14" s="12" t="s">
        <v>104</v>
      </c>
    </row>
    <row r="15" spans="1:13" ht="32.25" customHeight="1" x14ac:dyDescent="0.25">
      <c r="A15" s="2">
        <f t="shared" si="0"/>
        <v>11</v>
      </c>
      <c r="B15" s="3">
        <v>46251.579317129632</v>
      </c>
      <c r="C15" s="2" t="s">
        <v>80</v>
      </c>
      <c r="D15" s="2"/>
      <c r="E15" s="9" t="s">
        <v>81</v>
      </c>
      <c r="F15" s="2" t="s">
        <v>82</v>
      </c>
      <c r="G15" s="2" t="s">
        <v>46</v>
      </c>
      <c r="H15" s="2" t="s">
        <v>83</v>
      </c>
      <c r="I15" s="4" t="s">
        <v>69</v>
      </c>
      <c r="J15" s="4" t="s">
        <v>84</v>
      </c>
      <c r="K15" s="5" t="s">
        <v>85</v>
      </c>
      <c r="L15" s="6" t="s">
        <v>86</v>
      </c>
      <c r="M15" s="12" t="s">
        <v>108</v>
      </c>
    </row>
    <row r="16" spans="1:13" ht="32.25" customHeight="1" x14ac:dyDescent="0.25">
      <c r="A16" s="2">
        <f t="shared" si="0"/>
        <v>12</v>
      </c>
      <c r="B16" s="3">
        <v>46251.618657407409</v>
      </c>
      <c r="C16" s="2" t="s">
        <v>94</v>
      </c>
      <c r="D16" s="2"/>
      <c r="E16" s="9" t="s">
        <v>95</v>
      </c>
      <c r="F16" s="2" t="s">
        <v>88</v>
      </c>
      <c r="G16" s="2" t="s">
        <v>20</v>
      </c>
      <c r="H16" s="2" t="s">
        <v>96</v>
      </c>
      <c r="I16" s="4" t="s">
        <v>97</v>
      </c>
      <c r="J16" s="4" t="s">
        <v>23</v>
      </c>
      <c r="K16" s="5" t="s">
        <v>98</v>
      </c>
      <c r="L16" s="6" t="s">
        <v>99</v>
      </c>
      <c r="M16" s="12" t="s">
        <v>107</v>
      </c>
    </row>
    <row r="17" spans="1:13" ht="32.25" customHeight="1" x14ac:dyDescent="0.25">
      <c r="A17" s="2">
        <f t="shared" si="0"/>
        <v>13</v>
      </c>
      <c r="B17" s="3">
        <v>46251.614895833336</v>
      </c>
      <c r="C17" s="2" t="s">
        <v>100</v>
      </c>
      <c r="D17" s="2"/>
      <c r="E17" s="9" t="s">
        <v>87</v>
      </c>
      <c r="F17" s="2" t="s">
        <v>88</v>
      </c>
      <c r="G17" s="2" t="s">
        <v>20</v>
      </c>
      <c r="H17" s="2" t="s">
        <v>89</v>
      </c>
      <c r="I17" s="4" t="s">
        <v>90</v>
      </c>
      <c r="J17" s="4" t="s">
        <v>91</v>
      </c>
      <c r="K17" s="5" t="s">
        <v>92</v>
      </c>
      <c r="L17" s="6" t="s">
        <v>93</v>
      </c>
      <c r="M17" s="12" t="s">
        <v>107</v>
      </c>
    </row>
    <row r="18" spans="1:13" ht="25.5" x14ac:dyDescent="0.25">
      <c r="A18" s="2">
        <f t="shared" si="0"/>
        <v>14</v>
      </c>
      <c r="B18" s="3">
        <v>46251.614895833336</v>
      </c>
      <c r="C18" s="2"/>
      <c r="D18" s="2"/>
      <c r="E18" s="9" t="s">
        <v>109</v>
      </c>
      <c r="F18" s="2"/>
      <c r="G18" s="2" t="s">
        <v>120</v>
      </c>
      <c r="H18" s="9" t="s">
        <v>118</v>
      </c>
      <c r="I18" s="4" t="s">
        <v>113</v>
      </c>
      <c r="J18" s="4" t="s">
        <v>114</v>
      </c>
      <c r="K18" s="5" t="s">
        <v>113</v>
      </c>
      <c r="L18" s="6" t="s">
        <v>115</v>
      </c>
      <c r="M18" s="12" t="s">
        <v>107</v>
      </c>
    </row>
    <row r="19" spans="1:13" ht="51" x14ac:dyDescent="0.25">
      <c r="A19" s="2">
        <f t="shared" si="0"/>
        <v>15</v>
      </c>
      <c r="B19" s="3">
        <v>46251.614895833336</v>
      </c>
      <c r="C19" s="2"/>
      <c r="D19" s="2"/>
      <c r="E19" s="9" t="s">
        <v>110</v>
      </c>
      <c r="F19" s="2"/>
      <c r="G19" s="2" t="s">
        <v>120</v>
      </c>
      <c r="H19" s="9" t="s">
        <v>119</v>
      </c>
      <c r="I19" s="4" t="s">
        <v>113</v>
      </c>
      <c r="J19" s="4" t="s">
        <v>116</v>
      </c>
      <c r="K19" s="5" t="s">
        <v>113</v>
      </c>
      <c r="L19" s="6" t="s">
        <v>115</v>
      </c>
      <c r="M19" s="12" t="s">
        <v>101</v>
      </c>
    </row>
    <row r="20" spans="1:13" ht="51" x14ac:dyDescent="0.25">
      <c r="A20" s="2">
        <f t="shared" si="0"/>
        <v>16</v>
      </c>
      <c r="B20" s="3">
        <v>46251.614895833336</v>
      </c>
      <c r="C20" s="2"/>
      <c r="D20" s="2"/>
      <c r="E20" s="9" t="s">
        <v>111</v>
      </c>
      <c r="F20" s="2"/>
      <c r="G20" s="2" t="s">
        <v>120</v>
      </c>
      <c r="H20" s="9" t="s">
        <v>119</v>
      </c>
      <c r="I20" s="4" t="s">
        <v>113</v>
      </c>
      <c r="J20" s="4" t="s">
        <v>117</v>
      </c>
      <c r="K20" s="5" t="s">
        <v>113</v>
      </c>
      <c r="L20" s="6" t="s">
        <v>115</v>
      </c>
      <c r="M20" s="12" t="s">
        <v>101</v>
      </c>
    </row>
    <row r="21" spans="1:13" ht="51" x14ac:dyDescent="0.25">
      <c r="A21" s="2">
        <f t="shared" si="0"/>
        <v>17</v>
      </c>
      <c r="B21" s="3">
        <v>46251.614895833336</v>
      </c>
      <c r="C21" s="2"/>
      <c r="D21" s="2"/>
      <c r="E21" s="9" t="s">
        <v>112</v>
      </c>
      <c r="F21" s="2"/>
      <c r="G21" s="2" t="s">
        <v>120</v>
      </c>
      <c r="H21" s="9" t="s">
        <v>119</v>
      </c>
      <c r="I21" s="4" t="s">
        <v>113</v>
      </c>
      <c r="J21" s="4" t="s">
        <v>117</v>
      </c>
      <c r="K21" s="5" t="s">
        <v>113</v>
      </c>
      <c r="L21" s="6" t="s">
        <v>115</v>
      </c>
      <c r="M21" s="12" t="s">
        <v>108</v>
      </c>
    </row>
    <row r="22" spans="1:13" ht="36" x14ac:dyDescent="0.25">
      <c r="A22" s="2"/>
      <c r="B22" s="3"/>
      <c r="C22" s="2"/>
      <c r="D22" s="2"/>
      <c r="E22" s="9"/>
      <c r="F22" s="2"/>
      <c r="G22" s="2"/>
      <c r="H22" s="2"/>
      <c r="I22" s="4"/>
      <c r="J22" s="4"/>
      <c r="K22" s="5"/>
      <c r="L22" s="6"/>
      <c r="M22" s="14" t="s">
        <v>121</v>
      </c>
    </row>
    <row r="23" spans="1:13" x14ac:dyDescent="0.25">
      <c r="A23" s="2"/>
      <c r="B23" s="3"/>
      <c r="C23" s="2"/>
      <c r="D23" s="2"/>
      <c r="E23" s="9"/>
      <c r="F23" s="2"/>
      <c r="G23" s="2"/>
      <c r="H23" s="2"/>
      <c r="I23" s="4"/>
      <c r="J23" s="4"/>
      <c r="K23" s="5"/>
      <c r="L23" s="6"/>
      <c r="M23" s="12"/>
    </row>
    <row r="24" spans="1:13" x14ac:dyDescent="0.25">
      <c r="A24" s="2"/>
      <c r="B24" s="3"/>
      <c r="C24" s="2"/>
      <c r="D24" s="2"/>
      <c r="E24" s="9"/>
      <c r="F24" s="2"/>
      <c r="G24" s="2"/>
      <c r="H24" s="2"/>
      <c r="I24" s="4"/>
      <c r="J24" s="4"/>
      <c r="K24" s="5"/>
      <c r="L24" s="6"/>
      <c r="M24" s="12"/>
    </row>
    <row r="25" spans="1:13" x14ac:dyDescent="0.25">
      <c r="A25" s="2"/>
      <c r="B25" s="3"/>
      <c r="C25" s="2"/>
      <c r="D25" s="2"/>
      <c r="E25" s="9"/>
      <c r="F25" s="2"/>
      <c r="G25" s="2"/>
      <c r="H25" s="2"/>
      <c r="I25" s="4"/>
      <c r="J25" s="4"/>
      <c r="K25" s="5"/>
      <c r="L25" s="6"/>
      <c r="M25" s="12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2026-08-17T11:36:28Z</dcterms:created>
  <dcterms:modified xsi:type="dcterms:W3CDTF">2026-08-17T13:45:07Z</dcterms:modified>
</cp:coreProperties>
</file>
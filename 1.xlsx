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minimized="1" xWindow="0" yWindow="0" windowWidth="22260" windowHeight="12645" activeTab="1"/>
  </bookViews>
  <sheets>
    <sheet name="APPROVED SHUTDOWN" sheetId="1" r:id="rId1"/>
    <sheet name="LOGBOOK FORMAT" sheetId="2" r:id="rId2"/>
    <sheet name="TRIPPING REPORT" sheetId="3" r:id="rId3"/>
    <sheet name="SUBSTATION CONTACT" sheetId="4" r:id="rId4"/>
    <sheet name="Sheet1 (2)" sheetId="7" r:id="rId5"/>
    <sheet name="CODES" sheetId="5" r:id="rId6"/>
    <sheet name="DATA_SUBSTATION" sheetId="9" r:id="rId7"/>
  </sheets>
  <externalReferences>
    <externalReference r:id="rId8"/>
  </externalReferences>
  <definedNames>
    <definedName name="_xlnm._FilterDatabase" localSheetId="1" hidden="1">'LOGBOOK FORMAT'!$A$3:$Q$3</definedName>
    <definedName name="_xlnm._FilterDatabase" localSheetId="4" hidden="1">'Sheet1 (2)'!$B$3:$B$100</definedName>
    <definedName name="_xlnm.Print_Area" localSheetId="0">'APPROVED SHUTDOWN'!$A$1:$M$54</definedName>
    <definedName name="_xlnm.Print_Area" localSheetId="5">CODES!$A$52:$T$74</definedName>
    <definedName name="_xlnm.Print_Area" localSheetId="1">'LOGBOOK FORMAT'!$A$1:$P$34</definedName>
    <definedName name="_xlnm.Print_Area" localSheetId="2">'TRIPPING REPORT'!$A$1:$N$21</definedName>
    <definedName name="_xlnm.Print_Titles" localSheetId="1">'LOGBOOK FORMAT'!$1:$3</definedName>
    <definedName name="_xlnm.Print_Titles" localSheetId="2">'TRIPPING REPORT'!$1:$4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2" i="3" l="1"/>
  <c r="D2" i="3" s="1"/>
  <c r="N56" i="2" l="1"/>
  <c r="O56" i="2"/>
  <c r="P56" i="2"/>
  <c r="N57" i="2"/>
  <c r="O57" i="2"/>
  <c r="P57" i="2"/>
  <c r="N58" i="2"/>
  <c r="O58" i="2"/>
  <c r="P58" i="2"/>
  <c r="N59" i="2"/>
  <c r="O59" i="2"/>
  <c r="P59" i="2"/>
  <c r="N60" i="2"/>
  <c r="O60" i="2"/>
  <c r="P60" i="2"/>
  <c r="N61" i="2"/>
  <c r="O61" i="2"/>
  <c r="P61" i="2"/>
  <c r="N62" i="2"/>
  <c r="O62" i="2"/>
  <c r="P62" i="2"/>
  <c r="N63" i="2"/>
  <c r="O63" i="2"/>
  <c r="P63" i="2"/>
  <c r="N64" i="2"/>
  <c r="O64" i="2"/>
  <c r="P64" i="2"/>
  <c r="N65" i="2"/>
  <c r="O65" i="2"/>
  <c r="P65" i="2"/>
  <c r="N66" i="2"/>
  <c r="O66" i="2"/>
  <c r="P66" i="2"/>
  <c r="N67" i="2"/>
  <c r="O67" i="2"/>
  <c r="P67" i="2"/>
  <c r="N68" i="2"/>
  <c r="O68" i="2"/>
  <c r="P68" i="2"/>
  <c r="N69" i="2"/>
  <c r="O69" i="2"/>
  <c r="P69" i="2"/>
  <c r="N70" i="2"/>
  <c r="O70" i="2"/>
  <c r="P70" i="2"/>
  <c r="N71" i="2"/>
  <c r="O71" i="2"/>
  <c r="P71" i="2"/>
  <c r="N72" i="2"/>
  <c r="O72" i="2"/>
  <c r="P72" i="2"/>
  <c r="N73" i="2"/>
  <c r="O73" i="2"/>
  <c r="P73" i="2"/>
  <c r="N74" i="2"/>
  <c r="O74" i="2"/>
  <c r="P74" i="2"/>
  <c r="N75" i="2"/>
  <c r="O75" i="2"/>
  <c r="P75" i="2"/>
  <c r="N54" i="2" l="1"/>
  <c r="N55" i="2"/>
  <c r="O13" i="2" l="1"/>
  <c r="P13" i="2"/>
  <c r="O14" i="2"/>
  <c r="P14" i="2"/>
  <c r="O15" i="2"/>
  <c r="P15" i="2"/>
  <c r="O16" i="2"/>
  <c r="P16" i="2"/>
  <c r="O17" i="2"/>
  <c r="P17" i="2"/>
  <c r="O18" i="2"/>
  <c r="P18" i="2"/>
  <c r="O19" i="2"/>
  <c r="P19" i="2"/>
  <c r="O20" i="2"/>
  <c r="P20" i="2"/>
  <c r="O21" i="2"/>
  <c r="P21" i="2"/>
  <c r="O22" i="2"/>
  <c r="P22" i="2"/>
  <c r="O8" i="2"/>
  <c r="P8" i="2"/>
  <c r="O23" i="2"/>
  <c r="P23" i="2"/>
  <c r="O6" i="2"/>
  <c r="P6" i="2"/>
  <c r="O4" i="2"/>
  <c r="P4" i="2"/>
  <c r="O24" i="2"/>
  <c r="P24" i="2"/>
  <c r="O10" i="2"/>
  <c r="P10" i="2"/>
  <c r="O25" i="2"/>
  <c r="P25" i="2"/>
  <c r="O7" i="2"/>
  <c r="P7" i="2"/>
  <c r="O26" i="2"/>
  <c r="P26" i="2"/>
  <c r="O27" i="2"/>
  <c r="P27" i="2"/>
  <c r="O28" i="2"/>
  <c r="P28" i="2"/>
  <c r="O11" i="2"/>
  <c r="P11" i="2"/>
  <c r="O29" i="2"/>
  <c r="P29" i="2"/>
  <c r="O30" i="2"/>
  <c r="P30" i="2"/>
  <c r="O5" i="2"/>
  <c r="P5" i="2"/>
  <c r="O31" i="2"/>
  <c r="P31" i="2"/>
  <c r="O32" i="2"/>
  <c r="P32" i="2"/>
  <c r="O33" i="2"/>
  <c r="P33" i="2"/>
  <c r="O34" i="2"/>
  <c r="P34" i="2"/>
  <c r="O35" i="2"/>
  <c r="P35" i="2"/>
  <c r="O36" i="2"/>
  <c r="P36" i="2"/>
  <c r="O37" i="2"/>
  <c r="P37" i="2"/>
  <c r="O38" i="2"/>
  <c r="P38" i="2"/>
  <c r="O39" i="2"/>
  <c r="P39" i="2"/>
  <c r="O40" i="2"/>
  <c r="P40" i="2"/>
  <c r="O41" i="2"/>
  <c r="P41" i="2"/>
  <c r="O42" i="2"/>
  <c r="P42" i="2"/>
  <c r="O43" i="2"/>
  <c r="P43" i="2"/>
  <c r="O44" i="2"/>
  <c r="P44" i="2"/>
  <c r="O45" i="2"/>
  <c r="P45" i="2"/>
  <c r="O46" i="2"/>
  <c r="P46" i="2"/>
  <c r="O47" i="2"/>
  <c r="P47" i="2"/>
  <c r="O48" i="2"/>
  <c r="P48" i="2"/>
  <c r="O49" i="2"/>
  <c r="P49" i="2"/>
  <c r="O50" i="2"/>
  <c r="P50" i="2"/>
  <c r="O51" i="2"/>
  <c r="P51" i="2"/>
  <c r="O52" i="2"/>
  <c r="P52" i="2"/>
  <c r="O53" i="2"/>
  <c r="P53" i="2"/>
  <c r="O54" i="2"/>
  <c r="P54" i="2"/>
  <c r="O55" i="2"/>
  <c r="P55" i="2"/>
  <c r="P12" i="2"/>
  <c r="O12" i="2"/>
  <c r="B1" i="2" l="1"/>
  <c r="A12" i="2"/>
  <c r="B12" i="2"/>
  <c r="C12" i="2"/>
  <c r="D12" i="2"/>
  <c r="I12" i="2"/>
  <c r="J12" i="2"/>
  <c r="N12" i="2"/>
  <c r="A13" i="2"/>
  <c r="B13" i="2"/>
  <c r="C13" i="2"/>
  <c r="D13" i="2"/>
  <c r="I13" i="2"/>
  <c r="J13" i="2"/>
  <c r="N13" i="2"/>
  <c r="A14" i="2"/>
  <c r="B14" i="2"/>
  <c r="C14" i="2"/>
  <c r="D14" i="2"/>
  <c r="I14" i="2"/>
  <c r="J14" i="2"/>
  <c r="N14" i="2"/>
  <c r="A15" i="2"/>
  <c r="B15" i="2"/>
  <c r="C15" i="2"/>
  <c r="D15" i="2"/>
  <c r="I15" i="2"/>
  <c r="J15" i="2"/>
  <c r="N15" i="2"/>
  <c r="A16" i="2"/>
  <c r="B16" i="2"/>
  <c r="C16" i="2"/>
  <c r="D16" i="2"/>
  <c r="I16" i="2"/>
  <c r="J16" i="2"/>
  <c r="N16" i="2"/>
  <c r="A17" i="2"/>
  <c r="B17" i="2"/>
  <c r="C17" i="2"/>
  <c r="D17" i="2"/>
  <c r="I17" i="2"/>
  <c r="J17" i="2"/>
  <c r="N17" i="2"/>
  <c r="A18" i="2"/>
  <c r="I18" i="2" s="1"/>
  <c r="B18" i="2"/>
  <c r="C18" i="2"/>
  <c r="D18" i="2"/>
  <c r="J18" i="2"/>
  <c r="N18" i="2"/>
  <c r="A19" i="2"/>
  <c r="B19" i="2"/>
  <c r="C19" i="2"/>
  <c r="D19" i="2"/>
  <c r="I19" i="2"/>
  <c r="J19" i="2"/>
  <c r="N19" i="2"/>
  <c r="A20" i="2"/>
  <c r="B20" i="2"/>
  <c r="C20" i="2"/>
  <c r="D20" i="2"/>
  <c r="I20" i="2"/>
  <c r="J20" i="2"/>
  <c r="N20" i="2"/>
  <c r="A21" i="2"/>
  <c r="I21" i="2" s="1"/>
  <c r="B21" i="2"/>
  <c r="C21" i="2"/>
  <c r="D21" i="2"/>
  <c r="J21" i="2"/>
  <c r="N21" i="2"/>
  <c r="A22" i="2"/>
  <c r="B22" i="2"/>
  <c r="C22" i="2"/>
  <c r="D22" i="2"/>
  <c r="I22" i="2"/>
  <c r="J22" i="2"/>
  <c r="N22" i="2"/>
  <c r="A8" i="2"/>
  <c r="B8" i="2"/>
  <c r="C8" i="2"/>
  <c r="D8" i="2"/>
  <c r="I8" i="2"/>
  <c r="J8" i="2"/>
  <c r="N8" i="2"/>
  <c r="A23" i="2"/>
  <c r="I23" i="2" s="1"/>
  <c r="B23" i="2"/>
  <c r="C23" i="2"/>
  <c r="D23" i="2"/>
  <c r="J23" i="2"/>
  <c r="N23" i="2"/>
  <c r="A6" i="2"/>
  <c r="B6" i="2"/>
  <c r="C6" i="2"/>
  <c r="D6" i="2"/>
  <c r="I6" i="2"/>
  <c r="J6" i="2"/>
  <c r="N6" i="2"/>
  <c r="A4" i="2"/>
  <c r="B4" i="2"/>
  <c r="C4" i="2"/>
  <c r="D4" i="2"/>
  <c r="I4" i="2"/>
  <c r="J4" i="2"/>
  <c r="N4" i="2"/>
  <c r="A24" i="2"/>
  <c r="B24" i="2"/>
  <c r="C24" i="2"/>
  <c r="D24" i="2"/>
  <c r="I24" i="2"/>
  <c r="J24" i="2"/>
  <c r="N24" i="2"/>
  <c r="A10" i="2"/>
  <c r="B10" i="2"/>
  <c r="C10" i="2"/>
  <c r="D10" i="2"/>
  <c r="I10" i="2"/>
  <c r="J10" i="2"/>
  <c r="N10" i="2"/>
  <c r="A25" i="2"/>
  <c r="I25" i="2" s="1"/>
  <c r="B25" i="2"/>
  <c r="C25" i="2"/>
  <c r="D25" i="2"/>
  <c r="J25" i="2"/>
  <c r="N25" i="2"/>
  <c r="A7" i="2"/>
  <c r="I7" i="2" s="1"/>
  <c r="B7" i="2"/>
  <c r="C7" i="2"/>
  <c r="D7" i="2"/>
  <c r="J7" i="2"/>
  <c r="N7" i="2"/>
  <c r="A26" i="2"/>
  <c r="B26" i="2"/>
  <c r="C26" i="2"/>
  <c r="D26" i="2"/>
  <c r="I26" i="2"/>
  <c r="J26" i="2"/>
  <c r="N26" i="2"/>
  <c r="A27" i="2"/>
  <c r="B27" i="2"/>
  <c r="C27" i="2"/>
  <c r="D27" i="2"/>
  <c r="I27" i="2"/>
  <c r="J27" i="2"/>
  <c r="N27" i="2"/>
  <c r="A28" i="2"/>
  <c r="B28" i="2"/>
  <c r="C28" i="2"/>
  <c r="D28" i="2"/>
  <c r="I28" i="2"/>
  <c r="J28" i="2"/>
  <c r="N28" i="2"/>
  <c r="A11" i="2"/>
  <c r="I11" i="2" s="1"/>
  <c r="B11" i="2"/>
  <c r="C11" i="2"/>
  <c r="D11" i="2"/>
  <c r="J11" i="2"/>
  <c r="N11" i="2"/>
  <c r="A29" i="2"/>
  <c r="B29" i="2"/>
  <c r="C29" i="2"/>
  <c r="D29" i="2"/>
  <c r="I29" i="2"/>
  <c r="J29" i="2"/>
  <c r="N29" i="2"/>
  <c r="A30" i="2"/>
  <c r="I30" i="2" s="1"/>
  <c r="B30" i="2"/>
  <c r="C30" i="2"/>
  <c r="D30" i="2"/>
  <c r="J30" i="2"/>
  <c r="N30" i="2"/>
  <c r="A5" i="2"/>
  <c r="I5" i="2" s="1"/>
  <c r="C5" i="2"/>
  <c r="D5" i="2"/>
  <c r="J5" i="2"/>
  <c r="N34" i="2"/>
  <c r="A31" i="2"/>
  <c r="D31" i="2"/>
  <c r="I31" i="2"/>
  <c r="N31" i="2"/>
  <c r="A32" i="2"/>
  <c r="I32" i="2" s="1"/>
  <c r="D32" i="2"/>
  <c r="A33" i="2"/>
  <c r="B33" i="2"/>
  <c r="C33" i="2"/>
  <c r="D33" i="2"/>
  <c r="I33" i="2"/>
  <c r="J33" i="2"/>
  <c r="A34" i="2"/>
  <c r="I34" i="2" s="1"/>
  <c r="B34" i="2"/>
  <c r="C34" i="2"/>
  <c r="D34" i="2"/>
  <c r="J34" i="2"/>
  <c r="A35" i="2"/>
  <c r="I35" i="2" s="1"/>
  <c r="B35" i="2"/>
  <c r="C35" i="2"/>
  <c r="D35" i="2"/>
  <c r="J35" i="2"/>
  <c r="N35" i="2"/>
  <c r="A36" i="2"/>
  <c r="I36" i="2" s="1"/>
  <c r="B36" i="2"/>
  <c r="C36" i="2"/>
  <c r="D36" i="2"/>
  <c r="J36" i="2"/>
  <c r="A37" i="2"/>
  <c r="I37" i="2" s="1"/>
  <c r="B37" i="2"/>
  <c r="C37" i="2"/>
  <c r="D37" i="2"/>
  <c r="J37" i="2"/>
  <c r="N37" i="2"/>
  <c r="A38" i="2"/>
  <c r="B38" i="2"/>
  <c r="C38" i="2"/>
  <c r="D38" i="2"/>
  <c r="I38" i="2"/>
  <c r="J38" i="2"/>
  <c r="N38" i="2"/>
  <c r="A39" i="2"/>
  <c r="B39" i="2"/>
  <c r="C39" i="2"/>
  <c r="D39" i="2"/>
  <c r="I39" i="2"/>
  <c r="J39" i="2"/>
  <c r="N39" i="2"/>
  <c r="A40" i="2"/>
  <c r="I40" i="2" s="1"/>
  <c r="B40" i="2"/>
  <c r="C40" i="2"/>
  <c r="D40" i="2"/>
  <c r="J40" i="2"/>
  <c r="N40" i="2"/>
  <c r="A41" i="2"/>
  <c r="B41" i="2"/>
  <c r="C41" i="2"/>
  <c r="D41" i="2"/>
  <c r="I41" i="2"/>
  <c r="J41" i="2"/>
  <c r="N41" i="2"/>
  <c r="A42" i="2"/>
  <c r="B42" i="2"/>
  <c r="C42" i="2"/>
  <c r="D42" i="2"/>
  <c r="I42" i="2"/>
  <c r="J42" i="2"/>
  <c r="N42" i="2"/>
  <c r="A43" i="2"/>
  <c r="I43" i="2" s="1"/>
  <c r="B43" i="2"/>
  <c r="C43" i="2"/>
  <c r="D43" i="2"/>
  <c r="J43" i="2"/>
  <c r="N43" i="2"/>
  <c r="A44" i="2"/>
  <c r="I44" i="2" s="1"/>
  <c r="B44" i="2"/>
  <c r="C44" i="2"/>
  <c r="D44" i="2"/>
  <c r="J44" i="2"/>
  <c r="N44" i="2"/>
  <c r="A45" i="2"/>
  <c r="I45" i="2" s="1"/>
  <c r="B45" i="2"/>
  <c r="C45" i="2"/>
  <c r="D45" i="2"/>
  <c r="J45" i="2"/>
  <c r="N45" i="2"/>
  <c r="A46" i="2"/>
  <c r="I46" i="2" s="1"/>
  <c r="B46" i="2"/>
  <c r="C46" i="2"/>
  <c r="D46" i="2"/>
  <c r="J46" i="2"/>
  <c r="N46" i="2"/>
  <c r="A47" i="2"/>
  <c r="B47" i="2"/>
  <c r="C47" i="2"/>
  <c r="D47" i="2"/>
  <c r="I47" i="2"/>
  <c r="J47" i="2"/>
  <c r="N47" i="2"/>
  <c r="A48" i="2"/>
  <c r="I48" i="2" s="1"/>
  <c r="B48" i="2"/>
  <c r="C48" i="2"/>
  <c r="D48" i="2"/>
  <c r="J48" i="2"/>
  <c r="N48" i="2"/>
  <c r="A49" i="2"/>
  <c r="I49" i="2" s="1"/>
  <c r="B49" i="2"/>
  <c r="C49" i="2"/>
  <c r="D49" i="2"/>
  <c r="J49" i="2"/>
  <c r="N49" i="2"/>
  <c r="A50" i="2"/>
  <c r="B50" i="2"/>
  <c r="C50" i="2"/>
  <c r="D50" i="2"/>
  <c r="I50" i="2"/>
  <c r="J50" i="2"/>
  <c r="N50" i="2"/>
  <c r="A51" i="2"/>
  <c r="I51" i="2" s="1"/>
  <c r="B51" i="2"/>
  <c r="C51" i="2"/>
  <c r="D51" i="2"/>
  <c r="J51" i="2"/>
  <c r="N51" i="2"/>
  <c r="A52" i="2"/>
  <c r="B52" i="2"/>
  <c r="C52" i="2"/>
  <c r="D52" i="2"/>
  <c r="I52" i="2"/>
  <c r="J52" i="2"/>
  <c r="N52" i="2"/>
  <c r="A53" i="2"/>
  <c r="I53" i="2" s="1"/>
  <c r="B53" i="2"/>
  <c r="C53" i="2"/>
  <c r="D53" i="2"/>
  <c r="J53" i="2"/>
  <c r="N53" i="2"/>
  <c r="A54" i="2"/>
  <c r="B54" i="2"/>
  <c r="C54" i="2"/>
  <c r="D54" i="2"/>
  <c r="I54" i="2"/>
  <c r="J54" i="2"/>
  <c r="A55" i="2"/>
  <c r="B55" i="2"/>
  <c r="C55" i="2"/>
  <c r="D55" i="2"/>
  <c r="I55" i="2"/>
  <c r="J55" i="2"/>
  <c r="A56" i="2"/>
  <c r="I56" i="2" s="1"/>
  <c r="B56" i="2"/>
  <c r="C56" i="2"/>
  <c r="D56" i="2"/>
  <c r="J56" i="2"/>
  <c r="A57" i="2"/>
  <c r="I57" i="2" s="1"/>
  <c r="B57" i="2"/>
  <c r="C57" i="2"/>
  <c r="D57" i="2"/>
  <c r="J57" i="2"/>
  <c r="A58" i="2"/>
  <c r="B58" i="2"/>
  <c r="C58" i="2"/>
  <c r="D58" i="2"/>
  <c r="I58" i="2"/>
  <c r="J58" i="2"/>
  <c r="A59" i="2"/>
  <c r="B59" i="2"/>
  <c r="C59" i="2"/>
  <c r="D59" i="2"/>
  <c r="I59" i="2"/>
  <c r="J59" i="2"/>
  <c r="A60" i="2"/>
  <c r="B60" i="2"/>
  <c r="C60" i="2"/>
  <c r="D60" i="2"/>
  <c r="I60" i="2"/>
  <c r="J60" i="2"/>
  <c r="A61" i="2"/>
  <c r="I61" i="2" s="1"/>
  <c r="B61" i="2"/>
  <c r="C61" i="2"/>
  <c r="D61" i="2"/>
  <c r="J61" i="2"/>
  <c r="A62" i="2"/>
  <c r="I62" i="2" s="1"/>
  <c r="B62" i="2"/>
  <c r="C62" i="2"/>
  <c r="D62" i="2"/>
  <c r="J62" i="2"/>
  <c r="A63" i="2"/>
  <c r="B63" i="2"/>
  <c r="C63" i="2"/>
  <c r="D63" i="2"/>
  <c r="I63" i="2"/>
  <c r="J63" i="2"/>
  <c r="A64" i="2"/>
  <c r="B64" i="2"/>
  <c r="C64" i="2"/>
  <c r="D64" i="2"/>
  <c r="I64" i="2"/>
  <c r="J64" i="2"/>
  <c r="A65" i="2"/>
  <c r="I65" i="2" s="1"/>
  <c r="B65" i="2"/>
  <c r="C65" i="2"/>
  <c r="D65" i="2"/>
  <c r="J65" i="2"/>
  <c r="A66" i="2"/>
  <c r="I66" i="2" s="1"/>
  <c r="B66" i="2"/>
  <c r="C66" i="2"/>
  <c r="D66" i="2"/>
  <c r="J66" i="2"/>
  <c r="A67" i="2"/>
  <c r="B67" i="2"/>
  <c r="C67" i="2"/>
  <c r="D67" i="2"/>
  <c r="I67" i="2"/>
  <c r="J67" i="2"/>
  <c r="A68" i="2"/>
  <c r="I68" i="2" s="1"/>
  <c r="B68" i="2"/>
  <c r="C68" i="2"/>
  <c r="D68" i="2"/>
  <c r="J68" i="2"/>
  <c r="A69" i="2"/>
  <c r="I69" i="2" s="1"/>
  <c r="B69" i="2"/>
  <c r="C69" i="2"/>
  <c r="D69" i="2"/>
  <c r="J69" i="2"/>
  <c r="A70" i="2"/>
  <c r="B70" i="2"/>
  <c r="C70" i="2"/>
  <c r="D70" i="2"/>
  <c r="I70" i="2"/>
  <c r="J70" i="2"/>
  <c r="A71" i="2"/>
  <c r="B71" i="2"/>
  <c r="C71" i="2"/>
  <c r="D71" i="2"/>
  <c r="I71" i="2"/>
  <c r="J71" i="2"/>
  <c r="A72" i="2"/>
  <c r="B72" i="2"/>
  <c r="C72" i="2"/>
  <c r="D72" i="2"/>
  <c r="I72" i="2"/>
  <c r="J72" i="2"/>
  <c r="A73" i="2"/>
  <c r="B73" i="2"/>
  <c r="C73" i="2"/>
  <c r="D73" i="2"/>
  <c r="I73" i="2"/>
  <c r="J73" i="2"/>
  <c r="A74" i="2"/>
  <c r="B74" i="2"/>
  <c r="C74" i="2"/>
  <c r="D74" i="2"/>
  <c r="I74" i="2"/>
  <c r="J74" i="2"/>
  <c r="A75" i="2"/>
  <c r="I75" i="2" s="1"/>
  <c r="B75" i="2"/>
  <c r="C75" i="2"/>
  <c r="D75" i="2"/>
  <c r="J75" i="2"/>
  <c r="A76" i="2"/>
  <c r="B76" i="2"/>
  <c r="C76" i="2"/>
  <c r="D76" i="2"/>
  <c r="I76" i="2"/>
  <c r="J76" i="2"/>
  <c r="A77" i="2"/>
  <c r="B77" i="2"/>
  <c r="C77" i="2"/>
  <c r="D77" i="2"/>
  <c r="I77" i="2"/>
  <c r="J77" i="2"/>
  <c r="A78" i="2"/>
  <c r="B78" i="2"/>
  <c r="C78" i="2"/>
  <c r="D78" i="2"/>
  <c r="I78" i="2"/>
  <c r="J78" i="2"/>
  <c r="A79" i="2"/>
  <c r="B79" i="2"/>
  <c r="C79" i="2"/>
  <c r="D79" i="2"/>
  <c r="I79" i="2"/>
  <c r="J79" i="2"/>
  <c r="A80" i="2"/>
  <c r="B80" i="2"/>
  <c r="C80" i="2"/>
  <c r="D80" i="2"/>
  <c r="I80" i="2"/>
  <c r="J80" i="2"/>
  <c r="A81" i="2"/>
  <c r="B81" i="2"/>
  <c r="C81" i="2"/>
  <c r="D81" i="2"/>
  <c r="I81" i="2"/>
  <c r="J81" i="2"/>
  <c r="A82" i="2"/>
  <c r="B82" i="2"/>
  <c r="C82" i="2"/>
  <c r="D82" i="2"/>
  <c r="I82" i="2"/>
  <c r="J82" i="2"/>
  <c r="A83" i="2"/>
  <c r="B83" i="2"/>
  <c r="C83" i="2"/>
  <c r="D83" i="2"/>
  <c r="I83" i="2"/>
  <c r="J83" i="2"/>
  <c r="A84" i="2"/>
  <c r="B84" i="2"/>
  <c r="C84" i="2"/>
  <c r="D84" i="2"/>
  <c r="I84" i="2"/>
  <c r="J84" i="2"/>
  <c r="A85" i="2"/>
  <c r="B85" i="2"/>
  <c r="C85" i="2"/>
  <c r="D85" i="2"/>
  <c r="I85" i="2"/>
  <c r="J85" i="2"/>
  <c r="A86" i="2"/>
  <c r="B86" i="2"/>
  <c r="C86" i="2"/>
  <c r="D86" i="2"/>
  <c r="I86" i="2"/>
  <c r="J86" i="2"/>
  <c r="A87" i="2"/>
  <c r="B87" i="2"/>
  <c r="C87" i="2"/>
  <c r="D87" i="2"/>
  <c r="I87" i="2"/>
  <c r="J87" i="2"/>
  <c r="A88" i="2"/>
  <c r="B88" i="2"/>
  <c r="C88" i="2"/>
  <c r="D88" i="2"/>
  <c r="I88" i="2"/>
  <c r="J88" i="2"/>
  <c r="A89" i="2"/>
  <c r="B89" i="2"/>
  <c r="C89" i="2"/>
  <c r="D89" i="2"/>
  <c r="I89" i="2"/>
  <c r="J89" i="2"/>
  <c r="A90" i="2"/>
  <c r="B90" i="2"/>
  <c r="C90" i="2"/>
  <c r="D90" i="2"/>
  <c r="I90" i="2"/>
  <c r="J90" i="2"/>
  <c r="A91" i="2"/>
  <c r="B91" i="2"/>
  <c r="C91" i="2"/>
  <c r="D91" i="2"/>
  <c r="I91" i="2"/>
  <c r="J91" i="2"/>
  <c r="A92" i="2"/>
  <c r="B92" i="2"/>
  <c r="C92" i="2"/>
  <c r="D92" i="2"/>
  <c r="I92" i="2"/>
  <c r="J92" i="2"/>
  <c r="A93" i="2"/>
  <c r="B93" i="2"/>
  <c r="C93" i="2"/>
  <c r="D93" i="2"/>
  <c r="I93" i="2"/>
  <c r="J93" i="2"/>
  <c r="A94" i="2"/>
  <c r="B94" i="2"/>
  <c r="C94" i="2"/>
  <c r="D94" i="2"/>
  <c r="I94" i="2"/>
  <c r="J94" i="2"/>
  <c r="A95" i="2"/>
  <c r="B95" i="2"/>
  <c r="C95" i="2"/>
  <c r="D95" i="2"/>
  <c r="I95" i="2"/>
  <c r="J95" i="2"/>
  <c r="A96" i="2"/>
  <c r="B96" i="2"/>
  <c r="C96" i="2"/>
  <c r="D96" i="2"/>
  <c r="I96" i="2"/>
  <c r="J96" i="2"/>
  <c r="B97" i="2"/>
  <c r="C97" i="2"/>
  <c r="D97" i="2"/>
  <c r="I97" i="2"/>
  <c r="J97" i="2"/>
  <c r="B98" i="2"/>
  <c r="C98" i="2"/>
  <c r="D98" i="2"/>
  <c r="I98" i="2"/>
  <c r="J98" i="2"/>
  <c r="B99" i="2"/>
  <c r="C99" i="2"/>
  <c r="D99" i="2"/>
  <c r="I99" i="2"/>
  <c r="J99" i="2"/>
  <c r="B100" i="2"/>
  <c r="C100" i="2"/>
  <c r="D100" i="2"/>
  <c r="I100" i="2"/>
  <c r="J100" i="2"/>
  <c r="B101" i="2"/>
  <c r="C101" i="2"/>
  <c r="D101" i="2"/>
  <c r="I101" i="2"/>
  <c r="J101" i="2"/>
  <c r="B102" i="2"/>
  <c r="C102" i="2"/>
  <c r="D102" i="2"/>
  <c r="I102" i="2"/>
  <c r="J102" i="2"/>
  <c r="B103" i="2"/>
  <c r="C103" i="2"/>
  <c r="D103" i="2"/>
  <c r="I103" i="2"/>
  <c r="J103" i="2"/>
  <c r="B104" i="2"/>
  <c r="C104" i="2"/>
  <c r="D104" i="2"/>
  <c r="I104" i="2"/>
  <c r="J104" i="2"/>
  <c r="B105" i="2"/>
  <c r="C105" i="2"/>
  <c r="D105" i="2"/>
  <c r="I105" i="2"/>
  <c r="J105" i="2"/>
  <c r="B106" i="2"/>
  <c r="C106" i="2"/>
  <c r="D106" i="2"/>
  <c r="I106" i="2"/>
  <c r="J106" i="2"/>
  <c r="B107" i="2"/>
  <c r="C107" i="2"/>
  <c r="D107" i="2"/>
  <c r="I107" i="2"/>
  <c r="J107" i="2"/>
  <c r="B108" i="2"/>
  <c r="C108" i="2"/>
  <c r="D108" i="2"/>
  <c r="I108" i="2"/>
  <c r="J108" i="2"/>
  <c r="B109" i="2"/>
  <c r="C109" i="2"/>
  <c r="D109" i="2"/>
  <c r="I109" i="2"/>
  <c r="J109" i="2"/>
  <c r="B110" i="2"/>
  <c r="C110" i="2"/>
  <c r="D110" i="2"/>
  <c r="I110" i="2"/>
  <c r="J110" i="2"/>
  <c r="B111" i="2"/>
  <c r="C111" i="2"/>
  <c r="D111" i="2"/>
  <c r="I111" i="2"/>
  <c r="J111" i="2"/>
  <c r="B112" i="2"/>
  <c r="C112" i="2"/>
  <c r="D112" i="2"/>
  <c r="I112" i="2"/>
  <c r="J112" i="2"/>
  <c r="B113" i="2"/>
  <c r="C113" i="2"/>
  <c r="D113" i="2"/>
  <c r="I113" i="2"/>
  <c r="J113" i="2"/>
  <c r="B114" i="2"/>
  <c r="C114" i="2"/>
  <c r="D114" i="2"/>
  <c r="I114" i="2"/>
  <c r="J114" i="2"/>
  <c r="B115" i="2"/>
  <c r="C115" i="2"/>
  <c r="D115" i="2"/>
  <c r="I115" i="2"/>
  <c r="J115" i="2"/>
  <c r="B116" i="2"/>
  <c r="C116" i="2"/>
  <c r="D116" i="2"/>
  <c r="I116" i="2"/>
  <c r="J116" i="2"/>
  <c r="B117" i="2"/>
  <c r="C117" i="2"/>
  <c r="D117" i="2"/>
  <c r="I117" i="2"/>
  <c r="J117" i="2"/>
  <c r="B118" i="2"/>
  <c r="C118" i="2"/>
  <c r="D118" i="2"/>
  <c r="I118" i="2"/>
  <c r="J118" i="2"/>
  <c r="B119" i="2"/>
  <c r="C119" i="2"/>
  <c r="D119" i="2"/>
  <c r="I119" i="2"/>
  <c r="J119" i="2"/>
  <c r="B120" i="2"/>
  <c r="C120" i="2"/>
  <c r="D120" i="2"/>
  <c r="I120" i="2"/>
  <c r="J120" i="2"/>
  <c r="B121" i="2"/>
  <c r="C121" i="2"/>
  <c r="D121" i="2"/>
  <c r="I121" i="2"/>
  <c r="J121" i="2"/>
  <c r="B122" i="2"/>
  <c r="C122" i="2"/>
  <c r="D122" i="2"/>
  <c r="I122" i="2"/>
  <c r="J122" i="2"/>
  <c r="B123" i="2"/>
  <c r="C123" i="2"/>
  <c r="D123" i="2"/>
  <c r="I123" i="2"/>
  <c r="J123" i="2"/>
  <c r="B124" i="2"/>
  <c r="C124" i="2"/>
  <c r="D124" i="2"/>
  <c r="I124" i="2"/>
  <c r="J124" i="2"/>
  <c r="B125" i="2"/>
  <c r="C125" i="2"/>
  <c r="D125" i="2"/>
  <c r="I125" i="2"/>
  <c r="J125" i="2"/>
  <c r="B126" i="2"/>
  <c r="C126" i="2"/>
  <c r="D126" i="2"/>
  <c r="I126" i="2"/>
  <c r="J126" i="2"/>
  <c r="B127" i="2"/>
  <c r="C127" i="2"/>
  <c r="D127" i="2"/>
  <c r="I127" i="2"/>
  <c r="J127" i="2"/>
  <c r="B128" i="2"/>
  <c r="C128" i="2"/>
  <c r="D128" i="2"/>
  <c r="I128" i="2"/>
  <c r="J128" i="2"/>
  <c r="B129" i="2"/>
  <c r="C129" i="2"/>
  <c r="D129" i="2"/>
  <c r="I129" i="2"/>
  <c r="J129" i="2"/>
  <c r="B130" i="2"/>
  <c r="C130" i="2"/>
  <c r="D130" i="2"/>
  <c r="I130" i="2"/>
  <c r="J130" i="2"/>
  <c r="B131" i="2"/>
  <c r="C131" i="2"/>
  <c r="D131" i="2"/>
  <c r="I131" i="2"/>
  <c r="J131" i="2"/>
  <c r="B132" i="2"/>
  <c r="C132" i="2"/>
  <c r="D132" i="2"/>
  <c r="I132" i="2"/>
  <c r="J132" i="2"/>
  <c r="B133" i="2"/>
  <c r="C133" i="2"/>
  <c r="D133" i="2"/>
  <c r="I133" i="2"/>
  <c r="J133" i="2"/>
  <c r="B134" i="2"/>
  <c r="C134" i="2"/>
  <c r="D134" i="2"/>
  <c r="I134" i="2"/>
  <c r="J134" i="2"/>
  <c r="B135" i="2"/>
  <c r="C135" i="2"/>
  <c r="D135" i="2"/>
  <c r="I135" i="2"/>
  <c r="J135" i="2"/>
  <c r="B136" i="2"/>
  <c r="C136" i="2"/>
  <c r="D136" i="2"/>
  <c r="I136" i="2"/>
  <c r="J136" i="2"/>
</calcChain>
</file>

<file path=xl/sharedStrings.xml><?xml version="1.0" encoding="utf-8"?>
<sst xmlns="http://schemas.openxmlformats.org/spreadsheetml/2006/main" count="1784" uniqueCount="1113">
  <si>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</si>
  <si>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</si>
  <si>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</si>
  <si>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</si>
  <si>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</si>
  <si>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</si>
  <si>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</si>
  <si>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</si>
  <si>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</si>
  <si>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</si>
  <si>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</si>
  <si>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</si>
  <si>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</si>
  <si>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</si>
  <si>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</si>
  <si>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</si>
  <si>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Continuous</t>
  </si>
  <si>
    <t>NON-OCCM-MP</t>
  </si>
  <si>
    <t>Daily</t>
  </si>
  <si>
    <t>220KV_BETUL</t>
  </si>
  <si>
    <t>SHIV KUMAR</t>
  </si>
  <si>
    <t>9425806917</t>
  </si>
  <si>
    <t>Manoj Kumar Tiwari</t>
  </si>
  <si>
    <t>9425804993</t>
  </si>
  <si>
    <t>400KV_BINA4</t>
  </si>
  <si>
    <t>SATISH KUMAR BHAGAT</t>
  </si>
  <si>
    <t>7049297785</t>
  </si>
  <si>
    <t>Sanjay singh thakur</t>
  </si>
  <si>
    <t>9425806936</t>
  </si>
  <si>
    <t>SATISH KUMAR BHAGAT AE TLM PICHHORE</t>
  </si>
  <si>
    <t>9425806916</t>
  </si>
  <si>
    <t>220KV_GORABAZAR</t>
  </si>
  <si>
    <t>Jitendra Tiwari</t>
  </si>
  <si>
    <t>9425805298</t>
  </si>
  <si>
    <t>400KV_INDIRASAGAR</t>
  </si>
  <si>
    <t>Sh. Sanjay Patel</t>
  </si>
  <si>
    <t>9575074321</t>
  </si>
  <si>
    <t>220KV_JABALPUR</t>
  </si>
  <si>
    <t>Jitendra TIwari</t>
  </si>
  <si>
    <t>9406713326</t>
  </si>
  <si>
    <t>400KV_KATNI4</t>
  </si>
  <si>
    <t>Pankaj Yadav</t>
  </si>
  <si>
    <t>220KV_OMKARESHWAR</t>
  </si>
  <si>
    <t>220KV_PANDHURNA</t>
  </si>
  <si>
    <t>9425805067</t>
  </si>
  <si>
    <t>220KV_SATNA</t>
  </si>
  <si>
    <t>220KV_TIKAMGARH</t>
  </si>
  <si>
    <t>Code &amp; Time for Shut Down</t>
  </si>
  <si>
    <t>Actual duration of Shutdown</t>
  </si>
  <si>
    <t>Code &amp; Time for Normalization</t>
  </si>
  <si>
    <t>CATEGORY</t>
  </si>
  <si>
    <t>CODE</t>
  </si>
  <si>
    <t>TIME</t>
  </si>
  <si>
    <t xml:space="preserve">FROM TIME </t>
  </si>
  <si>
    <t>TO TIME</t>
  </si>
  <si>
    <t>REASON FOR SHUTDOWN</t>
  </si>
  <si>
    <t>PERMIT CANCEL TIME</t>
  </si>
  <si>
    <t xml:space="preserve">CODE </t>
  </si>
  <si>
    <t>FROM</t>
  </si>
  <si>
    <t>TO</t>
  </si>
  <si>
    <t>400KV_BHOPAL4</t>
  </si>
  <si>
    <t>Akram Khan</t>
  </si>
  <si>
    <t>9425804695</t>
  </si>
  <si>
    <t>Sanjay Singh Thakur</t>
  </si>
  <si>
    <t>AREA OF INTERRUPTION</t>
  </si>
  <si>
    <t>TRIPPING/HT</t>
  </si>
  <si>
    <t>CHARGING</t>
  </si>
  <si>
    <t>OUTAGE</t>
  </si>
  <si>
    <t>INDICATIONS [AT THIS END]</t>
  </si>
  <si>
    <t>INDICATIONS [AT OTHER END]</t>
  </si>
  <si>
    <t>Date</t>
  </si>
  <si>
    <t>Time</t>
  </si>
  <si>
    <t>Hrs.</t>
  </si>
  <si>
    <t>Code</t>
  </si>
  <si>
    <t>JABALPUR REGION</t>
  </si>
  <si>
    <t>S.NO</t>
  </si>
  <si>
    <t>VOLTAGE LEVEL</t>
  </si>
  <si>
    <t>JE(S/S)</t>
  </si>
  <si>
    <t>AE(S/S)</t>
  </si>
  <si>
    <t>AE(TESTING)</t>
  </si>
  <si>
    <t>EE(TESTING)</t>
  </si>
  <si>
    <t>AMARKANTAK</t>
  </si>
  <si>
    <t>220KV</t>
  </si>
  <si>
    <t>AMARPATAN</t>
  </si>
  <si>
    <t>132KV</t>
  </si>
  <si>
    <t>MAIHAR220KV</t>
  </si>
  <si>
    <t>220/132KV</t>
  </si>
  <si>
    <t>N/A</t>
  </si>
  <si>
    <t>SATNA 220KV</t>
  </si>
  <si>
    <r>
      <t>SATNA II</t>
    </r>
    <r>
      <rPr>
        <vertAlign val="superscript"/>
        <sz val="11"/>
        <color theme="1"/>
        <rFont val="Calibri"/>
        <family val="2"/>
        <scheme val="minor"/>
      </rPr>
      <t xml:space="preserve">ND </t>
    </r>
    <r>
      <rPr>
        <sz val="11"/>
        <color theme="1"/>
        <rFont val="Calibri"/>
        <family val="2"/>
        <scheme val="minor"/>
      </rPr>
      <t>132KV SONOURA</t>
    </r>
  </si>
  <si>
    <r>
      <t>SATNA I</t>
    </r>
    <r>
      <rPr>
        <vertAlign val="superscript"/>
        <sz val="11"/>
        <color theme="1"/>
        <rFont val="Calibri"/>
        <family val="2"/>
        <scheme val="minor"/>
      </rPr>
      <t>ST</t>
    </r>
    <r>
      <rPr>
        <sz val="11"/>
        <color theme="1"/>
        <rFont val="Calibri"/>
        <family val="2"/>
        <scheme val="minor"/>
      </rPr>
      <t xml:space="preserve"> 132KV PATERI</t>
    </r>
  </si>
  <si>
    <t>UNCHERA 132KV</t>
  </si>
  <si>
    <t>MAJHGAWAN 132KV</t>
  </si>
  <si>
    <t>NAGOD 132KV</t>
  </si>
  <si>
    <t>PANNA 132 KV</t>
  </si>
  <si>
    <t>PAWAI 132KV</t>
  </si>
  <si>
    <t>BANSAGAR 1(TONS 3X105MW)</t>
  </si>
  <si>
    <t>BARGI HPS</t>
  </si>
  <si>
    <t>BARHI 132</t>
  </si>
  <si>
    <t>BINA 220</t>
  </si>
  <si>
    <t>BINA 400</t>
  </si>
  <si>
    <t>CHHINDWARA 132</t>
  </si>
  <si>
    <t>CHHINDWARA 220</t>
  </si>
  <si>
    <t>DEVLOND</t>
  </si>
  <si>
    <t>DHEEMERKHEDA 132KV</t>
  </si>
  <si>
    <t>DONGRITAL 132KV</t>
  </si>
  <si>
    <t>JABALPUR 220KV</t>
  </si>
  <si>
    <t>400/220/132KV</t>
  </si>
  <si>
    <t>KATRA 132 KV</t>
  </si>
  <si>
    <t>KHAPASWAMI 132KV</t>
  </si>
  <si>
    <t>KIRNAPUR 400KV</t>
  </si>
  <si>
    <t>400/132KV</t>
  </si>
  <si>
    <t>KOTAR 220KV</t>
  </si>
  <si>
    <t>KOTMA 132KV</t>
  </si>
  <si>
    <t>LALBARRA 132KV</t>
  </si>
  <si>
    <t>MADHOTAL 132KV</t>
  </si>
  <si>
    <t>MADWAS 132KV</t>
  </si>
  <si>
    <t>MANDLA 132 KV</t>
  </si>
  <si>
    <t>MAUGANJ 132 KV</t>
  </si>
  <si>
    <t>MORWA 132KV</t>
  </si>
  <si>
    <t>NAINPUR 132KV</t>
  </si>
  <si>
    <t>PANAGAR 220KV</t>
  </si>
  <si>
    <t>PANDURNA 220KV</t>
  </si>
  <si>
    <t>PRITHVIPUR 132KV</t>
  </si>
  <si>
    <t>RAJMILAN 132KV</t>
  </si>
  <si>
    <t>RAMPUR BAGHELAN 132KV</t>
  </si>
  <si>
    <t>RAMPUR NEIKIN 132KV</t>
  </si>
  <si>
    <t>REWA II SAGRA</t>
  </si>
  <si>
    <t>SAGAR 400KV</t>
  </si>
  <si>
    <t>SEONI 132KV</t>
  </si>
  <si>
    <t>SEONI 220KV</t>
  </si>
  <si>
    <t>SHAHDOL 220KV</t>
  </si>
  <si>
    <t>SHAHPURA 132KV</t>
  </si>
  <si>
    <t>SIDHI 132KV</t>
  </si>
  <si>
    <t>SIDHI 220KV</t>
  </si>
  <si>
    <t>SIHAWAL 132KV</t>
  </si>
  <si>
    <t>SIRMOUR 220KV(REWA)</t>
  </si>
  <si>
    <t>SUKHA 220KV</t>
  </si>
  <si>
    <t>TIKAMGARH 220KV</t>
  </si>
  <si>
    <t>UMARIYA 132KV</t>
  </si>
  <si>
    <t>UMRETH 132KV</t>
  </si>
  <si>
    <t>VFJ 132KV</t>
  </si>
  <si>
    <t>WAIDHAN 132KV</t>
  </si>
  <si>
    <t>WARASEONI 132KV</t>
  </si>
  <si>
    <t>NIWARI 132KV</t>
  </si>
  <si>
    <t>ORCHA 132KV</t>
  </si>
  <si>
    <t xml:space="preserve">DIGODA 132 KV </t>
  </si>
  <si>
    <t>JATARA 132KV</t>
  </si>
  <si>
    <t>BUDHERA 132KV</t>
  </si>
  <si>
    <t>NOWGAON 132KV</t>
  </si>
  <si>
    <t>BADAMALHERA 132KV</t>
  </si>
  <si>
    <t>KHAJURAHO 132KV</t>
  </si>
  <si>
    <t>LUV KUSHNAGAR 132KV</t>
  </si>
  <si>
    <t>DEVENDRANAGAR 132KV</t>
  </si>
  <si>
    <t>LATERI 132KV</t>
  </si>
  <si>
    <t>M. M. Baig</t>
  </si>
  <si>
    <t>M.M. Baig</t>
  </si>
  <si>
    <t>7898703187</t>
  </si>
  <si>
    <t>Pankaj Sharma</t>
  </si>
  <si>
    <t>BOREGAON 132KV</t>
  </si>
  <si>
    <t>CHAURAI 132KV</t>
  </si>
  <si>
    <t>AMARWARA 132KV</t>
  </si>
  <si>
    <t>AE(TLM)</t>
  </si>
  <si>
    <t>DEOSAR 132KV</t>
  </si>
  <si>
    <t>9425803172/7587951350</t>
  </si>
  <si>
    <t>REWA 220KV</t>
  </si>
  <si>
    <t>SAGAR 132KV</t>
  </si>
  <si>
    <t>9425804875(WHATSAPP)</t>
  </si>
  <si>
    <t>BANDA 132KV</t>
  </si>
  <si>
    <t>DEORI 132 KV</t>
  </si>
  <si>
    <t>REHLI 132KV</t>
  </si>
  <si>
    <t>7587951368/7587951366</t>
  </si>
  <si>
    <t>9425813707/7648818093</t>
  </si>
  <si>
    <t>9425804877/7587951390</t>
  </si>
  <si>
    <t>GORAKHPUR 132KV</t>
  </si>
  <si>
    <t>BIRSINGHPUR 220KV</t>
  </si>
  <si>
    <t>ATRAILA 132 KV</t>
  </si>
  <si>
    <t>9425814035(BIJAY SAHU)</t>
  </si>
  <si>
    <t xml:space="preserve">DINDORI 132KV </t>
  </si>
  <si>
    <t>BEOHARI 132KV</t>
  </si>
  <si>
    <t>8319555199(VIKRAM SINGH)</t>
  </si>
  <si>
    <t>9009784603(MAN SINGH)</t>
  </si>
  <si>
    <t>9752605559(TOSHAN SINGH)</t>
  </si>
  <si>
    <t>9340605414/9009393895(D.P SINGH)</t>
  </si>
  <si>
    <t>9165708070(VIKASH MISHRA)</t>
  </si>
  <si>
    <t>9425801257(NARESH SINGH GOUD)</t>
  </si>
  <si>
    <t>9425805019(S.N SHARMA)</t>
  </si>
  <si>
    <t>9755718326(MUKESH KUMAR)</t>
  </si>
  <si>
    <t>REWA I 132KV CITY</t>
  </si>
  <si>
    <t>MANGAWAN 132KV</t>
  </si>
  <si>
    <t>9424734033(I.J SINGH)</t>
  </si>
  <si>
    <t>9630177601(R.K DWIVEDI)</t>
  </si>
  <si>
    <t>8827503975(JITENDRA MISHRA)</t>
  </si>
  <si>
    <t>9685298331(SURENDRA SINGH)</t>
  </si>
  <si>
    <t>9685298331(SURENDRA SINGH BAHELIA)</t>
  </si>
  <si>
    <t>9752814263(BHUPENDRA PATHAK)</t>
  </si>
  <si>
    <t>9977761198(AVINASH DESMUKH)</t>
  </si>
  <si>
    <t>9425804991(N.S PATEL)</t>
  </si>
  <si>
    <t>BICHYA 132KV</t>
  </si>
  <si>
    <t>MANERI 132KV</t>
  </si>
  <si>
    <t>GORABAZAR 220KV</t>
  </si>
  <si>
    <t>GOURJHAMAR 132KV</t>
  </si>
  <si>
    <t>9425385281(S.K JAIN)</t>
  </si>
  <si>
    <t>9926645795(RAJESH DONGSARE)</t>
  </si>
  <si>
    <t>9425804752(ANJU DHURVE)</t>
  </si>
  <si>
    <t>132KV BICHUA</t>
  </si>
  <si>
    <t>132KV SAORI</t>
  </si>
  <si>
    <t>9425804982(MAHENDRA RAJ SAHU)</t>
  </si>
  <si>
    <t>7566934378(MADAN GHAGRE)</t>
  </si>
  <si>
    <t>8319638787(SUSHEEL DEHARIYA)</t>
  </si>
  <si>
    <t>9685556803(SHIVKUMAR OKTE)</t>
  </si>
  <si>
    <t>7509148945(ASHOK BINJHADE)</t>
  </si>
  <si>
    <t>896277785(AADESH KUMAR MASKOLE)</t>
  </si>
  <si>
    <t>KATANGI 132KV</t>
  </si>
  <si>
    <t>BALAGAHT 132KV</t>
  </si>
  <si>
    <t>BAIHAR 132KV</t>
  </si>
  <si>
    <t>BHANEGAON 132KV</t>
  </si>
  <si>
    <t>HATTA 132KV</t>
  </si>
  <si>
    <t>PATERA 132KV</t>
  </si>
  <si>
    <t>BATIAGARH 132KV</t>
  </si>
  <si>
    <t>GARHA KOTA 132KV</t>
  </si>
  <si>
    <t>CHHATARPUR 220KV</t>
  </si>
  <si>
    <t>DAMOH 220KV</t>
  </si>
  <si>
    <t>220KV_UJJAIN</t>
  </si>
  <si>
    <t>kumar sachindra</t>
  </si>
  <si>
    <t>9425805295</t>
  </si>
  <si>
    <t>Kumar sachindra</t>
  </si>
  <si>
    <t>400KV_KIRNAPUR</t>
  </si>
  <si>
    <t>S.K.Nadekar</t>
  </si>
  <si>
    <t>9425806848</t>
  </si>
  <si>
    <t>132KV_KOTHIYA</t>
  </si>
  <si>
    <t>Mr. Rakesh Suman</t>
  </si>
  <si>
    <t>9713958042</t>
  </si>
  <si>
    <t>220KV_NAGDA</t>
  </si>
  <si>
    <t>ARVIND PATIDAR</t>
  </si>
  <si>
    <t>9425806852</t>
  </si>
  <si>
    <t>PANKAJ SHARMA</t>
  </si>
  <si>
    <t>JAGDISH PRASAD ASATI</t>
  </si>
  <si>
    <t>9424445533</t>
  </si>
  <si>
    <t>DAMOH 132KV</t>
  </si>
  <si>
    <t>8878152550(ARUN KOL)</t>
  </si>
  <si>
    <t>TIKAMGARH 132KV</t>
  </si>
  <si>
    <t>9893124647(K.K PATEL)</t>
  </si>
  <si>
    <t>9425805077(MAHESH PRASAD PATEL)</t>
  </si>
  <si>
    <t>9425804341(SRAJAN SISODIYA)</t>
  </si>
  <si>
    <t xml:space="preserve">NA </t>
  </si>
  <si>
    <t xml:space="preserve">132KV </t>
  </si>
  <si>
    <t xml:space="preserve">BIJAWAR 132 KV </t>
  </si>
  <si>
    <t xml:space="preserve">132 KV </t>
  </si>
  <si>
    <t>(8586865656) Sh.AKHILESH SINGH</t>
  </si>
  <si>
    <t>(8586865656) Sh. AKHILESH SINGH</t>
  </si>
  <si>
    <t>(9425805296) Sh. RAVI PANDEY</t>
  </si>
  <si>
    <t>(9425804656) Sh. KANISHK SINGH</t>
  </si>
  <si>
    <t>(9425802349) Sh.R.N UPADHYAY</t>
  </si>
  <si>
    <t>(9425804656) Sh. KANISHK SINGH,(9425805073)Smt. PRATEEKSHA BAGRI</t>
  </si>
  <si>
    <t>(9425805076)Sh. ABHAY SAXENA</t>
  </si>
  <si>
    <t>(7999353371) Sh. GIREESH NAPIT</t>
  </si>
  <si>
    <t>(7000452680) Sh. DURGESH YADAV</t>
  </si>
  <si>
    <t>(9713179377) Sh. SANTOSH LODHI</t>
  </si>
  <si>
    <t>(8839503970) Sh.PUSHPENDRA SONI</t>
  </si>
  <si>
    <t>(8770949309) Sh. SANTOSH KUMAR JAIN</t>
  </si>
  <si>
    <t>(7000698221) Sh. NEERAJ PATEL</t>
  </si>
  <si>
    <t>(9425806724,9406787671) Sh. C.L MALI</t>
  </si>
  <si>
    <t>(9806040860) Sh. BRIJESH VISHWKARMA</t>
  </si>
  <si>
    <t>(9926239898) Sh. KULDEEP VERMA</t>
  </si>
  <si>
    <t>(8878740098) Sh. GANESH RAI</t>
  </si>
  <si>
    <t>(9179169095) Sh. PRAKASH CHANDRA ANURAGI</t>
  </si>
  <si>
    <t>(9806906921) Sh. RAJESH YADAV</t>
  </si>
  <si>
    <t>(8959559657) Sh. M.K CHOUBE</t>
  </si>
  <si>
    <t>(9425801433) Sh. B.K SAHU</t>
  </si>
  <si>
    <t xml:space="preserve">(9425808329) Sh. P.D GAUTAM </t>
  </si>
  <si>
    <t xml:space="preserve">(9131327770) Sh.BRIJENDRA SONI </t>
  </si>
  <si>
    <t>(9993828009,9425806832) Sh. ANKIT BERSAIYA/(7879960164,9425804341) Sh. SRAJAN SISODIYA</t>
  </si>
  <si>
    <t>(9425804984) Sh. KAMALKANT AHIRWAR</t>
  </si>
  <si>
    <t>(9425804690) Sh. VISHAL BALADHARE</t>
  </si>
  <si>
    <t>(9425805086) Sh. DEEPAK KUMAR</t>
  </si>
  <si>
    <t>(9755467929) Sh. D.N AHIRWAR</t>
  </si>
  <si>
    <t>(9425805177) Sh. P.R MARAVI</t>
  </si>
  <si>
    <t>(9425801421) Sh. SK HAJARI</t>
  </si>
  <si>
    <t>(9575092715) Sh. SUNEEL SHUKLA</t>
  </si>
  <si>
    <t>() Sh.</t>
  </si>
  <si>
    <t>(9752644102) Sh. SUNEEL BHALAVI</t>
  </si>
  <si>
    <t>SHAHDOL DIVISON</t>
  </si>
  <si>
    <t>ANNUPPUR 220KV</t>
  </si>
  <si>
    <t>(8770544002) Sh. Sandeep pathak</t>
  </si>
  <si>
    <t>(9755718326) Sh. MUKESH KUMAR</t>
  </si>
  <si>
    <t>(9425806924) Sh. RAVIRAJ PATEL</t>
  </si>
  <si>
    <t>(9425805293) Sh. CHANDRABHAN KUSHWAHA</t>
  </si>
  <si>
    <t>(9407080930) Sh. Sandeep damahe</t>
  </si>
  <si>
    <t>SEONI CIRCLE(SEONI, CHHINDWARA, NARSINGHPUR)</t>
  </si>
  <si>
    <t>(9425805290) Sh. ARUN KUMAR VAIDYA</t>
  </si>
  <si>
    <t>DIVISON</t>
  </si>
  <si>
    <t>CIRCLE</t>
  </si>
  <si>
    <t>(9425804966) Sh. RAMESH KANKUNJ</t>
  </si>
  <si>
    <t>7587951349/7587951364</t>
  </si>
  <si>
    <t>(8602109855) Smt. SWATI BISEN</t>
  </si>
  <si>
    <t>LAKHNADON 132KV</t>
  </si>
  <si>
    <t>(8717944384) Smt Seema Dongre</t>
  </si>
  <si>
    <t>(8516924263) Sh. LOKESH PATIL, (9039300466) Sh. DEVENDRA DEHARIYA (AE TESTING KIRNAPUR)</t>
  </si>
  <si>
    <t>(9425804578) Shri Dileep Valky</t>
  </si>
  <si>
    <t>(9425806914) Sh. SURENDRA PATEL</t>
  </si>
  <si>
    <t>(9425804930) Sh. BIJAK KUMAR PRIYE</t>
  </si>
  <si>
    <t>(8109414234) Sh. R.K SAHU</t>
  </si>
  <si>
    <t>(8770142169) Sh. Sabhapati Prajapati</t>
  </si>
  <si>
    <t>(7648817448) Sh. ANUJ PANDEY</t>
  </si>
  <si>
    <t>(9584321714) Sh.Girjashankar Kahirwar</t>
  </si>
  <si>
    <t>(9425804643) Sh VINOD PANIKA</t>
  </si>
  <si>
    <t>(7000431053) Sh. S.B SINGH</t>
  </si>
  <si>
    <t xml:space="preserve">S.NO </t>
  </si>
  <si>
    <t>NAME</t>
  </si>
  <si>
    <t xml:space="preserve">CONTACT NO </t>
  </si>
  <si>
    <t>POST</t>
  </si>
  <si>
    <t>Gaurav Goyal</t>
  </si>
  <si>
    <t>9425805120</t>
  </si>
  <si>
    <t>220KV_BADNAGAR</t>
  </si>
  <si>
    <t>Poshkar kushwaha</t>
  </si>
  <si>
    <t>9425813990</t>
  </si>
  <si>
    <t>Shri Ganesh Mansare</t>
  </si>
  <si>
    <t>9425802441</t>
  </si>
  <si>
    <t>400KV_CHHEGAON4</t>
  </si>
  <si>
    <t>Sunita Rathore</t>
  </si>
  <si>
    <t>9425805223</t>
  </si>
  <si>
    <t>220KV_DHAR</t>
  </si>
  <si>
    <t>J.D. Khoria</t>
  </si>
  <si>
    <t>9425804975</t>
  </si>
  <si>
    <t>220KV_HANDIYA</t>
  </si>
  <si>
    <t>R.N.PARTE</t>
  </si>
  <si>
    <t>9425804701</t>
  </si>
  <si>
    <t>220KV_ITARSI</t>
  </si>
  <si>
    <t>Pankaj yaday</t>
  </si>
  <si>
    <t>MANOJ RANDA</t>
  </si>
  <si>
    <t>9425820034</t>
  </si>
  <si>
    <t>132KV_MANAWAR</t>
  </si>
  <si>
    <t>CHETAN YADAV</t>
  </si>
  <si>
    <t>9425805282</t>
  </si>
  <si>
    <t>132KV_MANERI</t>
  </si>
  <si>
    <t>Asheesh Kumar</t>
  </si>
  <si>
    <t>8319926224</t>
  </si>
  <si>
    <t>220KV_MEHGAON</t>
  </si>
  <si>
    <t>Sunil Bamniya</t>
  </si>
  <si>
    <t>9425803006</t>
  </si>
  <si>
    <t>400KV_NAGDA4</t>
  </si>
  <si>
    <t>NARESH PANDRE</t>
  </si>
  <si>
    <t>9425806905</t>
  </si>
  <si>
    <t>400KV_PITHAMPUR4</t>
  </si>
  <si>
    <t>TLM Shujalpur</t>
  </si>
  <si>
    <t>9425820041</t>
  </si>
  <si>
    <t>220KV_RAJGARH (BIAORA)</t>
  </si>
  <si>
    <t>NIKHIL DUNGE</t>
  </si>
  <si>
    <t>9425801487</t>
  </si>
  <si>
    <t>220KV_RATLAM</t>
  </si>
  <si>
    <t>Ashish Kumar</t>
  </si>
  <si>
    <t>9425805935</t>
  </si>
  <si>
    <t>132KV_SHAHPURA</t>
  </si>
  <si>
    <t>KAMAL SOLANKI</t>
  </si>
  <si>
    <t>9425805262</t>
  </si>
  <si>
    <t>132KV_SONKATCH</t>
  </si>
  <si>
    <t>220KV_CHAPDA</t>
  </si>
  <si>
    <t>220KV_DEWAS</t>
  </si>
  <si>
    <t>132KV_RAMPUR BAGHELAN</t>
  </si>
  <si>
    <t>220KV_SIDHI</t>
  </si>
  <si>
    <t>220KV_DAMOH</t>
  </si>
  <si>
    <t>J.P. Parmar</t>
  </si>
  <si>
    <t>JITENDRA LOHANA</t>
  </si>
  <si>
    <t>Ravindra Kumar Marskole</t>
  </si>
  <si>
    <t>Er Yasin khan</t>
  </si>
  <si>
    <t>SHRI SPS TOMAR</t>
  </si>
  <si>
    <t>SK Sharma</t>
  </si>
  <si>
    <t>M.K.Choubey</t>
  </si>
  <si>
    <t>P D Goutam</t>
  </si>
  <si>
    <t>ATUL PARADKAR</t>
  </si>
  <si>
    <t>RAKESH BADGOTYA</t>
  </si>
  <si>
    <t>pankaj yadav</t>
  </si>
  <si>
    <t>S.K.OKTE</t>
  </si>
  <si>
    <t>Ee Manoj randa</t>
  </si>
  <si>
    <t>Akhilesh Singh</t>
  </si>
  <si>
    <t>Asheesh kumar</t>
  </si>
  <si>
    <t>DINESH KUMAR KUSHWAHA</t>
  </si>
  <si>
    <t>Er.v VIJAY OJHA</t>
  </si>
  <si>
    <t>Er.VIJAY OJHA</t>
  </si>
  <si>
    <t>SHRI S.K. PATEL</t>
  </si>
  <si>
    <t>RAMBABU NAGAR</t>
  </si>
  <si>
    <t>RAM BABU NAGAR</t>
  </si>
  <si>
    <t>9425806919</t>
  </si>
  <si>
    <t>9425804978</t>
  </si>
  <si>
    <t>9425814080</t>
  </si>
  <si>
    <t>8319544020</t>
  </si>
  <si>
    <t>8982804799</t>
  </si>
  <si>
    <t>9981154955</t>
  </si>
  <si>
    <t>9425801424</t>
  </si>
  <si>
    <t>9425808329</t>
  </si>
  <si>
    <t>9425804929</t>
  </si>
  <si>
    <t>7587951143</t>
  </si>
  <si>
    <t>7587951132</t>
  </si>
  <si>
    <t>8586865656</t>
  </si>
  <si>
    <t>9425801319</t>
  </si>
  <si>
    <t>9425993027</t>
  </si>
  <si>
    <t>9755836908</t>
  </si>
  <si>
    <t>9425806914</t>
  </si>
  <si>
    <t>9425802879</t>
  </si>
  <si>
    <t>132KV_ALOT</t>
  </si>
  <si>
    <t>400KV_ASHTA4</t>
  </si>
  <si>
    <t>220KV_BADOD</t>
  </si>
  <si>
    <t>220KV_BARWAHA</t>
  </si>
  <si>
    <t>132KV_BILPANK</t>
  </si>
  <si>
    <t>220KV_BUDHNI</t>
  </si>
  <si>
    <t>132KV_DEORI</t>
  </si>
  <si>
    <t>400KV_INDORE4</t>
  </si>
  <si>
    <t>220KV_JAORA</t>
  </si>
  <si>
    <t>132KV_KHAPASWAMI</t>
  </si>
  <si>
    <t>220KV_KUKSHI</t>
  </si>
  <si>
    <t>220KV_MAIHAR</t>
  </si>
  <si>
    <t>220KV_NARSINGHPUR</t>
  </si>
  <si>
    <t>220KV_SARNI</t>
  </si>
  <si>
    <t>220KV_SHEOPUR KALAN2</t>
  </si>
  <si>
    <t>220KV_SUWASRA2</t>
  </si>
  <si>
    <t>ok</t>
  </si>
  <si>
    <t>STATE LOAD DESPATCH CENTRE 
Madhya Pradesh Power Transmission Company Limited, Jabalpur</t>
  </si>
  <si>
    <t>OCCM-MP</t>
  </si>
  <si>
    <t>sub ld</t>
  </si>
  <si>
    <t>220 KV ANNUPPUR KOTMIKALA CIRCUIT 1</t>
  </si>
  <si>
    <t>220 KV ANNUPPUR AMARKANTAK  CIRCUIT 1</t>
  </si>
  <si>
    <t>220 KV ANNUPPUR AMARKANTAK  CIRCUIT 2</t>
  </si>
  <si>
    <t>220 KV ANNUPPUR 160 MVA TRANSFORMER 1</t>
  </si>
  <si>
    <t xml:space="preserve">132 KV ANNUPPUR DONGRITAL CIRCUIT </t>
  </si>
  <si>
    <t>132 KV ANNUPPUR RAJMILAN CIRCUIT 1</t>
  </si>
  <si>
    <t xml:space="preserve">132 KV ANNUPPUR ORIENT PAPER CIRCUIT </t>
  </si>
  <si>
    <t>132 KV ANNUPPUR KOTMA CIRCUIT 1</t>
  </si>
  <si>
    <t>132 KV ANNUPPUR KOTMA CIRCUIT 2</t>
  </si>
  <si>
    <t xml:space="preserve">132 KV ANNUPPUR SHAHDOL CIRCUIT </t>
  </si>
  <si>
    <t>220 KV  AMARKANTAK ANNUPPUR  CIRCUIT 1</t>
  </si>
  <si>
    <t>220 KV  AMARKANTAK ANNUPPUR  CIRCUIT 2</t>
  </si>
  <si>
    <t xml:space="preserve">220 KV AMARKANTAK SHAHDOL CIRCUIT </t>
  </si>
  <si>
    <t xml:space="preserve">220 KV AMARKANTAK SGTPS CIRCUIT </t>
  </si>
  <si>
    <t xml:space="preserve">220 KV AMARKANTAK GORABAZAR CIRCUIT </t>
  </si>
  <si>
    <t xml:space="preserve">220 KV AMARKANTAK JABALPUR CIRCUIT </t>
  </si>
  <si>
    <t xml:space="preserve">220 KV AMARKANTAK PANAGAR CIRCUIT </t>
  </si>
  <si>
    <t>220 KV AMARKANTAK TRACTION CIRCUIT 1</t>
  </si>
  <si>
    <t>220 KV AMARKANTAK TRACTION CIRCUIT 2</t>
  </si>
  <si>
    <t>220 KV AMARKANTAK STATION TRANSFORMER 5A</t>
  </si>
  <si>
    <t>220 KV AMARKANTAK STATION TRANSFORMER 5B</t>
  </si>
  <si>
    <t xml:space="preserve">220 KV SHAHDOL AMARKANTAK </t>
  </si>
  <si>
    <t xml:space="preserve">220 KV SHAHDOL SGTPS CIRCUIT </t>
  </si>
  <si>
    <t>220 KV/132 KV 160 MVA TRANSFORMER 1</t>
  </si>
  <si>
    <t xml:space="preserve">132 KV SHAHDOL ANNUPPUR  CIRCUIT </t>
  </si>
  <si>
    <t>132 KV SHAHDOL RELIANCE CIRCUIT</t>
  </si>
  <si>
    <t>132 KV SHAHDOL DINDORI CIRCUIT 1</t>
  </si>
  <si>
    <t>132 KV SHAHDOL DINDORI CIRCUIT 2</t>
  </si>
  <si>
    <t>132 KV SHAHDOL BIRSINGHPUR CIRCUIT 1</t>
  </si>
  <si>
    <t>132 KV SHAHDOL BIRSINGHPUR CIRCUIT 2</t>
  </si>
  <si>
    <t>220 KV BIRSINGHPUR SGTPS I/C 1</t>
  </si>
  <si>
    <t>220 KV BIRSINGHPUR SGTPS I/C 2</t>
  </si>
  <si>
    <t>220 KV BIRSINGHPUR SGTPS I/C 3</t>
  </si>
  <si>
    <t>220 KV BIRSINGHPUR SGTPS I/C 4</t>
  </si>
  <si>
    <t>220 KV BIRSINGHPUR HYDEL CIRCUIT</t>
  </si>
  <si>
    <t>220 KV BIRSINGHPUR JABALPUR CIRCUIT 1</t>
  </si>
  <si>
    <t>220 KV BIRSINGHPUR JABALPUR CIRCUIT 2</t>
  </si>
  <si>
    <t>132 KV BIRSINGHPUR UMARIYA CIRCUIT 1</t>
  </si>
  <si>
    <t>132 KV BIRSINGHPUR UMARIYA CIRCUIT 2</t>
  </si>
  <si>
    <t>132 KV BIRSINGHPUR SHAHDOL CIRCUIT 1</t>
  </si>
  <si>
    <t>132 KV BIRSINGHPUR SHAHDOL CIRCUIT 2</t>
  </si>
  <si>
    <t xml:space="preserve">220 KV MANPUR SGTPS CIRCUIT </t>
  </si>
  <si>
    <t xml:space="preserve">220 KV MANPUR SATNA CIRCUIT </t>
  </si>
  <si>
    <t>220 KV BIRSINGHPUR TRACTION CIRCUIT 1</t>
  </si>
  <si>
    <t>220 KV BIRSINGHPUR TRACTION CIRCUIT 2</t>
  </si>
  <si>
    <t xml:space="preserve">220 KV JABALPUR AMARKANTAK CIRCUIT </t>
  </si>
  <si>
    <t xml:space="preserve">220 KV JABALPUR GORABAZAR CIRCUIT </t>
  </si>
  <si>
    <t>220 KV JABALPUR BIRSINGHPUR CIRCUIT 1</t>
  </si>
  <si>
    <t>220 KV JABALPUR BIRSINGHPUR CIRCUIT 2</t>
  </si>
  <si>
    <t>220 KV JABALPUR SUKHA CIRCUIT 1</t>
  </si>
  <si>
    <t>220 KV JABALPUR SUKHA CIRCUIT 2</t>
  </si>
  <si>
    <t>220 KV JABALPUR NARSINGHPUR CIRCUIT 1</t>
  </si>
  <si>
    <t>220 KV JABALPUR NARSINGHPUR CIRCUIT 2</t>
  </si>
  <si>
    <t>220 KV BUS COUPLER AT JABALPUR</t>
  </si>
  <si>
    <t>220 KV /132 KV 160 MVA TRANSFORMER 1 BBL</t>
  </si>
  <si>
    <t>220 KV /132 KV 160 MVA TRANSFORMER 2 BBL</t>
  </si>
  <si>
    <t>220 KV /132 KV 160 MVA TRANSFORMER 3 GEC</t>
  </si>
  <si>
    <t>220 KV /132 KV 160 MVA TRANSFORMER 1 BHEL</t>
  </si>
  <si>
    <t xml:space="preserve">132 KV JABALPUR SHAHPURA CIRCUIT </t>
  </si>
  <si>
    <t>132 KV JABALPUR MANERI TAP GORABAZAAR</t>
  </si>
  <si>
    <t xml:space="preserve">220 KV GORABAZAR JABALPUR CIRCUIT </t>
  </si>
  <si>
    <t xml:space="preserve">220 KV GORABAZAR AMARKANTAK CIRCUIT </t>
  </si>
  <si>
    <t xml:space="preserve">132 KV GORABAZAR MANERI CIRCUIT </t>
  </si>
  <si>
    <t>220 KV SUKHA NARSINGHPUR CIRCUIT 1</t>
  </si>
  <si>
    <t>220 KV SUKHA NARSINGHPUR CIRCUIT 2</t>
  </si>
  <si>
    <t>220 KV SUKHA JABALPUR CIRCUIT 1</t>
  </si>
  <si>
    <t>220 KV SUKHA JABALPUR CIRCUIT 2</t>
  </si>
  <si>
    <t>220 KV SUKHA PANAGAR CIRCUIT 1</t>
  </si>
  <si>
    <t>220 KV SUKHA PANAGAR CIRCUIT 2</t>
  </si>
  <si>
    <t>220 KV/400 KV  ICT 1 AT 400 KV JABALPUR PG</t>
  </si>
  <si>
    <t>220 KV/400 KV  ICT 2 AT 400 KV JABALPUR PG</t>
  </si>
  <si>
    <t>220 KV/400 KV  ICT 3 AT 400 KV JABALPUR PG</t>
  </si>
  <si>
    <t>220 KV/33 KV 50 MVA TRANSFORMER 1 AT 220 KV SUKHA</t>
  </si>
  <si>
    <t>220 KV/33 KV 50 MVA TRANSFORMER 2 AT 220 KV JSUKHA</t>
  </si>
  <si>
    <t>220 KV BUS COUPLER AT SUKHA</t>
  </si>
  <si>
    <t>220 KV PANAGAR SGTPS CIRCUIT</t>
  </si>
  <si>
    <t>220 KV PANAGAR AMARKANTAK CIRCUIT</t>
  </si>
  <si>
    <t>220 KV PANAGAR SUKHA CIRCUIT 1</t>
  </si>
  <si>
    <t>220 KV PANAGAR SUKHA CIRCUIT 2</t>
  </si>
  <si>
    <t>220 KV BUS COUPLER AT PANAGAR</t>
  </si>
  <si>
    <t>220 KV /132 KV 160 MVA TRANSFORMER 1</t>
  </si>
  <si>
    <t>220 KV /132 KV 160 MVA TRANSFORMER 2</t>
  </si>
  <si>
    <t xml:space="preserve">132 KV PANAGAR JABALPUR CIRCUIT </t>
  </si>
  <si>
    <t xml:space="preserve">132 KV PANAGAR KATNI CIRCUIT </t>
  </si>
  <si>
    <t xml:space="preserve">132 KV PANAGAR MANSHAKRA CIRCUIT </t>
  </si>
  <si>
    <t xml:space="preserve">132 KV PANAGAR MADHOTAL CIRCUIT </t>
  </si>
  <si>
    <t xml:space="preserve">132 KV PANAGAR KATANGI CIRCUIT </t>
  </si>
  <si>
    <t xml:space="preserve">132 KV PANAGAR PATAN CIRCUIT </t>
  </si>
  <si>
    <t xml:space="preserve">132 KV PANAGAR DHEMERKHEDA CIRCUIT </t>
  </si>
  <si>
    <t>220 KV SIDHI BARGAWAN CIRCUIT 1</t>
  </si>
  <si>
    <t>220 KV SIDHI BARGAWAN CIRCUIT 2</t>
  </si>
  <si>
    <t>220 KV SIDHI RUMS CIRCUIT 1</t>
  </si>
  <si>
    <t>220 KV SIDHI RUMS CIRCUIT 2</t>
  </si>
  <si>
    <t xml:space="preserve">220 KV SIDHI REWA CIRCUIT </t>
  </si>
  <si>
    <t xml:space="preserve">220 KV SIDHI AMARKANTAK CIRCUIT </t>
  </si>
  <si>
    <t>220 KV BUS COUPLER AT SIDHI</t>
  </si>
  <si>
    <t>220 KV / 132 KV 160 MVA TRANSFORMER 1 BHEL</t>
  </si>
  <si>
    <t>220 KV /132 KV 160 MVA TRANSFORMER 2 IMP</t>
  </si>
  <si>
    <t>132 KV SIDHI INTERCONNECTOR SIDHI CIRCUIT 1</t>
  </si>
  <si>
    <t>132 KV SIDHI INTERCONNECTOR SIDHI CIRCUIT 2</t>
  </si>
  <si>
    <t>132 KV SIDHI DEOSAR CIRCUIT 1</t>
  </si>
  <si>
    <t>132 KV SIDHI DEOSAR CIRCUIT 2</t>
  </si>
  <si>
    <t>132 KV SIDHI MOUGANJ CIRCUIT 1</t>
  </si>
  <si>
    <t>220 KV REWA RUMS CIRCUIT 1</t>
  </si>
  <si>
    <t>220 KV REWA RUMS CIRCUIT 2</t>
  </si>
  <si>
    <t xml:space="preserve">220 KV REWA SIRMORE CIRCUIT </t>
  </si>
  <si>
    <t xml:space="preserve">220 KV REWA BANSAGAR 1(TONS) CIRCUIT </t>
  </si>
  <si>
    <t xml:space="preserve">220 KV REWA SATNA CIRCUIT </t>
  </si>
  <si>
    <t xml:space="preserve">220 KV REWA SIDHI CIRCUIT </t>
  </si>
  <si>
    <t>220 KV /132 KV 160 MVA TRANSFORMER REWA</t>
  </si>
  <si>
    <t>220 KV / 132 KV 200 MVA TRANSFORMER 1 BHEL</t>
  </si>
  <si>
    <t xml:space="preserve">132 KV REWA RAMPUR NAIKIN CIRCUIT </t>
  </si>
  <si>
    <t xml:space="preserve">132 KV REWA ZINNA BANSAGAR 1V CIRCUIT </t>
  </si>
  <si>
    <t xml:space="preserve">132 KV REWA SAGRA(REWA II) CIRCUIT </t>
  </si>
  <si>
    <t>132 KV REWA MANGAWAN CIRCUIT 1</t>
  </si>
  <si>
    <t>132 KV REWA MANGAWAN CIRCUIT 2</t>
  </si>
  <si>
    <t xml:space="preserve">132 KV REWA REWA 1(PAHARIA) INTERCONNECTOR 1 CIRCUIT </t>
  </si>
  <si>
    <t xml:space="preserve">220 KV SIRMOUR TONS(BANSAGAR I ) CIRCUIT </t>
  </si>
  <si>
    <t xml:space="preserve">220 KV SIRMOUR REWA CIRCUIT </t>
  </si>
  <si>
    <t>220 KV /132 KV 160 MVA TRANSFORMER 1 AT SIRMOUR</t>
  </si>
  <si>
    <t>220 KV /132 KV 160 MVA TRANSFORMER 2 AT SIRMOUR</t>
  </si>
  <si>
    <t>132 KV SIRMOUR KATRA CIRCUIT 1</t>
  </si>
  <si>
    <t>132 KV SIRMOUR ATRAILA  CIRCUIT 1</t>
  </si>
  <si>
    <t>132 KV SIRMOUR TRACTION CIRCUIT 1</t>
  </si>
  <si>
    <t xml:space="preserve">220 KV BANSAGAR 1(TONS) SIRMOUR CIRCUIT </t>
  </si>
  <si>
    <t xml:space="preserve">220 KV BANSAGAR 1(TONS) REWA CIRCUIT </t>
  </si>
  <si>
    <t>220 KV BANSAGAR 1(TONS) KOTAR CIRCUIT 1</t>
  </si>
  <si>
    <t>220 KV BANSAGAR 1(TONS) KOTAR CIRCUIT 2</t>
  </si>
  <si>
    <t xml:space="preserve">220 KV KOTAR SATNA CIRCUIT </t>
  </si>
  <si>
    <t xml:space="preserve">220 KV KOTAR SATNA PGCIL CIRCUIT </t>
  </si>
  <si>
    <t>220 KV KOTAR BANSAGAR 1(TONS) CIRCUIT 1</t>
  </si>
  <si>
    <t>220 KV KOTAR BANSAGAR 1(TONS) CIRCUIT 2</t>
  </si>
  <si>
    <t>220 KV BUS COUPLER AT KOTAR</t>
  </si>
  <si>
    <t>220 KV / 132 KV 160 MVA TRANSFORMER 1 BHEL AT KOTAR</t>
  </si>
  <si>
    <t xml:space="preserve">132 KV KOTAR PRISM CEMENT CIRCUIT </t>
  </si>
  <si>
    <t xml:space="preserve">132 KV KOTAR JP CEMENT CIRCUIT </t>
  </si>
  <si>
    <t xml:space="preserve">132 KV KOTAR RAMPUR BAGHELAN CIRCUIT </t>
  </si>
  <si>
    <t xml:space="preserve">132 KV KOTAR RTS CIRCUIT </t>
  </si>
  <si>
    <t xml:space="preserve">220 KV SATNA AJAYGARH CIRCUIT </t>
  </si>
  <si>
    <t xml:space="preserve">220 KV SATNA KOTAR CIRCUIT </t>
  </si>
  <si>
    <t>220 KV SATNA SATNA PGCIL CIRCUIT 1</t>
  </si>
  <si>
    <t>220 KV SATNA SATNA PGCIL CIRCUIT 2</t>
  </si>
  <si>
    <t>220 KV SATNA SATNA PGCIL CIRCUIT 3</t>
  </si>
  <si>
    <t xml:space="preserve">220 KV SATNA REWA CIRCUIT </t>
  </si>
  <si>
    <t xml:space="preserve">220 KV SATNA MANPUR CIRCUIT </t>
  </si>
  <si>
    <t xml:space="preserve">220 KV BUS COUPLER AT SATNA </t>
  </si>
  <si>
    <t>220 KV /132 KV 160 MVA TRANSFORMER 1 AT 220 KV KV SATNA</t>
  </si>
  <si>
    <t>220 KV /132 KV 160 MVA TRANSFORMER 2 AT 220 KV KV SATNA</t>
  </si>
  <si>
    <t>220 KV /132 KV 160 MVA TRANSFORMER 3 AT 220 KV KV SATNA</t>
  </si>
  <si>
    <t xml:space="preserve">220 KV SATNA KATNI CIRCUIT </t>
  </si>
  <si>
    <t xml:space="preserve">132 KV SATNA UNCHERA CIRCUIT </t>
  </si>
  <si>
    <t>132 KV SATNA SATNA 132 KV (PATERI) INTERCONNECTOR CIRCUIT 1</t>
  </si>
  <si>
    <t>09:00</t>
  </si>
  <si>
    <t>ZONE</t>
  </si>
  <si>
    <t>JABALPUR</t>
  </si>
  <si>
    <t>BHOPAL</t>
  </si>
  <si>
    <t>INDORE</t>
  </si>
  <si>
    <t>ANNUPPUR_220KV</t>
  </si>
  <si>
    <t>AMARKANTAK_220KV</t>
  </si>
  <si>
    <t>SHAHDOL_220KV</t>
  </si>
  <si>
    <t>BIRSINGHPUR_220KV</t>
  </si>
  <si>
    <t>MANPUR_220KV</t>
  </si>
  <si>
    <t>JABALPUR_220KV</t>
  </si>
  <si>
    <t>GORABAZAR_220KV</t>
  </si>
  <si>
    <t>SUKHA_220KV</t>
  </si>
  <si>
    <t>PANAGAR_220KV</t>
  </si>
  <si>
    <t>SIDHI_220KV</t>
  </si>
  <si>
    <t>REWA_220KV</t>
  </si>
  <si>
    <t>SIRMOUR_220KV</t>
  </si>
  <si>
    <t>BANSAGAR 1(TONS)_220KV</t>
  </si>
  <si>
    <t>SATNA_220KV</t>
  </si>
  <si>
    <t>MAIHAR_220KV</t>
  </si>
  <si>
    <t>KATNI_400KV</t>
  </si>
  <si>
    <t>TIKAMGARH_220KV</t>
  </si>
  <si>
    <t>DAMOH_220KV</t>
  </si>
  <si>
    <t>NARSINGHPUR_220KV</t>
  </si>
  <si>
    <t>CHICHLI_220KV</t>
  </si>
  <si>
    <t>UDAIPURA_220KV</t>
  </si>
  <si>
    <t xml:space="preserve">220 KV MAIHAR SATNA PGCIL CIRCUIT </t>
  </si>
  <si>
    <t>400 KV KATNI SGTPS CIRCUIT 1</t>
  </si>
  <si>
    <t xml:space="preserve">220 KV CHHATARPUR AJAYGARH 1(SATNA MP OLD) CIRCUIT </t>
  </si>
  <si>
    <t xml:space="preserve">220 KV TIKAMGARH CHHATARPUR CIRCUIT </t>
  </si>
  <si>
    <t>220 KV DAMOH(MPPTCL) DAMOH(PGCIL) CIRCUIT 1</t>
  </si>
  <si>
    <t>220 KV NARSINGHPUR SUKHA CIRCUIT 1</t>
  </si>
  <si>
    <t xml:space="preserve">220 KV CHICHLI NARSINGHPUR CIRCUIT </t>
  </si>
  <si>
    <t>220 KV UDAIPURA CHICHLI CIRCUIT 1</t>
  </si>
  <si>
    <t xml:space="preserve">220 KV MAIHAR KATNI CIRCUIT </t>
  </si>
  <si>
    <t>400 KV KATNI SGTPS CIRCUIT 2</t>
  </si>
  <si>
    <t xml:space="preserve">220 KV CHHATARPUR AJAYGARH 2(SATNA PG OLD) CIRCUIT </t>
  </si>
  <si>
    <t xml:space="preserve">220 KV TIKAMGARH DAMOH(MPPTCL) CIRCUIT </t>
  </si>
  <si>
    <t>220 KV DAMOH(MPPTCL) DAMOH(PGCIL) CIRCUIT 2</t>
  </si>
  <si>
    <t>220 KV NARSINGHPUR SUKHA CIRCUIT 2</t>
  </si>
  <si>
    <t>220 KV /132 KV 160 MVA TRANSFORMER 1 AT MAIHAR</t>
  </si>
  <si>
    <t xml:space="preserve">400 KV KATNI DAMOH CIRCUIT </t>
  </si>
  <si>
    <t xml:space="preserve">220 KV CHHATARPUR TIKAMGARH CIRCUIT </t>
  </si>
  <si>
    <t xml:space="preserve">220 KV TIKAMGARH DAMOH(PGCIL) CIRCUIT </t>
  </si>
  <si>
    <t>220 KV DAMOH(MPPTCL) DAMOH(PGCIL) CIRCUIT 3</t>
  </si>
  <si>
    <t>220 KV NARSINGHPUR JABALPUR CIRCUIT 1</t>
  </si>
  <si>
    <t>220 KV CHICHLI UDAIPURA  CIRCUIT 1</t>
  </si>
  <si>
    <t>220 KV BUS COUPLER AT UDAIPURA</t>
  </si>
  <si>
    <t>220 KV /132 KV 160 MVA TRANSFORMER 2 AT MAIHAR</t>
  </si>
  <si>
    <t>400 KV 125 MVAR BUS REACTOR</t>
  </si>
  <si>
    <t xml:space="preserve">220 KV /132 KV 160 MVA TRANSFORMER 1 AREVA </t>
  </si>
  <si>
    <t xml:space="preserve">220 KV BUS COUPLER AT 220 KV TIKAMGARH </t>
  </si>
  <si>
    <t xml:space="preserve">220 KV DAMOH(MPPTCL) TIKAMGARH CIRCUIT </t>
  </si>
  <si>
    <t>220 KV NARSINGHPUR JABALPUR CIRCUIT 2</t>
  </si>
  <si>
    <t>220 KV CHICHLI UDAIPURA  CIRCUIT 2</t>
  </si>
  <si>
    <t>220 KV/132 KV TRANSFORMER 160 MVA TRF</t>
  </si>
  <si>
    <t xml:space="preserve">132 KV MAIHAR MAIHAR CEMENT CIRCUIT </t>
  </si>
  <si>
    <t>400 KV BUS TIE AT 400 KV KATNI</t>
  </si>
  <si>
    <t xml:space="preserve">220 KV /132 KV 160 MVA TRANSFORMER 2 IMF </t>
  </si>
  <si>
    <t>220 KV DAMOH(MPPTCL) KATNI(400KV) 220KV SIDE</t>
  </si>
  <si>
    <t xml:space="preserve">220 KV NARSINGHPUR CHICHLI CIRCUIT </t>
  </si>
  <si>
    <t xml:space="preserve">220 KV BUS COUPLER AT 220KV CHICHLI </t>
  </si>
  <si>
    <t>132 KV UDAIPURA BARELI CIRCUIT 1</t>
  </si>
  <si>
    <t xml:space="preserve">132 KV MAIHAR SATNA II(SONOURA) CIRCUIT </t>
  </si>
  <si>
    <t>400 KV/220KV 315 MVA TELK TRANSFORMER 2</t>
  </si>
  <si>
    <t xml:space="preserve">132 KV CHHATARPUR KHAJURAHO TAP LAVKUSHNAGAR (LOUDI) CIRCUIT </t>
  </si>
  <si>
    <t>220 KV DAMOH(MPPTCL) RTS CIRCUIT 1</t>
  </si>
  <si>
    <t xml:space="preserve">220 KV NARSINGHPUR PIPARIYA CIRCUIT </t>
  </si>
  <si>
    <t>220 KV /132 KV TRANSFORMER 1</t>
  </si>
  <si>
    <t>132 KV UDAIPURA BARELI CIRCUIT 2</t>
  </si>
  <si>
    <t>132 KV MAIHAR KYMORE CIRCUIT 1</t>
  </si>
  <si>
    <t>400 KV/220KV 315 MVA TELK TRANSFORMER 1</t>
  </si>
  <si>
    <t xml:space="preserve">132 KV CHHATARPUR KHAJURAHO 2 CIRCUIT </t>
  </si>
  <si>
    <t>220 KV /132 KV 160 MVA TRANSFORMER 3</t>
  </si>
  <si>
    <t>220 KV DAMOH(MPPTCL) RTS CIRCUIT 2</t>
  </si>
  <si>
    <t xml:space="preserve">220 KV BUS COUPLER AT 220 KV NARSINGHPUR </t>
  </si>
  <si>
    <t>220 KV /132 KV TRANSFORMER 2</t>
  </si>
  <si>
    <t>132 KV UDAIPURA SILWANI CIRCUIT 1</t>
  </si>
  <si>
    <t>132 KV MAIHAR KYMORE CIRCUIT 2</t>
  </si>
  <si>
    <t xml:space="preserve">220 KV KATNI DAMOH CIRCUIT </t>
  </si>
  <si>
    <t xml:space="preserve">132 KV CHHATARPUR BIJAWAR CIRCUIT </t>
  </si>
  <si>
    <t xml:space="preserve">132 KV TIKAMGARH PRITHVIPUR CIRCUIT </t>
  </si>
  <si>
    <t>220 KV BUS COUPLER AT DAMOH(MPPTCL)</t>
  </si>
  <si>
    <t>220 KV /132 KV TRANSFORMER  160 MVA BHEL OLD</t>
  </si>
  <si>
    <t xml:space="preserve">132 KV CHICHLI GADARWARA CIRCUIT </t>
  </si>
  <si>
    <t xml:space="preserve">132 KV UDAIPURA TENDUKHEDA(RADIAL) CIRCUIT </t>
  </si>
  <si>
    <t>132 KV MAIHAR AMARPATAN CIRCUIT 1</t>
  </si>
  <si>
    <t xml:space="preserve">220 KV KATNI MAIHER CIRCUIT </t>
  </si>
  <si>
    <t xml:space="preserve">132 KV CHHATARPUR NOWGAON(RADIAL) CIRCUIT </t>
  </si>
  <si>
    <t xml:space="preserve">132 KV TIKAMGARH DIGODA(RADIAL) CIRCUIT </t>
  </si>
  <si>
    <t>220 KV /132 KV TRANSFORMER  160 MVA BHEL NEW</t>
  </si>
  <si>
    <t xml:space="preserve">132 KV CHICHLI BARMAN CIRCUIT </t>
  </si>
  <si>
    <t xml:space="preserve">132 KV /33 KV 40MVA  TRANSFORMER IMP </t>
  </si>
  <si>
    <t>132 KV MAIHAR AMARPATAN CIRCUIT 2</t>
  </si>
  <si>
    <t xml:space="preserve">220 KV KATNI SATNA CIRCUIT </t>
  </si>
  <si>
    <t>132 KV /33 KV 63 MVA TRANSFORMER TRF</t>
  </si>
  <si>
    <t xml:space="preserve">132 KV TIKAMGARH BADAMALHARA CIRCUIT </t>
  </si>
  <si>
    <t>220 KV /132 KV 160 MVA TRANSFORMER 2 AREVA</t>
  </si>
  <si>
    <t>220 KV /132 KV TRANSFORMER  160 MVA CGL</t>
  </si>
  <si>
    <t xml:space="preserve">132 KV CHICHLI KARAPGAON CIRCUIT </t>
  </si>
  <si>
    <t xml:space="preserve">132 KV /33 KV 50 MVA TRANSFORMER </t>
  </si>
  <si>
    <t xml:space="preserve">132 KV MAIHAR KJS CEMENT CIRCUIT </t>
  </si>
  <si>
    <t>220 KV KATNI RTS CIRCUIT 1</t>
  </si>
  <si>
    <t>132 KV /33 KV 40 MVA TRANSFORMER TRF</t>
  </si>
  <si>
    <t>132 KV TIKAMGARH BUDHERA CIRCUIT 1</t>
  </si>
  <si>
    <t>220 KV /132 KV 160 MVA TRANSFORMER 3 P &amp; R</t>
  </si>
  <si>
    <t xml:space="preserve">132 KV NARSINGHPUR BARMAN CIRCUIT 1 </t>
  </si>
  <si>
    <t xml:space="preserve">132 KV CHICHLI PALOHA BADA CIRCUIT </t>
  </si>
  <si>
    <t xml:space="preserve">132 KV MAIHAR RELIANCE CMENT CIRCUIT </t>
  </si>
  <si>
    <t>132 KV TIKAMGARH BUDHERA CIRCUIT 2</t>
  </si>
  <si>
    <t>132 KV DAMOH(220KV) DAMOH(132KV) INTERCONNECTOR 1</t>
  </si>
  <si>
    <t>132 KV NARSINGHPUR BARMAN CIRCUIT 2</t>
  </si>
  <si>
    <t>132 KV /33 KV 40 MVA Transformer 1</t>
  </si>
  <si>
    <t>132 KV MAIHAR RTS CIRCUIT 1</t>
  </si>
  <si>
    <t>220 KV BUS COUPLER AT 220 KV SIDE KATNI</t>
  </si>
  <si>
    <t>132 KV TIKAMGARH(220KV) TIKAMGARH(132KV) INTERCONNECTOR 1</t>
  </si>
  <si>
    <t>132 KV DAMOH(220KV) DAMOH(132KV) INTERCONNECTOR 2</t>
  </si>
  <si>
    <t xml:space="preserve">132 KV NARSINGHPUR(220KV) NARSINGHPUR(132KV) INTERCONNECTOR  CIRCUIT 1 </t>
  </si>
  <si>
    <t>132 KV /33 KV 40 MVA Transformer 2</t>
  </si>
  <si>
    <t>KOTAR _220KV</t>
  </si>
  <si>
    <t>132 KV MAIHAR RTS CIRCUIT 2</t>
  </si>
  <si>
    <t>220 KV /132 KV 160 MVA TRANSFORMER 1 TELK</t>
  </si>
  <si>
    <t>132 KV TIKAMGARH(220KV) TIKAMGARH(132KV) INTERCONNECTOR 2</t>
  </si>
  <si>
    <t>132 KV DAMOH PATERA CIRCUIT 1</t>
  </si>
  <si>
    <t xml:space="preserve">132 KV NARSINGHPUR(220KV) NARSINGHPUR(132KV) INTERCONNECTOR  CIRCUIT 2 </t>
  </si>
  <si>
    <t>132 KV /33 KV 40MVA TRANSFORMER 1</t>
  </si>
  <si>
    <t>220 KV /132 KV 160 MVA TRANSFORMER 2 CGL</t>
  </si>
  <si>
    <t xml:space="preserve">132 KV TIKAMGARH JATARA CIRCUIT </t>
  </si>
  <si>
    <t>132 KV DAMOH BATIAGARH CIRCUIT 1</t>
  </si>
  <si>
    <t>132 KV NARSINGHPUR KARAKBEL CIRCUIT 1</t>
  </si>
  <si>
    <t>132 KV/33 KV 50 MVA TRANSFORMER 2</t>
  </si>
  <si>
    <t>132 KV /33 KV 50 MVA TRANSFORMER 1</t>
  </si>
  <si>
    <t>132 KV DAMOH GARHAKOTA CIRCUIT 1</t>
  </si>
  <si>
    <t>132 KV NARSINGHPUR KARAKBEL CIRCUIT 2</t>
  </si>
  <si>
    <t>132 KV KATNI KYMORE CIRCUIT 1</t>
  </si>
  <si>
    <t>132 KV /33 KV 40 MVA TRANSFORMER 2</t>
  </si>
  <si>
    <t>132 KV DAMOH TEJGARH CIRCUIT 1</t>
  </si>
  <si>
    <t>132 KV NARSINGHPUR TRACTION CIRCUIT 1</t>
  </si>
  <si>
    <t>CHHATARPUR _220KV</t>
  </si>
  <si>
    <t>132 KV KATNI KYMORE CIRCUIT 2</t>
  </si>
  <si>
    <t xml:space="preserve">132 KV DAMOH NARSINGHGARH CIRCUIT </t>
  </si>
  <si>
    <t xml:space="preserve">132 KV NARSINGHPUR DEVNAGAR CIRCUIT </t>
  </si>
  <si>
    <t>132 KV KATNI(400KV) KATNI(132 KV ) INTERCONNECTOR 1</t>
  </si>
  <si>
    <t xml:space="preserve">132 KV DAMOH IMLAI CIRCUIT </t>
  </si>
  <si>
    <t xml:space="preserve">132 KV BUS COUPLER AT NARSINGHPUR </t>
  </si>
  <si>
    <t>132 KV KATNI(400KV) KATNI(132 KV ) INTERCONNECTOR 2</t>
  </si>
  <si>
    <t>132 KV /33 KV TRANSFORMER 40 MVA ABB</t>
  </si>
  <si>
    <t>132 KV /33 KV TRANSFORMER 63 MVA TRANSFORMER 1</t>
  </si>
  <si>
    <t xml:space="preserve">132 KV KATNI SALEEMNABAD CIRCUIT </t>
  </si>
  <si>
    <t>132 KV /33 KV TRANSFORMER 40 MVA CGL 1</t>
  </si>
  <si>
    <t>132 KV /33 KV TRANSFORMER 63 MVA TRANSFORMER 2</t>
  </si>
  <si>
    <t xml:space="preserve">132 KV KATNI RTS(PATWARA) CIRCUIT </t>
  </si>
  <si>
    <t>132 KV /33 KV TRANSFORMER 40 MVA CGL 2</t>
  </si>
  <si>
    <t>132 KV /33 KV 40 MVA TRANSFORMER 1</t>
  </si>
  <si>
    <t>132 KV /33 KV TRANSFORMER 20 MVA BHEL</t>
  </si>
  <si>
    <t>132 KV BUS COUPLER AT KATNI</t>
  </si>
  <si>
    <t>SEONI_220KV</t>
  </si>
  <si>
    <t>PANDURNA_220KV</t>
  </si>
  <si>
    <t>220 KV SEONI(MPPTCL) SEONI(PGCIL) CIRCUIT 1</t>
  </si>
  <si>
    <t xml:space="preserve">220 KV PANDURNA KALMESHWAR(INTERSTATE) CIRCUIT </t>
  </si>
  <si>
    <t>220 KV SEONI(MPPTCL) SEONI(PGCIL) CIRCUIT 2</t>
  </si>
  <si>
    <t xml:space="preserve">220 KV PANDURNA CHHINDWARA CIRCUIT </t>
  </si>
  <si>
    <t>220 KV BUS COUPLER AT SEONI</t>
  </si>
  <si>
    <t xml:space="preserve">220 KV PANDURNA BETUL(PGCIL) CIRCUIT </t>
  </si>
  <si>
    <t xml:space="preserve">220 KV /132 KV  160 MVA TRANSFORMER 1 </t>
  </si>
  <si>
    <t xml:space="preserve">220 KV /132 KV  160 MVA TRANSFORMER 2 </t>
  </si>
  <si>
    <t xml:space="preserve">220 KV /132 KV 200 MVA TRANSFORMER </t>
  </si>
  <si>
    <t xml:space="preserve">132 KV PANDURNA MULTAI CIRCUIT </t>
  </si>
  <si>
    <t xml:space="preserve">132 KV SEONI CHOURAI CIRCUIT </t>
  </si>
  <si>
    <t xml:space="preserve">132 KV PANDURNA BOREGAON CIRCUIT </t>
  </si>
  <si>
    <t xml:space="preserve">132 KV SEONI AMARWARA CIRCUIT </t>
  </si>
  <si>
    <t>132 KV CHHINDWARA RTS CIRCUIT 1</t>
  </si>
  <si>
    <t>132 KV SEONI(220KV) SEONI(132KV) INTERCONNECTOR CIRCUIT 1</t>
  </si>
  <si>
    <t>132 KV CHHINDWARA RTS CIRCUIT 2</t>
  </si>
  <si>
    <t>132 KV SEONI(220KV) SEONI(132KV) INTERCONNECTOR CIRCUIT 2</t>
  </si>
  <si>
    <t xml:space="preserve">132 KV /33 KV 63 MVA TRANSFORMER </t>
  </si>
  <si>
    <t>132 KV SEONI(220KV) SEONI(132KV) INTERCONNECTOR CIRCUIT 3</t>
  </si>
  <si>
    <t xml:space="preserve">132 KV /33 KV 40 MVA TRANSFORMER </t>
  </si>
  <si>
    <t xml:space="preserve">132 KV SEONI LAKHNADOUN CIRCUIT </t>
  </si>
  <si>
    <t xml:space="preserve">132 KV SEONI KEOLARI(TBCB) ADANI CIRCUIT </t>
  </si>
  <si>
    <t xml:space="preserve">132 KV SEONI NAINPUR CIRCUIT </t>
  </si>
  <si>
    <t xml:space="preserve">132 KV SEONI RTS BHOMA CIRCUIT </t>
  </si>
  <si>
    <t>132 KV /33 KV 50 MVA TRANSFORMER 2</t>
  </si>
  <si>
    <t>CHHINDWARA_22OKV</t>
  </si>
  <si>
    <t>BINA_400KV</t>
  </si>
  <si>
    <t>BINA_220KV</t>
  </si>
  <si>
    <t>SAGAR_400KV</t>
  </si>
  <si>
    <t>KOTMA_132KV</t>
  </si>
  <si>
    <t>DONGRITAL_132KV</t>
  </si>
  <si>
    <t>RAJMILAN_132KV</t>
  </si>
  <si>
    <t>WAIDHAN_132KV</t>
  </si>
  <si>
    <t>MORWA_132KV</t>
  </si>
  <si>
    <t>DINDORI_132KV</t>
  </si>
  <si>
    <t>GORAKHPUR_132KV</t>
  </si>
  <si>
    <t>MANDLA_132KV</t>
  </si>
  <si>
    <t>BICHYA_132KV</t>
  </si>
  <si>
    <t>UMARIYA_132KV</t>
  </si>
  <si>
    <t>MANERI_132KV</t>
  </si>
  <si>
    <t>220 KV CHHINDWARA SEONI(PGCIL) CIRCUIT 1</t>
  </si>
  <si>
    <t>400 KV BINA(MPPTCL) BINA(PGCIL) CIRCUIT 1</t>
  </si>
  <si>
    <t>220 KV BINA(MPPTCL 220 KV ) BINA(MPPTCL 400 KV) INCOMMER CIRCUIT 1</t>
  </si>
  <si>
    <t>400 KV SAGAR(MPPTCL) BINA(PGCIL) CIRCUIT</t>
  </si>
  <si>
    <t>132 KV KOTMA ANNUPPUR (220KV) CIRCUIT 1</t>
  </si>
  <si>
    <t xml:space="preserve">132 KV DONGRITAL ANNUPPUR (220KV) CIRCUIT </t>
  </si>
  <si>
    <t xml:space="preserve">132 KV RAJMILAN ANNUPPUR (220KV) CIRCUIT </t>
  </si>
  <si>
    <t xml:space="preserve">132 KV WAIDHAN VSTPS 2 CIRCUIT </t>
  </si>
  <si>
    <t xml:space="preserve">132 KV MORWA VSTPS 1 CIRCUIT VIA WAIDHAN 132 KV </t>
  </si>
  <si>
    <t>132 KV DINDORI SHAHDOL CIRCUIT 1</t>
  </si>
  <si>
    <t xml:space="preserve">132 KV GORAKHPUR DINDORI CIRCUIT </t>
  </si>
  <si>
    <t xml:space="preserve">132 KV MANDLA DINDORI CIRCUIT </t>
  </si>
  <si>
    <t xml:space="preserve">132 KV BICHYA MANDLA CIRCUIT </t>
  </si>
  <si>
    <t>132 KV UMARIYA BIRSINGHPUR(220KV) CIRCUIT 1</t>
  </si>
  <si>
    <t xml:space="preserve">132 KV MANERI MANDLA CIRCUIT </t>
  </si>
  <si>
    <t>220 KV ANNUPPUR KOTMIKALA CIRCUIT 2</t>
  </si>
  <si>
    <t>220 KV CHHINDWARA SEONI(PGCIL) CIRCUIT 2</t>
  </si>
  <si>
    <t>400 KV BINA(MPPTCL) BINA(PGCIL) CIRCUIT 2</t>
  </si>
  <si>
    <t>220 KV BINA(MPPTCL 220 KV ) BINA(MPPTCL 400 KV) INCOMMER CIRCUIT 2</t>
  </si>
  <si>
    <t>400 KV SAGAR(MPPTCL) SATNA(PGCIL) CIRCUIT</t>
  </si>
  <si>
    <t>132 KV KOTMA ANNUPPUR (220KV) CIRCUIT 2</t>
  </si>
  <si>
    <t xml:space="preserve">132 KV DONGRITAL RAJMILAN CIRCUIT </t>
  </si>
  <si>
    <t xml:space="preserve">132 KV RAJMILAN DONGRITAL CIRCUIT </t>
  </si>
  <si>
    <t xml:space="preserve">132 KV WAIDHAN VSTPS 1 (GOES TO MORWA VIA TRANSFER BUS)CIRCUIT </t>
  </si>
  <si>
    <t>132 KV MORWA ANPARA UP</t>
  </si>
  <si>
    <t>132 KV DINDORI SHAHDOL CIRCUIT 2</t>
  </si>
  <si>
    <t xml:space="preserve">132 KV/33 KV 50 MVA TRANSFORMER </t>
  </si>
  <si>
    <t xml:space="preserve">132 KV MANDLA BICHYA(RADIAL) CIRCUIT </t>
  </si>
  <si>
    <t xml:space="preserve">132 KV/33 KV 40 MVA TRANSFORMER </t>
  </si>
  <si>
    <t>132 KV UMARIYA BIRSINGHPUR(220KV) CIRCUIT 2</t>
  </si>
  <si>
    <t>132 KV MANERI GORABAZAAR CIRCUIT</t>
  </si>
  <si>
    <t xml:space="preserve">220 KV CHHINDWARA BETUL CIRCUIT </t>
  </si>
  <si>
    <t>400 KV BINA(MPPTCL) BINA(PGCIL) CIRCUIT 3</t>
  </si>
  <si>
    <t>220 KV BINA(MPPTCL 220 KV ) BINA(MPPTCL 400 KV) INCOMMER CIRCUIT 3</t>
  </si>
  <si>
    <t>400 KV BUS COUPLER AT SAGAR</t>
  </si>
  <si>
    <t xml:space="preserve">132 KV KOTMA AARYA ENERGY CIRCUIT </t>
  </si>
  <si>
    <t xml:space="preserve">132 KV DONGRITAL RTS CIRCUIT </t>
  </si>
  <si>
    <t xml:space="preserve">132 KV RAJMILAN MORWA CIRCUIT </t>
  </si>
  <si>
    <t xml:space="preserve">132 KV WAIDHAN RAJMILAN CIRCUIT </t>
  </si>
  <si>
    <t>132 KV MORWA BINA UP</t>
  </si>
  <si>
    <t xml:space="preserve">132 KV DINDORI GORAKHPUR (RADIAL) CIRCUIT </t>
  </si>
  <si>
    <t xml:space="preserve">132 KV MANDLA MANERI CIRCUIT </t>
  </si>
  <si>
    <t>132 KV/33 KV 40 MVA TRANSFORMER 1</t>
  </si>
  <si>
    <t xml:space="preserve">132 KV MANERI JABALPUR(220KV) TAP GORABAZAAR(220KV) CIRCUIT </t>
  </si>
  <si>
    <t xml:space="preserve">220 KV CHHINDWARA PANDURNA CIRCUIT </t>
  </si>
  <si>
    <t>400 KV BINA(MPPTCL) BINA(PGCIL) CIRCUIT 4</t>
  </si>
  <si>
    <t xml:space="preserve">220 KV BINA VIDISHA CIRCUIT </t>
  </si>
  <si>
    <t>400KV/220 KV 315 MVA TRANSFORMER 1</t>
  </si>
  <si>
    <t xml:space="preserve">132 KV RAJMILAN WAIDHAN CIRCUIT </t>
  </si>
  <si>
    <t xml:space="preserve">132 KV WAIDHAN NCL 1 CIRCUIT </t>
  </si>
  <si>
    <t xml:space="preserve">132 KV MORWA RAJMILAN CIRCUIT </t>
  </si>
  <si>
    <t xml:space="preserve">132 KV DINDORI MANDLA CIRCUIT </t>
  </si>
  <si>
    <t xml:space="preserve">132 KV MANDLA BAIHAR CIRCUIT </t>
  </si>
  <si>
    <t>132 KV/33 KV 40 MVA TRANSFORMER 2</t>
  </si>
  <si>
    <t>132 KV /33 KV TRANSFORMER 1</t>
  </si>
  <si>
    <t xml:space="preserve">220 KV BUS COUPLER AT CHHINDWARA </t>
  </si>
  <si>
    <t>400 KV BINA(MPPTCL) GUNA(PGCIL TBCB) CIRCUIT 1</t>
  </si>
  <si>
    <t>220 KV /132 KV 200 MVA TRANSFORMER 1</t>
  </si>
  <si>
    <t>400KV/220 KV 315 MVA TRANSFORMER 2</t>
  </si>
  <si>
    <t>132 KV /33 KV TRANSFORMER 2</t>
  </si>
  <si>
    <t xml:space="preserve">132 KV /33 KV TRANSFORMER AT RAJMILAN </t>
  </si>
  <si>
    <t xml:space="preserve">132 KV WAIDHAN NCL 2 CIRCUIT </t>
  </si>
  <si>
    <t>132 KV MORWA RTS CIRCUIT 1</t>
  </si>
  <si>
    <t>132 KV  /33 KV TRANSFORMER 2</t>
  </si>
  <si>
    <t>400 KV BINA(MPPTCL) GUNA(PGCIL TBCB) CIRCUIT 2</t>
  </si>
  <si>
    <t>220 KV SAGAR BINA(MPPTCL) CIRCUIT 1</t>
  </si>
  <si>
    <t xml:space="preserve">132 KV /33 KV 20 MVA TRANSFORMER </t>
  </si>
  <si>
    <t xml:space="preserve">132 KV /33 KV 20 MVA CGL TRANSFORMER </t>
  </si>
  <si>
    <t>132 KV MORWA RTS CIRCUIT 2</t>
  </si>
  <si>
    <t>132 KV /33KV 40 MVA TRANSFORMER 2</t>
  </si>
  <si>
    <t>132 KV /33 KV TRANSFORMER 3</t>
  </si>
  <si>
    <t xml:space="preserve">400 KV BINA(MPPTCL) JP BINA (GENERATION) CIRCUIT </t>
  </si>
  <si>
    <t>220 KV SAGAR BINA(MPPTCL) CIRCUIT 2</t>
  </si>
  <si>
    <t xml:space="preserve">132 KV /33 KV 20 MVA GEC TRANSFORMER </t>
  </si>
  <si>
    <t>132 KV/33 KV 10 MVA TRANSFORMER</t>
  </si>
  <si>
    <t>132 KV CHHINDWARA (220KV) CHHINDWARA (132 KV ) INTERCONNECTOT 1</t>
  </si>
  <si>
    <t>MAIN BAY 400 KV BINA(MPPTCL) BINA(PGCIL) CIRCUIT 1</t>
  </si>
  <si>
    <t xml:space="preserve">132 KV BINA CHANDERI CIRCUIT </t>
  </si>
  <si>
    <t>220 KV SAGAR DAMOH(PGCIL) CIRCUIT 1</t>
  </si>
  <si>
    <t xml:space="preserve">132 KV /33 KV 40 MVA BBL TRANSFORMER </t>
  </si>
  <si>
    <t>132 KV CHHINDWARA (220KV) CHHINDWARA (132 KV ) INTERCONNECTOT 2</t>
  </si>
  <si>
    <t>TIE BAY 400 KV BINA(MPPTCL) BINA(PGCIL) CIRCUIT 1</t>
  </si>
  <si>
    <t>132 KV BINA RTS CIRCUIT 1</t>
  </si>
  <si>
    <t>220 KV SAGAR DAMOH(PGCIL) CIRCUIT 2</t>
  </si>
  <si>
    <t>132 KV CHHINDWARA (220KV) CHHINDWARA (132 KV ) INTERCONNECTOT 3</t>
  </si>
  <si>
    <t>MAIN BAY 400 KV BINA(MPPTCL) BINA(PGCIL) CIRCUIT 2</t>
  </si>
  <si>
    <t>132 KV BINA RTS CIRCUIT 2</t>
  </si>
  <si>
    <t>220 KV SAGAT RTS CIRCUIT 1</t>
  </si>
  <si>
    <t xml:space="preserve">132 KV CHHINDWARA BOREGAON CIRCUIT </t>
  </si>
  <si>
    <t>TIE BAY 400 KV BINA(MPPTCL) BINA(PGCIL) CIRCUIT 2</t>
  </si>
  <si>
    <t>132 KV BINA RAJGHAT CIRCUIT 1</t>
  </si>
  <si>
    <t>220 KV SAGAT RTS CIRCUIT 2</t>
  </si>
  <si>
    <t xml:space="preserve">132 KV CHHINDWARA CHOURAI CIRCUIT </t>
  </si>
  <si>
    <t>MAIN BAY 400 KV BINA(MPPTCL) BINA(PGCIL) CIRCUIT 3</t>
  </si>
  <si>
    <t xml:space="preserve">132 KV BINA KHURAI CIRCUIT </t>
  </si>
  <si>
    <t>220 KV SAGAR BEGAMGANJ(TBCB ADANI) CIRCUIT 1</t>
  </si>
  <si>
    <t xml:space="preserve">132 KV CHHINDWARA AMARWARA CIRCUIT </t>
  </si>
  <si>
    <t>TIE BAY 400 KV BINA(MPPTCL) BINA(PGCIL) CIRCUIT 3</t>
  </si>
  <si>
    <t xml:space="preserve">132 KV BINA ASHOK NAGAR CIRCUIT </t>
  </si>
  <si>
    <t>220 KV SAGAR BEGAMGANJ(TBCB ADANI) CIRCUIT 2</t>
  </si>
  <si>
    <t xml:space="preserve">132 KV CHHINDWARA SALIWAHAN CIRCUIT </t>
  </si>
  <si>
    <t>MAIN BAY 400 KV BINA(MPPTCL) BINA(PGCIL) CIRCUIT 4</t>
  </si>
  <si>
    <t xml:space="preserve">132 KV BINA SIRONJ CIRCUIT </t>
  </si>
  <si>
    <t>220 KV BUS COUPLER AT 400 KV SAGAR(220 KV KV SIDE)</t>
  </si>
  <si>
    <t xml:space="preserve">132 KV CHHINDWARA SABRI CIRCUIT </t>
  </si>
  <si>
    <t>TIE BAY 400 KV BINA(MPPTCL) BINA(PGCIL) CIRCUIT 4</t>
  </si>
  <si>
    <t>132 KV BINA BORL CIRCUIT 1</t>
  </si>
  <si>
    <t xml:space="preserve">132 KV CHHINDWARA BICHUUA CIRCUIT </t>
  </si>
  <si>
    <t>MAIN BAY 400 KV BINA(MPPTCL) GUNA(PGCIL TBCB) CIRCUIT 1</t>
  </si>
  <si>
    <t>132 KV BINA BORL CIRCUIT 2</t>
  </si>
  <si>
    <t xml:space="preserve">132 KV CHHINDWARA RTTS CIRCUIT </t>
  </si>
  <si>
    <t>TIE BAY 400 KV BINA(MPPTCL) GUNA(PGCIL TBCB) CIRCUIT 1</t>
  </si>
  <si>
    <t xml:space="preserve">132 KV CHHINDWARA CHAND(ADANI TBCB) CIRCUIT </t>
  </si>
  <si>
    <t>MAIN BAY 400 KV BINA(MPPTCL) GUNA(PGCIL TBCB) CIRCUIT 2</t>
  </si>
  <si>
    <t>132 KV BINA MUGWALI CIRCUIT 1</t>
  </si>
  <si>
    <t>132 KV SAGAR(400KV) SAGAR(132KV) INTERCONNECTOR 1</t>
  </si>
  <si>
    <t>TIE BAY 400 KV BINA(MPPTCL) GUNA(PGCIL TBCB) CIRCUIT 2</t>
  </si>
  <si>
    <t>132 KV BINA MUGWALI CIRCUIT 2</t>
  </si>
  <si>
    <t>132 KV SAGAR(400KV) SAGAR(132KV) INTERCONNECTOR 2</t>
  </si>
  <si>
    <t>LINE REACTOR AT BINA(MPPTCL) GUNA(TBCB PGCIL) CIRCUIT 2</t>
  </si>
  <si>
    <t>132 KV SAGAR(400KV) SAGAR(132KV) INTERCONNECTOR 3</t>
  </si>
  <si>
    <t>132 KV SAGAR GAURJHAMAR CIRCUIT 1</t>
  </si>
  <si>
    <t xml:space="preserve">MAIN BAY OF 400 KV BINA JP BINA (GEN) CIRCUIT </t>
  </si>
  <si>
    <t>132 KV /33 KV 40 MVA TRANSFORMER 3</t>
  </si>
  <si>
    <t>132 KV SAGAR GAURJHAMAR CIRCUIT 2</t>
  </si>
  <si>
    <t xml:space="preserve">TIE BAY OF 400 KV BINA JP BINA (GEN) CIRCUIT </t>
  </si>
  <si>
    <t xml:space="preserve">132 KV SAGAR GARHAKOTA CIRCUIT </t>
  </si>
  <si>
    <t>MAIN BAY OF 400 KV BINA BHOPAL CIRCUIT 1</t>
  </si>
  <si>
    <t>132 KV SAGAR RAHATGARH CIRCUIT 1</t>
  </si>
  <si>
    <t>TIE BAY OF 400 KV BINA BHOPAL CIRCUIT 1</t>
  </si>
  <si>
    <t>132 KV SAGAR BANDA (RADIAL) CIRCUIT 1</t>
  </si>
  <si>
    <t>MAIN BAY OF 400 KV BINA BHOPAL CIRCUIT 2</t>
  </si>
  <si>
    <t xml:space="preserve">132 KV SAGAR REHLI CIRCUIT </t>
  </si>
  <si>
    <t>TIE BAY OF 400 KV BINA BHOPAL CIRCUIT 2</t>
  </si>
  <si>
    <t xml:space="preserve">400 KV/220 KV TRANSFORMER  1 315 MVA </t>
  </si>
  <si>
    <t xml:space="preserve">400 KV/220 KV TRANSFORMER  2 315 MVA </t>
  </si>
  <si>
    <t xml:space="preserve">400 KV/220 KV TRANSFORMER  3 315 MVA </t>
  </si>
  <si>
    <t>MAIN BAY OF 400 KV/220 KV TRANSFORMER 1</t>
  </si>
  <si>
    <t>TIE BAY OF 400 KV/220 KV TRANSFORMER 1</t>
  </si>
  <si>
    <t>MAIN BAY OF 400 KV/220 KV TRANSFORMER 2</t>
  </si>
  <si>
    <t>TIE BAY OF 400 KV/220 KV TRANSFORMER 2</t>
  </si>
  <si>
    <t>MAIN BAY OF 400 KV/220 KV TRANSFORMER 3</t>
  </si>
  <si>
    <t>TIE BAY OF 400 KV/220 KV TRANSFORMER 3</t>
  </si>
  <si>
    <t>400 KV BINA(MPPTCL) BHOPAL(MPPTCL) CIRCUIT 1</t>
  </si>
  <si>
    <t>400 KV BINA(MPPTCL) BHOPAL(MPPTCL) CIRCUIT 2</t>
  </si>
  <si>
    <t xml:space="preserve">220 KV BINA SHIVPURI CIRCUIT </t>
  </si>
  <si>
    <t xml:space="preserve">220 KV BINA PICHOR CIRCUIT </t>
  </si>
  <si>
    <t xml:space="preserve">220 KV BINA DATIA CIRCUIT </t>
  </si>
  <si>
    <t>220 KV BINA(MPPTCL) BINA(PGCIL) CIRCUIT</t>
  </si>
  <si>
    <t>220 KV BINA(MPPTCL) BINA(MPPTCL 220 KV ) CIRCUIT 1</t>
  </si>
  <si>
    <t>220 KV BINA(MPPTCL) BINA(MPPTCL 220 KV ) CIRCUIT 2</t>
  </si>
  <si>
    <t>220 KV BINA(MPPTCL) BINA(MPPTCL 220 KV ) CIRCUIT 3</t>
  </si>
  <si>
    <t xml:space="preserve">220 KV BINA ASHOKNAGAR CIRCUIT </t>
  </si>
  <si>
    <t xml:space="preserve">220 KV BINA BORL 1 CIRCUIT </t>
  </si>
  <si>
    <t>220 KV BINA SAGAR(MPPTCL 400 KV) CIRCUIT 1</t>
  </si>
  <si>
    <t>220 KV BINA SAGAR(MPPTCL 400 KV) CIRCUIT 2</t>
  </si>
  <si>
    <t xml:space="preserve">220 KV BINA GANJBASODA CIRCUIT </t>
  </si>
  <si>
    <t>SEONI_132KV</t>
  </si>
  <si>
    <t>132 KV SEONI(132 KV ) SEONI (220 KV ) INTERCONNECTOR 1</t>
  </si>
  <si>
    <t>132 KV SEONI(132 KV ) SEONI (220 KV ) INTERCONNECTOR 2</t>
  </si>
  <si>
    <t>132 KV SEONI(132 KV ) SEONI (220 KV ) INTERCONNECTOR 3</t>
  </si>
  <si>
    <t xml:space="preserve">132 KV SEONI GOPALGANJ(TBCB ADANI )CIRCUIT </t>
  </si>
  <si>
    <t xml:space="preserve">132 KV SEONI PENCH HPS CIRCUIT </t>
  </si>
  <si>
    <t xml:space="preserve">132 KV SEONI LALBARRA CIRCUIT </t>
  </si>
  <si>
    <t xml:space="preserve">132 KV SEONI KATANGI CIRCUIT </t>
  </si>
  <si>
    <t>132 KV /33 KV 63 MVA TRANSFORMER 1</t>
  </si>
  <si>
    <t>NAINPUR_132KV</t>
  </si>
  <si>
    <t xml:space="preserve">132 KV NAINPUR SEONI(220 KV ) CIRCUIT </t>
  </si>
  <si>
    <t xml:space="preserve">132 KV NAINPUR SEONI(132KV) CIRCUIT </t>
  </si>
  <si>
    <t xml:space="preserve">132 KV NAINPUR GHANSOUR(RADIAL) CIRCUIT </t>
  </si>
  <si>
    <t xml:space="preserve">132 KV NAINPUR BAIHAR CIRCUIT </t>
  </si>
  <si>
    <t xml:space="preserve">132 KV NAINPUR KEOLARI(TBCB ADANI) CIRCUIT </t>
  </si>
  <si>
    <t>GHANSAUR_132KV</t>
  </si>
  <si>
    <t xml:space="preserve">132 KV GHANSAUR NAINPUR CIRCUIT </t>
  </si>
  <si>
    <t>LAKHNADOUN_132KV</t>
  </si>
  <si>
    <t xml:space="preserve">132 KV LAKHNADOUN SEONI(220KV) CIRCUIT </t>
  </si>
  <si>
    <t xml:space="preserve">132 KV LAKHNADOUN BARGI HPS CIRCUIT </t>
  </si>
  <si>
    <t>LALBARRA_132KV</t>
  </si>
  <si>
    <t xml:space="preserve">132 KV LALBARRA SEONI(132KV) CIRCUIT </t>
  </si>
  <si>
    <t xml:space="preserve">132 KV LALBARRA BALAGHAT CIRCUIT </t>
  </si>
  <si>
    <t xml:space="preserve">132 KV LALBARRA RTS(SAMNAPUR) CIRCUIT </t>
  </si>
  <si>
    <t>9425805102</t>
  </si>
  <si>
    <t>ok, line to be in service</t>
  </si>
  <si>
    <t>8305612190</t>
  </si>
  <si>
    <t>220KV_SHUJALPUR</t>
  </si>
  <si>
    <t>TRIPPING  DETAILS</t>
  </si>
  <si>
    <t>SUBSTATION/ELEMENT</t>
  </si>
  <si>
    <t>INDICATIONS</t>
  </si>
  <si>
    <t>220KV_BHOPAL</t>
  </si>
  <si>
    <t>A K Jain</t>
  </si>
  <si>
    <t>9425806899</t>
  </si>
  <si>
    <t>RAVINDRA PATIL</t>
  </si>
  <si>
    <t>Ashutosh rai</t>
  </si>
  <si>
    <t>9425806902</t>
  </si>
  <si>
    <t>400KV_400KV KATNI - DAMOH LINE</t>
  </si>
  <si>
    <t>TOWER STRENGTHENING WORK</t>
  </si>
  <si>
    <t>M.M. BAIG</t>
  </si>
  <si>
    <t>deferred</t>
  </si>
  <si>
    <t>220KV_220KV KATNI - DAMOH LINE</t>
  </si>
  <si>
    <t>Mr. R.K.Prajapati</t>
  </si>
  <si>
    <t>9407070182</t>
  </si>
  <si>
    <t>G.L Sahu</t>
  </si>
  <si>
    <t>8319677721</t>
  </si>
  <si>
    <t>MR2512/0507</t>
  </si>
  <si>
    <t>400KV_Sarni Indirasagar</t>
  </si>
  <si>
    <t>400KV_SATPURA TPS</t>
  </si>
  <si>
    <t>OPGW STRINGING WORK</t>
  </si>
  <si>
    <t>26-12-2025 07:00:00</t>
  </si>
  <si>
    <t>10-01-2026 19:00:00</t>
  </si>
  <si>
    <t>MR2512/0233</t>
  </si>
  <si>
    <t>220KV_220 KV SHUJALPUR-BHOPAL-I CKT</t>
  </si>
  <si>
    <t>220 KV BHOPAL BAY SHIFTING FOR NEW ADD. 200 MVA</t>
  </si>
  <si>
    <t>13-12-2025 09:00:00</t>
  </si>
  <si>
    <t>12-01-2026 18:00:00</t>
  </si>
  <si>
    <t>Er VIJAY OJHA</t>
  </si>
  <si>
    <t>MADHYA PRADESH</t>
  </si>
  <si>
    <t>S/I SLDC JABALPUR</t>
  </si>
  <si>
    <t>APPROVED OUTAGE LIST FOR DATED 10.01.2026</t>
  </si>
  <si>
    <t>MR2601/0153</t>
  </si>
  <si>
    <t>132KV_40 MVA TELK Xmer</t>
  </si>
  <si>
    <t>132KV_AMARPATAN</t>
  </si>
  <si>
    <t>For testing purpose o 63 MVA TAL Xmer</t>
  </si>
  <si>
    <t>10-01-2026 12:00:00</t>
  </si>
  <si>
    <t>10-01-2026 15:00:00</t>
  </si>
  <si>
    <t>Arun Kumar</t>
  </si>
  <si>
    <t>9131207339</t>
  </si>
  <si>
    <t>o&amp;m consent required</t>
  </si>
  <si>
    <t>MR2601/0135</t>
  </si>
  <si>
    <t>220KV_220 kV Bus Transfer bay</t>
  </si>
  <si>
    <t>For shifting of panel &amp; erection of Isolator</t>
  </si>
  <si>
    <t>09-01-2026 09:00:00</t>
  </si>
  <si>
    <t>10-01-2026 17:00:00</t>
  </si>
  <si>
    <t>MR2601/0118</t>
  </si>
  <si>
    <t>220KV_220kV Bhopal Ganjbasoda ckt</t>
  </si>
  <si>
    <t>For old disc replacement work.</t>
  </si>
  <si>
    <t>08-01-2026 09:00:00</t>
  </si>
  <si>
    <t>10-01-2026 18:00:00</t>
  </si>
  <si>
    <t>Rajkumar Bhusare</t>
  </si>
  <si>
    <t>9425820042</t>
  </si>
  <si>
    <t>deferred due to s/d on 220kV Bhopal Vidisha Ckt</t>
  </si>
  <si>
    <t>MR2601/0154</t>
  </si>
  <si>
    <t>220KV_220kV Bhopal Vidisha Ckt</t>
  </si>
  <si>
    <t>For modification/shifting work.</t>
  </si>
  <si>
    <t>10-01-2026 09:00:00</t>
  </si>
  <si>
    <t>11-01-2026 18:00:00</t>
  </si>
  <si>
    <t>Rajkumar bhusare</t>
  </si>
  <si>
    <t>ok, after normalisation of NHPTL testing</t>
  </si>
  <si>
    <t>MR2601/0142</t>
  </si>
  <si>
    <t>132KV_132KVCHAMBAL â¿¿ ELECTRONIC  COMPLEX LINE</t>
  </si>
  <si>
    <t>132KV_E.COMPLEX INDORE</t>
  </si>
  <si>
    <t>CONDUCTOR REPLACEMENT  WORK AND OTHER MAINTANANCE</t>
  </si>
  <si>
    <t>10-01-2026 08:00:00</t>
  </si>
  <si>
    <t>MR2601/0143</t>
  </si>
  <si>
    <t>132KV_132 KV CHAMBAL-SATYASAI LINE</t>
  </si>
  <si>
    <t>132KV_INDORE CHAMBAL</t>
  </si>
  <si>
    <t>MR2601/0109</t>
  </si>
  <si>
    <t>220KV_SARNI ITARSI CKT-4</t>
  </si>
  <si>
    <t>Bird guard installation work &amp; other line maint.</t>
  </si>
  <si>
    <t>08-01-2026 10:00:00</t>
  </si>
  <si>
    <t>RTS consent required, as opportunity s/d</t>
  </si>
  <si>
    <t>MR2601/0140</t>
  </si>
  <si>
    <t>132KV_132 KV Itarsi-Pipariya</t>
  </si>
  <si>
    <t>Defective dis replacement work</t>
  </si>
  <si>
    <t>13-01-2026 18:00:00</t>
  </si>
  <si>
    <t>MR2601/0009</t>
  </si>
  <si>
    <t>132KV_132 kv katni ic line ckt 1 st</t>
  </si>
  <si>
    <t>For stringing of htls conductor.</t>
  </si>
  <si>
    <t>02-01-2026 09:00:00</t>
  </si>
  <si>
    <t>22-01-2026 18:00:00</t>
  </si>
  <si>
    <t>MR2510/0739</t>
  </si>
  <si>
    <t>05-01-2026 09:00:00</t>
  </si>
  <si>
    <t>M.M.BAIG</t>
  </si>
  <si>
    <t>MR2510/0730</t>
  </si>
  <si>
    <t>MR2601/0155</t>
  </si>
  <si>
    <t>132KV_132 KV Mauganjâ¿¿Katra DCSS line</t>
  </si>
  <si>
    <t>132KV_KATRA</t>
  </si>
  <si>
    <t>flashover disc insulator string replacement at var</t>
  </si>
  <si>
    <t>10-01-2026 10:00:00</t>
  </si>
  <si>
    <t>Mr. Ajay Kumar Chaurasia</t>
  </si>
  <si>
    <t>9425805081</t>
  </si>
  <si>
    <t>MR2601/0147</t>
  </si>
  <si>
    <t>132KV_132 kV MACT-Mandideep &amp; 132 kV MACT-Amrawart Khurd</t>
  </si>
  <si>
    <t>132KV_MACT BHOPAL</t>
  </si>
  <si>
    <t>Emergency Tree Chopping</t>
  </si>
  <si>
    <t>Ankit Mehroliya</t>
  </si>
  <si>
    <t>9425804506</t>
  </si>
  <si>
    <t>MR2601/0141</t>
  </si>
  <si>
    <t>132KV_132kV Mandla Bichhiya CKT- II Line</t>
  </si>
  <si>
    <t>132KV_MANDLA</t>
  </si>
  <si>
    <t>Jumper Cone Tightening Work</t>
  </si>
  <si>
    <t>S.K. Bhaladhare</t>
  </si>
  <si>
    <t>9425807264</t>
  </si>
  <si>
    <t>o&amp; shall be informed</t>
  </si>
  <si>
    <t>MR2601/0148</t>
  </si>
  <si>
    <t>132KV_132kV rajmilan - Janakpur Ckt</t>
  </si>
  <si>
    <t>132KV_RAJMILAN</t>
  </si>
  <si>
    <t>disc string replacement</t>
  </si>
  <si>
    <t>MR2601/0149</t>
  </si>
  <si>
    <t>220KV_SATNA- AJAYGARH FEEDER</t>
  </si>
  <si>
    <t>HOT POINT ATTENDIND WORK</t>
  </si>
  <si>
    <t>10-01-2026 11:30:00</t>
  </si>
  <si>
    <t>ER. ARUN KOL</t>
  </si>
  <si>
    <t>real time, shall be given in low load period as loading is very high</t>
  </si>
  <si>
    <t>MR2601/0151</t>
  </si>
  <si>
    <t>132KV_132 kV Satna â¿¿II (Sonoura)  â¿¿  Maihar  line</t>
  </si>
  <si>
    <t>132KV_SATNA-II</t>
  </si>
  <si>
    <t>OPGW Stringing  work</t>
  </si>
  <si>
    <t>MR2512/0194</t>
  </si>
  <si>
    <t>220KV_220KV SARNI-ITARSI-4</t>
  </si>
  <si>
    <t>ROUTINE TESTING,RELAY TESTING, GEN CHECKING &amp; MAIN</t>
  </si>
  <si>
    <t>YASHWANT WARATHE</t>
  </si>
  <si>
    <t>9425611046</t>
  </si>
  <si>
    <t>RTS consent required</t>
  </si>
  <si>
    <t>MR2601/0144</t>
  </si>
  <si>
    <t>132KV_SATYA SAI</t>
  </si>
  <si>
    <t>MR2601/0156</t>
  </si>
  <si>
    <t>132KV_132kv Shivpuri I/C Ckt Ist</t>
  </si>
  <si>
    <t>220KV_SHIVPURI</t>
  </si>
  <si>
    <t>Line Maintenance work</t>
  </si>
  <si>
    <t>Suraj Pawar</t>
  </si>
  <si>
    <t>9425814079</t>
  </si>
  <si>
    <t>400KV-ITARSI-INDORE-MP-2</t>
  </si>
  <si>
    <t>POWERGRID-WR2 (PGCIL)</t>
  </si>
  <si>
    <t>TBC Commissioning work , Dia to be kept open at both ends.</t>
  </si>
  <si>
    <t>10-Jan-2026</t>
  </si>
  <si>
    <t>18:00</t>
  </si>
  <si>
    <t>220KV-INDORE-INDORE NORTH ZONE-2</t>
  </si>
  <si>
    <t>FOR REPLACEMENT OF OLD DISC INSULATOR ON VARIOUS TOWERS</t>
  </si>
  <si>
    <t>08:00</t>
  </si>
  <si>
    <t>real time</t>
  </si>
  <si>
    <t>220KV-HOSHANGABAD-ITARSI-1</t>
  </si>
  <si>
    <t>Line Terminal AMP works and Hot spot attending works in 207-89B</t>
  </si>
  <si>
    <t>shall be given only if load management is possible</t>
  </si>
  <si>
    <t>O/S/D ON 220 KV SARNI-ITARSI -4</t>
  </si>
  <si>
    <t xml:space="preserve">AE TLM </t>
  </si>
  <si>
    <t>LINE MAINT. WORK</t>
  </si>
  <si>
    <t>14:13PC</t>
  </si>
  <si>
    <t>220 KV MANDSAUR-GUJARKHEDI CIRCUIT-2</t>
  </si>
  <si>
    <t>220 kv anuppur-kotmikala ckt 1</t>
  </si>
  <si>
    <t>220 kv anuppur-kotmikala ckt 2</t>
  </si>
  <si>
    <t>(1) For erection of 05 no. online towers for resolving LGC (Low ground clearance) issue between Loc.no. 307-310, 346-347, 351-353. (2) Outage of both lines 1 and 2 is required simultaneously.</t>
  </si>
  <si>
    <t>by CG</t>
  </si>
  <si>
    <t>BY CG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</si>
</sst>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164" formatCode="0;[Red]0"/>
    <numFmt numFmtId="165" formatCode="[$-14C09]hh:mm:ss;@"/>
    <numFmt numFmtId="166" formatCode="0.00_)"/>
    <numFmt numFmtId="167" formatCode="dd/mm/yyyy;@"/>
    <numFmt numFmtId="168" formatCode="h:mm;@"/>
    <numFmt numFmtId="169" formatCode="[$-409]hh:mm:ss\ AM/PM;@"/>
    <numFmt numFmtId="170" formatCode="[$-809]d\ mmmm\ yyyy;@"/>
    <numFmt numFmtId="171" formatCode="[$-809]dd\ mmmm\ yyyy;@"/>
    <numFmt numFmtId="172" formatCode="hh:mm:ss;@"/>
    <numFmt numFmtId="173" formatCode="[$-409]d\-mmm\-yy;@"/>
    <numFmt numFmtId="174" formatCode="[$-1010809]dd\-mm\-yyyy"/>
    <numFmt numFmtId="175" formatCode="[$-1010809]dd/mm/yyyy\ hh:mm"/>
  </numFmts>
  <fonts count="55" x14ac:knownFonts="1">
    <font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72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36"/>
      <color rgb="FFFF0000"/>
      <name val="Arial"/>
      <family val="2"/>
    </font>
    <font>
      <b/>
      <sz val="36"/>
      <color rgb="FF1155CC"/>
      <name val="Arial"/>
      <family val="2"/>
    </font>
    <font>
      <b/>
      <sz val="20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36"/>
      <color rgb="FF38761D"/>
      <name val="Arial"/>
      <family val="2"/>
    </font>
    <font>
      <sz val="36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36"/>
      <name val="Tahoma"/>
      <family val="2"/>
    </font>
    <font>
      <b/>
      <sz val="36"/>
      <name val="Arial"/>
      <family val="2"/>
    </font>
    <font>
      <sz val="10"/>
      <name val="Courier"/>
      <family val="3"/>
    </font>
    <font>
      <sz val="28"/>
      <name val="Tahoma"/>
      <family val="2"/>
    </font>
    <font>
      <b/>
      <sz val="22"/>
      <name val="Arial"/>
      <family val="2"/>
    </font>
    <font>
      <b/>
      <sz val="24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b/>
      <sz val="20"/>
      <name val="Tahoma"/>
      <family val="2"/>
    </font>
    <font>
      <b/>
      <sz val="28"/>
      <name val="Tahoma"/>
      <family val="2"/>
    </font>
    <font>
      <b/>
      <sz val="48"/>
      <name val="Tahoma"/>
      <family val="2"/>
    </font>
    <font>
      <b/>
      <sz val="28"/>
      <name val="Arial"/>
      <family val="2"/>
    </font>
    <font>
      <b/>
      <sz val="24"/>
      <name val="Tahoma"/>
      <family val="2"/>
    </font>
    <font>
      <b/>
      <sz val="26"/>
      <name val="Tahoma"/>
      <family val="2"/>
    </font>
    <font>
      <b/>
      <sz val="2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sz val="18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b/>
      <sz val="18"/>
      <name val="Tahoma"/>
      <family val="2"/>
    </font>
    <font>
      <b/>
      <sz val="16"/>
      <name val="Arial"/>
      <family val="2"/>
    </font>
    <font>
      <b/>
      <sz val="26"/>
      <name val="Arial"/>
      <family val="2"/>
    </font>
    <font>
      <b/>
      <sz val="48"/>
      <name val="Arial"/>
      <family val="2"/>
    </font>
    <font>
      <b/>
      <sz val="11"/>
      <color theme="1"/>
      <name val="Calibri"/>
      <family val="2"/>
      <scheme val="minor"/>
    </font>
    <font>
      <b/>
      <sz val="28"/>
      <color rgb="FF000000"/>
      <name val="Arial"/>
      <family val="2"/>
    </font>
    <font>
      <sz val="16"/>
      <color rgb="FF000000"/>
      <name val="Arial"/>
      <family val="2"/>
    </font>
    <font>
      <b/>
      <sz val="16"/>
      <color rgb="FF000000"/>
      <name val="Arial"/>
      <family val="2"/>
    </font>
    <font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6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b/>
      <sz val="36"/>
      <color rgb="FF000000"/>
      <name val="Arial"/>
      <family val="2"/>
    </font>
    <font>
      <b/>
      <sz val="26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6" fontId="16" fillId="0" borderId="0"/>
  </cellStyleXfs>
  <cellXfs count="349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164" fontId="7" fillId="0" borderId="2" xfId="0" applyNumberFormat="1" applyFont="1" applyBorder="1" applyAlignment="1">
      <alignment horizontal="center" vertical="center" wrapText="1"/>
    </xf>
    <xf numFmtId="14" fontId="7" fillId="0" borderId="2" xfId="0" applyNumberFormat="1" applyFont="1" applyBorder="1" applyAlignment="1">
      <alignment horizontal="center" vertical="center" wrapText="1"/>
    </xf>
    <xf numFmtId="165" fontId="7" fillId="0" borderId="2" xfId="0" applyNumberFormat="1" applyFont="1" applyBorder="1" applyAlignment="1">
      <alignment horizontal="center" vertical="center" wrapText="1"/>
    </xf>
    <xf numFmtId="0" fontId="7" fillId="0" borderId="2" xfId="0" applyNumberFormat="1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14" fontId="10" fillId="0" borderId="6" xfId="0" applyNumberFormat="1" applyFont="1" applyBorder="1" applyAlignment="1">
      <alignment horizontal="center" vertical="center" wrapText="1"/>
    </xf>
    <xf numFmtId="165" fontId="7" fillId="0" borderId="6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20" fontId="10" fillId="0" borderId="6" xfId="0" applyNumberFormat="1" applyFont="1" applyBorder="1" applyAlignment="1">
      <alignment horizontal="center" vertical="center" wrapText="1"/>
    </xf>
    <xf numFmtId="14" fontId="7" fillId="0" borderId="2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4" fontId="10" fillId="0" borderId="0" xfId="0" applyNumberFormat="1" applyFon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20" fontId="7" fillId="0" borderId="7" xfId="0" applyNumberFormat="1" applyFont="1" applyBorder="1" applyAlignment="1">
      <alignment horizontal="center" vertical="center" wrapText="1"/>
    </xf>
    <xf numFmtId="20" fontId="7" fillId="0" borderId="2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20" fontId="10" fillId="0" borderId="0" xfId="0" applyNumberFormat="1" applyFont="1" applyBorder="1" applyAlignment="1">
      <alignment horizontal="center" vertical="center" wrapText="1"/>
    </xf>
    <xf numFmtId="165" fontId="7" fillId="0" borderId="0" xfId="0" applyNumberFormat="1" applyFont="1" applyBorder="1" applyAlignment="1">
      <alignment horizontal="center" vertical="center" wrapText="1"/>
    </xf>
    <xf numFmtId="164" fontId="13" fillId="0" borderId="6" xfId="0" applyNumberFormat="1" applyFont="1" applyBorder="1" applyAlignment="1">
      <alignment horizontal="center" vertical="center" wrapText="1"/>
    </xf>
    <xf numFmtId="164" fontId="13" fillId="0" borderId="0" xfId="0" applyNumberFormat="1" applyFont="1" applyBorder="1" applyAlignment="1">
      <alignment horizontal="center" vertical="center" wrapText="1"/>
    </xf>
    <xf numFmtId="164" fontId="13" fillId="0" borderId="0" xfId="0" applyNumberFormat="1" applyFont="1" applyAlignment="1">
      <alignment horizontal="center" vertical="center" wrapText="1"/>
    </xf>
    <xf numFmtId="0" fontId="13" fillId="0" borderId="2" xfId="0" applyNumberFormat="1" applyFont="1" applyBorder="1" applyAlignment="1">
      <alignment horizontal="center" vertical="center" wrapText="1"/>
    </xf>
    <xf numFmtId="0" fontId="13" fillId="0" borderId="2" xfId="0" applyNumberFormat="1" applyFont="1" applyBorder="1" applyAlignment="1">
      <alignment horizontal="center" vertical="center"/>
    </xf>
    <xf numFmtId="20" fontId="13" fillId="0" borderId="2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9" fillId="0" borderId="2" xfId="0" applyFont="1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14" fontId="10" fillId="0" borderId="0" xfId="0" applyNumberFormat="1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13" fillId="0" borderId="0" xfId="0" applyNumberFormat="1" applyFont="1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9" fillId="0" borderId="8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5" fillId="0" borderId="0" xfId="0" applyFont="1" applyBorder="1" applyAlignment="1">
      <alignment vertical="center"/>
    </xf>
    <xf numFmtId="0" fontId="19" fillId="0" borderId="0" xfId="0" applyFont="1" applyBorder="1" applyAlignment="1">
      <alignment vertical="center"/>
    </xf>
    <xf numFmtId="0" fontId="21" fillId="0" borderId="0" xfId="0" applyFont="1" applyBorder="1" applyAlignment="1">
      <alignment vertical="center"/>
    </xf>
    <xf numFmtId="0" fontId="21" fillId="0" borderId="0" xfId="0" applyFont="1" applyBorder="1" applyAlignment="1">
      <alignment horizontal="center" vertical="center"/>
    </xf>
    <xf numFmtId="0" fontId="20" fillId="0" borderId="0" xfId="0" applyFont="1" applyBorder="1" applyAlignment="1">
      <alignment horizontal="left" vertical="center" wrapText="1"/>
    </xf>
    <xf numFmtId="168" fontId="21" fillId="0" borderId="0" xfId="0" applyNumberFormat="1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169" fontId="25" fillId="0" borderId="0" xfId="0" applyNumberFormat="1" applyFont="1" applyBorder="1" applyAlignment="1">
      <alignment vertical="center"/>
    </xf>
    <xf numFmtId="171" fontId="15" fillId="0" borderId="0" xfId="0" applyNumberFormat="1" applyFont="1" applyBorder="1" applyAlignment="1">
      <alignment vertical="center"/>
    </xf>
    <xf numFmtId="14" fontId="17" fillId="0" borderId="2" xfId="0" applyNumberFormat="1" applyFont="1" applyBorder="1" applyAlignment="1" applyProtection="1">
      <alignment vertical="center" wrapText="1"/>
    </xf>
    <xf numFmtId="0" fontId="25" fillId="0" borderId="0" xfId="0" applyNumberFormat="1" applyFont="1" applyBorder="1" applyAlignment="1">
      <alignment vertical="center"/>
    </xf>
    <xf numFmtId="172" fontId="19" fillId="0" borderId="0" xfId="0" applyNumberFormat="1" applyFont="1" applyBorder="1" applyAlignment="1">
      <alignment vertical="center"/>
    </xf>
    <xf numFmtId="0" fontId="0" fillId="0" borderId="12" xfId="0" applyBorder="1"/>
    <xf numFmtId="0" fontId="0" fillId="0" borderId="13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4" xfId="0" applyBorder="1"/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29" fillId="0" borderId="6" xfId="0" applyFont="1" applyBorder="1" applyAlignment="1">
      <alignment horizontal="center"/>
    </xf>
    <xf numFmtId="0" fontId="0" fillId="0" borderId="0" xfId="0" applyAlignment="1">
      <alignment horizontal="center"/>
    </xf>
    <xf numFmtId="0" fontId="29" fillId="0" borderId="6" xfId="0" applyFont="1" applyBorder="1" applyAlignment="1">
      <alignment horizontal="left"/>
    </xf>
    <xf numFmtId="0" fontId="0" fillId="0" borderId="2" xfId="0" applyBorder="1"/>
    <xf numFmtId="0" fontId="29" fillId="0" borderId="2" xfId="0" applyFont="1" applyBorder="1" applyAlignment="1">
      <alignment horizontal="left"/>
    </xf>
    <xf numFmtId="0" fontId="29" fillId="0" borderId="0" xfId="0" applyFont="1" applyAlignment="1">
      <alignment horizontal="left"/>
    </xf>
    <xf numFmtId="0" fontId="0" fillId="0" borderId="25" xfId="0" applyBorder="1"/>
    <xf numFmtId="0" fontId="0" fillId="0" borderId="0" xfId="0" applyBorder="1"/>
    <xf numFmtId="0" fontId="29" fillId="0" borderId="0" xfId="0" applyFont="1" applyBorder="1" applyAlignment="1">
      <alignment horizontal="left"/>
    </xf>
    <xf numFmtId="0" fontId="0" fillId="0" borderId="26" xfId="0" applyBorder="1"/>
    <xf numFmtId="0" fontId="0" fillId="0" borderId="27" xfId="0" applyBorder="1"/>
    <xf numFmtId="0" fontId="0" fillId="0" borderId="22" xfId="0" applyBorder="1"/>
    <xf numFmtId="0" fontId="0" fillId="0" borderId="22" xfId="0" applyBorder="1" applyAlignment="1">
      <alignment horizontal="center" vertical="center"/>
    </xf>
    <xf numFmtId="0" fontId="29" fillId="0" borderId="22" xfId="0" applyFont="1" applyBorder="1" applyAlignment="1">
      <alignment horizontal="left"/>
    </xf>
    <xf numFmtId="0" fontId="0" fillId="0" borderId="28" xfId="0" applyBorder="1"/>
    <xf numFmtId="173" fontId="2" fillId="0" borderId="2" xfId="0" applyNumberFormat="1" applyFont="1" applyBorder="1" applyAlignment="1">
      <alignment horizontal="center" vertical="center" wrapText="1"/>
    </xf>
    <xf numFmtId="0" fontId="0" fillId="0" borderId="2" xfId="0" applyFill="1" applyBorder="1"/>
    <xf numFmtId="0" fontId="0" fillId="2" borderId="2" xfId="0" applyFill="1" applyBorder="1"/>
    <xf numFmtId="0" fontId="0" fillId="2" borderId="2" xfId="0" applyFill="1" applyBorder="1" applyAlignment="1">
      <alignment horizontal="center" vertical="center"/>
    </xf>
    <xf numFmtId="0" fontId="0" fillId="2" borderId="0" xfId="0" applyFill="1"/>
    <xf numFmtId="0" fontId="0" fillId="3" borderId="2" xfId="0" applyFill="1" applyBorder="1"/>
    <xf numFmtId="0" fontId="0" fillId="3" borderId="2" xfId="0" applyFill="1" applyBorder="1" applyAlignment="1">
      <alignment horizontal="center" vertical="center"/>
    </xf>
    <xf numFmtId="0" fontId="0" fillId="3" borderId="0" xfId="0" applyFill="1"/>
    <xf numFmtId="0" fontId="29" fillId="0" borderId="2" xfId="0" applyFont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31" fillId="0" borderId="2" xfId="0" applyFont="1" applyBorder="1" applyAlignment="1">
      <alignment horizontal="center"/>
    </xf>
    <xf numFmtId="0" fontId="31" fillId="3" borderId="2" xfId="0" applyFont="1" applyFill="1" applyBorder="1" applyAlignment="1">
      <alignment horizontal="left"/>
    </xf>
    <xf numFmtId="0" fontId="31" fillId="2" borderId="2" xfId="0" applyFont="1" applyFill="1" applyBorder="1" applyAlignment="1">
      <alignment horizontal="center"/>
    </xf>
    <xf numFmtId="0" fontId="0" fillId="4" borderId="2" xfId="0" applyFill="1" applyBorder="1"/>
    <xf numFmtId="0" fontId="0" fillId="4" borderId="2" xfId="0" applyFill="1" applyBorder="1" applyAlignment="1">
      <alignment horizontal="center" vertical="center"/>
    </xf>
    <xf numFmtId="0" fontId="31" fillId="4" borderId="2" xfId="0" applyFont="1" applyFill="1" applyBorder="1" applyAlignment="1">
      <alignment horizontal="center"/>
    </xf>
    <xf numFmtId="0" fontId="0" fillId="4" borderId="0" xfId="0" applyFill="1"/>
    <xf numFmtId="0" fontId="0" fillId="5" borderId="2" xfId="0" applyFill="1" applyBorder="1"/>
    <xf numFmtId="0" fontId="0" fillId="5" borderId="2" xfId="0" applyFill="1" applyBorder="1" applyAlignment="1">
      <alignment horizontal="center" vertical="center"/>
    </xf>
    <xf numFmtId="0" fontId="31" fillId="5" borderId="2" xfId="0" applyFont="1" applyFill="1" applyBorder="1" applyAlignment="1">
      <alignment horizontal="center"/>
    </xf>
    <xf numFmtId="0" fontId="0" fillId="5" borderId="0" xfId="0" applyFill="1"/>
    <xf numFmtId="0" fontId="0" fillId="6" borderId="2" xfId="0" applyFill="1" applyBorder="1"/>
    <xf numFmtId="0" fontId="0" fillId="6" borderId="2" xfId="0" applyFill="1" applyBorder="1" applyAlignment="1">
      <alignment horizontal="center" vertical="center"/>
    </xf>
    <xf numFmtId="0" fontId="31" fillId="6" borderId="2" xfId="0" applyFont="1" applyFill="1" applyBorder="1" applyAlignment="1">
      <alignment horizontal="center"/>
    </xf>
    <xf numFmtId="0" fontId="0" fillId="6" borderId="0" xfId="0" applyFill="1"/>
    <xf numFmtId="0" fontId="0" fillId="6" borderId="2" xfId="0" applyFill="1" applyBorder="1" applyAlignment="1"/>
    <xf numFmtId="0" fontId="31" fillId="6" borderId="2" xfId="0" applyFont="1" applyFill="1" applyBorder="1" applyAlignment="1">
      <alignment horizontal="center" vertical="center"/>
    </xf>
    <xf numFmtId="0" fontId="0" fillId="6" borderId="0" xfId="0" applyFill="1" applyAlignment="1"/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0" fontId="31" fillId="7" borderId="2" xfId="0" applyFont="1" applyFill="1" applyBorder="1" applyAlignment="1">
      <alignment horizontal="center"/>
    </xf>
    <xf numFmtId="0" fontId="0" fillId="7" borderId="0" xfId="0" applyFill="1"/>
    <xf numFmtId="0" fontId="0" fillId="8" borderId="2" xfId="0" applyFill="1" applyBorder="1"/>
    <xf numFmtId="0" fontId="31" fillId="8" borderId="2" xfId="0" applyFont="1" applyFill="1" applyBorder="1" applyAlignment="1">
      <alignment horizontal="center"/>
    </xf>
    <xf numFmtId="0" fontId="0" fillId="9" borderId="2" xfId="0" applyFill="1" applyBorder="1"/>
    <xf numFmtId="0" fontId="0" fillId="9" borderId="2" xfId="0" applyFill="1" applyBorder="1" applyAlignment="1">
      <alignment horizontal="center" vertical="center"/>
    </xf>
    <xf numFmtId="0" fontId="31" fillId="9" borderId="2" xfId="0" applyFont="1" applyFill="1" applyBorder="1" applyAlignment="1">
      <alignment horizontal="center"/>
    </xf>
    <xf numFmtId="0" fontId="0" fillId="9" borderId="0" xfId="0" applyFill="1"/>
    <xf numFmtId="0" fontId="33" fillId="3" borderId="2" xfId="0" applyFont="1" applyFill="1" applyBorder="1" applyAlignment="1">
      <alignment horizontal="center" vertical="center" wrapText="1"/>
    </xf>
    <xf numFmtId="0" fontId="0" fillId="3" borderId="8" xfId="0" applyFill="1" applyBorder="1"/>
    <xf numFmtId="0" fontId="31" fillId="3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2" xfId="0" applyFill="1" applyBorder="1" applyAlignment="1">
      <alignment horizontal="center" vertical="center"/>
    </xf>
    <xf numFmtId="0" fontId="31" fillId="10" borderId="2" xfId="0" applyFont="1" applyFill="1" applyBorder="1" applyAlignment="1">
      <alignment horizontal="center"/>
    </xf>
    <xf numFmtId="0" fontId="0" fillId="10" borderId="0" xfId="0" applyFill="1"/>
    <xf numFmtId="0" fontId="0" fillId="4" borderId="2" xfId="0" applyFill="1" applyBorder="1" applyAlignment="1">
      <alignment vertical="center"/>
    </xf>
    <xf numFmtId="0" fontId="0" fillId="7" borderId="8" xfId="0" applyFill="1" applyBorder="1"/>
    <xf numFmtId="0" fontId="0" fillId="7" borderId="14" xfId="0" applyFill="1" applyBorder="1"/>
    <xf numFmtId="0" fontId="0" fillId="2" borderId="14" xfId="0" applyFill="1" applyBorder="1"/>
    <xf numFmtId="0" fontId="0" fillId="2" borderId="6" xfId="0" applyFill="1" applyBorder="1"/>
    <xf numFmtId="0" fontId="0" fillId="3" borderId="14" xfId="0" applyFill="1" applyBorder="1"/>
    <xf numFmtId="0" fontId="0" fillId="3" borderId="6" xfId="0" applyFill="1" applyBorder="1"/>
    <xf numFmtId="0" fontId="34" fillId="0" borderId="6" xfId="0" applyFont="1" applyBorder="1" applyAlignment="1">
      <alignment horizontal="center" wrapText="1"/>
    </xf>
    <xf numFmtId="0" fontId="34" fillId="0" borderId="6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 wrapText="1"/>
    </xf>
    <xf numFmtId="0" fontId="34" fillId="3" borderId="2" xfId="0" applyFont="1" applyFill="1" applyBorder="1" applyAlignment="1">
      <alignment horizontal="center" vertical="center" wrapText="1"/>
    </xf>
    <xf numFmtId="0" fontId="34" fillId="6" borderId="8" xfId="0" applyFont="1" applyFill="1" applyBorder="1" applyAlignment="1">
      <alignment vertical="center" wrapText="1"/>
    </xf>
    <xf numFmtId="0" fontId="34" fillId="6" borderId="14" xfId="0" applyFont="1" applyFill="1" applyBorder="1" applyAlignment="1">
      <alignment vertical="center" wrapText="1"/>
    </xf>
    <xf numFmtId="0" fontId="34" fillId="6" borderId="6" xfId="0" applyFont="1" applyFill="1" applyBorder="1" applyAlignment="1">
      <alignment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left" wrapText="1"/>
    </xf>
    <xf numFmtId="0" fontId="34" fillId="0" borderId="0" xfId="0" applyFont="1" applyBorder="1" applyAlignment="1">
      <alignment horizontal="left" wrapText="1"/>
    </xf>
    <xf numFmtId="0" fontId="34" fillId="0" borderId="22" xfId="0" applyFont="1" applyBorder="1" applyAlignment="1">
      <alignment horizontal="left" wrapText="1"/>
    </xf>
    <xf numFmtId="0" fontId="34" fillId="0" borderId="0" xfId="0" applyFont="1" applyAlignment="1">
      <alignment horizontal="left" wrapText="1"/>
    </xf>
    <xf numFmtId="0" fontId="34" fillId="0" borderId="6" xfId="0" applyFont="1" applyBorder="1" applyAlignment="1">
      <alignment horizontal="left" wrapText="1"/>
    </xf>
    <xf numFmtId="0" fontId="34" fillId="3" borderId="2" xfId="0" applyFont="1" applyFill="1" applyBorder="1" applyAlignment="1">
      <alignment horizontal="left" wrapText="1"/>
    </xf>
    <xf numFmtId="0" fontId="34" fillId="6" borderId="2" xfId="0" applyFont="1" applyFill="1" applyBorder="1" applyAlignment="1">
      <alignment horizontal="left" wrapText="1"/>
    </xf>
    <xf numFmtId="0" fontId="0" fillId="9" borderId="8" xfId="0" applyFill="1" applyBorder="1"/>
    <xf numFmtId="0" fontId="0" fillId="9" borderId="14" xfId="0" applyFill="1" applyBorder="1"/>
    <xf numFmtId="0" fontId="0" fillId="9" borderId="6" xfId="0" applyFill="1" applyBorder="1"/>
    <xf numFmtId="0" fontId="33" fillId="0" borderId="6" xfId="0" applyFont="1" applyBorder="1" applyAlignment="1">
      <alignment horizontal="center" wrapText="1"/>
    </xf>
    <xf numFmtId="0" fontId="33" fillId="0" borderId="2" xfId="0" applyFont="1" applyBorder="1" applyAlignment="1">
      <alignment horizontal="center" wrapText="1"/>
    </xf>
    <xf numFmtId="0" fontId="33" fillId="3" borderId="2" xfId="0" applyFont="1" applyFill="1" applyBorder="1" applyAlignment="1">
      <alignment horizontal="center" wrapText="1"/>
    </xf>
    <xf numFmtId="0" fontId="33" fillId="7" borderId="2" xfId="0" applyFont="1" applyFill="1" applyBorder="1" applyAlignment="1">
      <alignment horizontal="center" wrapText="1"/>
    </xf>
    <xf numFmtId="0" fontId="33" fillId="2" borderId="2" xfId="0" applyFont="1" applyFill="1" applyBorder="1" applyAlignment="1">
      <alignment horizontal="center" wrapText="1"/>
    </xf>
    <xf numFmtId="0" fontId="33" fillId="5" borderId="2" xfId="0" applyFont="1" applyFill="1" applyBorder="1" applyAlignment="1">
      <alignment horizontal="center" wrapText="1"/>
    </xf>
    <xf numFmtId="0" fontId="33" fillId="6" borderId="2" xfId="0" applyFont="1" applyFill="1" applyBorder="1" applyAlignment="1">
      <alignment horizontal="center" wrapText="1"/>
    </xf>
    <xf numFmtId="0" fontId="33" fillId="10" borderId="2" xfId="0" applyFont="1" applyFill="1" applyBorder="1" applyAlignment="1">
      <alignment horizontal="center" wrapText="1"/>
    </xf>
    <xf numFmtId="0" fontId="33" fillId="9" borderId="2" xfId="0" applyFont="1" applyFill="1" applyBorder="1" applyAlignment="1">
      <alignment horizontal="center" wrapText="1"/>
    </xf>
    <xf numFmtId="0" fontId="33" fillId="4" borderId="2" xfId="0" applyFont="1" applyFill="1" applyBorder="1" applyAlignment="1">
      <alignment horizontal="center" wrapText="1"/>
    </xf>
    <xf numFmtId="0" fontId="33" fillId="0" borderId="0" xfId="0" applyFont="1" applyBorder="1" applyAlignment="1">
      <alignment horizontal="center" wrapText="1"/>
    </xf>
    <xf numFmtId="0" fontId="33" fillId="0" borderId="22" xfId="0" applyFont="1" applyBorder="1" applyAlignment="1">
      <alignment horizontal="center" wrapText="1"/>
    </xf>
    <xf numFmtId="0" fontId="33" fillId="0" borderId="0" xfId="0" applyFont="1" applyAlignment="1">
      <alignment horizontal="center" wrapText="1"/>
    </xf>
    <xf numFmtId="0" fontId="33" fillId="0" borderId="6" xfId="0" applyFont="1" applyBorder="1" applyAlignment="1">
      <alignment horizontal="center" vertical="center" wrapText="1"/>
    </xf>
    <xf numFmtId="0" fontId="33" fillId="0" borderId="2" xfId="0" applyFont="1" applyBorder="1" applyAlignment="1">
      <alignment horizontal="center" vertical="center" wrapText="1"/>
    </xf>
    <xf numFmtId="0" fontId="33" fillId="7" borderId="2" xfId="0" applyFont="1" applyFill="1" applyBorder="1" applyAlignment="1">
      <alignment horizontal="center" vertical="center" wrapText="1"/>
    </xf>
    <xf numFmtId="0" fontId="33" fillId="2" borderId="2" xfId="0" applyFont="1" applyFill="1" applyBorder="1" applyAlignment="1">
      <alignment horizontal="center" vertical="center" wrapText="1"/>
    </xf>
    <xf numFmtId="0" fontId="33" fillId="5" borderId="8" xfId="0" applyFont="1" applyFill="1" applyBorder="1" applyAlignment="1">
      <alignment horizontal="center" vertical="center" wrapText="1"/>
    </xf>
    <xf numFmtId="0" fontId="33" fillId="5" borderId="2" xfId="0" applyFont="1" applyFill="1" applyBorder="1" applyAlignment="1">
      <alignment horizontal="center" vertical="center" wrapText="1"/>
    </xf>
    <xf numFmtId="0" fontId="33" fillId="5" borderId="14" xfId="0" applyFont="1" applyFill="1" applyBorder="1" applyAlignment="1">
      <alignment horizontal="center" vertical="center" wrapText="1"/>
    </xf>
    <xf numFmtId="0" fontId="33" fillId="6" borderId="2" xfId="0" applyFont="1" applyFill="1" applyBorder="1" applyAlignment="1">
      <alignment horizontal="center" vertical="center" wrapText="1"/>
    </xf>
    <xf numFmtId="0" fontId="35" fillId="6" borderId="2" xfId="0" applyFont="1" applyFill="1" applyBorder="1" applyAlignment="1">
      <alignment horizontal="center" vertical="center" wrapText="1"/>
    </xf>
    <xf numFmtId="0" fontId="33" fillId="6" borderId="8" xfId="0" applyFont="1" applyFill="1" applyBorder="1" applyAlignment="1">
      <alignment horizontal="center" vertical="center" wrapText="1"/>
    </xf>
    <xf numFmtId="0" fontId="33" fillId="10" borderId="2" xfId="0" applyFont="1" applyFill="1" applyBorder="1" applyAlignment="1">
      <alignment horizontal="center" vertical="center" wrapText="1"/>
    </xf>
    <xf numFmtId="0" fontId="35" fillId="9" borderId="2" xfId="0" applyFont="1" applyFill="1" applyBorder="1" applyAlignment="1">
      <alignment horizontal="center" vertical="center" wrapText="1"/>
    </xf>
    <xf numFmtId="0" fontId="33" fillId="9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 wrapText="1"/>
    </xf>
    <xf numFmtId="0" fontId="33" fillId="0" borderId="0" xfId="0" applyFont="1" applyBorder="1" applyAlignment="1">
      <alignment horizontal="center" vertical="center" wrapText="1"/>
    </xf>
    <xf numFmtId="0" fontId="33" fillId="0" borderId="22" xfId="0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wrapText="1"/>
    </xf>
    <xf numFmtId="0" fontId="28" fillId="0" borderId="2" xfId="0" applyFont="1" applyBorder="1"/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0" fontId="0" fillId="0" borderId="2" xfId="0" applyFill="1" applyBorder="1" applyAlignment="1">
      <alignment horizontal="center" vertical="center"/>
    </xf>
    <xf numFmtId="0" fontId="36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 wrapText="1"/>
    </xf>
    <xf numFmtId="0" fontId="0" fillId="0" borderId="14" xfId="0" applyFont="1" applyFill="1" applyBorder="1" applyAlignment="1">
      <alignment horizontal="center" vertical="center" wrapText="1"/>
    </xf>
    <xf numFmtId="0" fontId="37" fillId="11" borderId="1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42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wrapText="1"/>
    </xf>
    <xf numFmtId="14" fontId="20" fillId="0" borderId="2" xfId="0" applyNumberFormat="1" applyFont="1" applyBorder="1" applyAlignment="1">
      <alignment horizontal="center" vertical="center" wrapText="1"/>
    </xf>
    <xf numFmtId="168" fontId="25" fillId="0" borderId="2" xfId="0" applyNumberFormat="1" applyFont="1" applyBorder="1" applyAlignment="1">
      <alignment horizontal="center" vertical="center"/>
    </xf>
    <xf numFmtId="167" fontId="20" fillId="0" borderId="2" xfId="0" applyNumberFormat="1" applyFont="1" applyBorder="1" applyAlignment="1">
      <alignment horizontal="center" vertical="center"/>
    </xf>
    <xf numFmtId="0" fontId="43" fillId="0" borderId="2" xfId="0" applyNumberFormat="1" applyFont="1" applyBorder="1" applyAlignment="1">
      <alignment horizontal="center" vertical="center"/>
    </xf>
    <xf numFmtId="168" fontId="15" fillId="0" borderId="2" xfId="0" applyNumberFormat="1" applyFont="1" applyBorder="1" applyAlignment="1">
      <alignment horizontal="center" vertical="center"/>
    </xf>
    <xf numFmtId="0" fontId="41" fillId="0" borderId="0" xfId="0" applyFont="1" applyBorder="1" applyAlignment="1">
      <alignment horizontal="center" vertical="center"/>
    </xf>
    <xf numFmtId="0" fontId="42" fillId="0" borderId="2" xfId="0" applyFont="1" applyBorder="1" applyAlignment="1">
      <alignment horizontal="center" vertical="center" wrapText="1"/>
    </xf>
    <xf numFmtId="14" fontId="17" fillId="0" borderId="0" xfId="0" applyNumberFormat="1" applyFont="1" applyBorder="1" applyAlignment="1" applyProtection="1">
      <alignment vertical="center" wrapText="1"/>
    </xf>
    <xf numFmtId="168" fontId="26" fillId="0" borderId="2" xfId="1" applyNumberFormat="1" applyFont="1" applyFill="1" applyBorder="1" applyAlignment="1" applyProtection="1">
      <alignment horizontal="center" vertical="center" wrapText="1"/>
    </xf>
    <xf numFmtId="0" fontId="18" fillId="0" borderId="3" xfId="0" applyFont="1" applyBorder="1" applyAlignment="1">
      <alignment horizontal="center" vertical="center"/>
    </xf>
    <xf numFmtId="166" fontId="40" fillId="0" borderId="37" xfId="1" applyFont="1" applyFill="1" applyBorder="1" applyAlignment="1" applyProtection="1">
      <alignment horizontal="center" vertical="center" wrapText="1"/>
    </xf>
    <xf numFmtId="166" fontId="27" fillId="0" borderId="14" xfId="1" applyFont="1" applyFill="1" applyBorder="1" applyAlignment="1" applyProtection="1">
      <alignment horizontal="center" vertical="center" wrapText="1"/>
    </xf>
    <xf numFmtId="166" fontId="23" fillId="0" borderId="14" xfId="1" applyFont="1" applyFill="1" applyBorder="1" applyAlignment="1" applyProtection="1">
      <alignment horizontal="center" vertical="center" wrapText="1"/>
    </xf>
    <xf numFmtId="166" fontId="22" fillId="0" borderId="14" xfId="1" applyFont="1" applyFill="1" applyBorder="1" applyAlignment="1" applyProtection="1">
      <alignment vertical="center" wrapText="1"/>
    </xf>
    <xf numFmtId="170" fontId="14" fillId="0" borderId="2" xfId="1" applyNumberFormat="1" applyFont="1" applyFill="1" applyBorder="1" applyAlignment="1" applyProtection="1">
      <alignment horizontal="center" vertical="center" wrapText="1"/>
    </xf>
    <xf numFmtId="169" fontId="23" fillId="0" borderId="2" xfId="1" applyNumberFormat="1" applyFont="1" applyFill="1" applyBorder="1" applyAlignment="1" applyProtection="1">
      <alignment horizontal="center" vertical="center" wrapText="1"/>
    </xf>
    <xf numFmtId="171" fontId="14" fillId="0" borderId="2" xfId="1" applyNumberFormat="1" applyFont="1" applyFill="1" applyBorder="1" applyAlignment="1" applyProtection="1">
      <alignment horizontal="center" vertical="center" wrapText="1"/>
    </xf>
    <xf numFmtId="0" fontId="23" fillId="0" borderId="2" xfId="1" applyNumberFormat="1" applyFont="1" applyFill="1" applyBorder="1" applyAlignment="1" applyProtection="1">
      <alignment horizontal="center" vertical="center" wrapText="1"/>
    </xf>
    <xf numFmtId="172" fontId="26" fillId="0" borderId="2" xfId="1" applyNumberFormat="1" applyFont="1" applyFill="1" applyBorder="1" applyAlignment="1" applyProtection="1">
      <alignment horizontal="center" vertical="center" wrapText="1"/>
    </xf>
    <xf numFmtId="168" fontId="23" fillId="0" borderId="2" xfId="1" applyNumberFormat="1" applyFont="1" applyFill="1" applyBorder="1" applyAlignment="1" applyProtection="1">
      <alignment horizontal="center" vertical="center" wrapText="1"/>
    </xf>
    <xf numFmtId="166" fontId="27" fillId="0" borderId="38" xfId="1" applyFont="1" applyFill="1" applyBorder="1" applyAlignment="1" applyProtection="1">
      <alignment horizontal="center" vertical="center" wrapText="1"/>
    </xf>
    <xf numFmtId="166" fontId="27" fillId="0" borderId="38" xfId="1" applyFont="1" applyFill="1" applyBorder="1" applyAlignment="1" applyProtection="1">
      <alignment horizontal="center" vertical="center" wrapText="1" readingOrder="1"/>
    </xf>
    <xf numFmtId="166" fontId="14" fillId="0" borderId="2" xfId="1" applyFont="1" applyFill="1" applyBorder="1" applyAlignment="1" applyProtection="1">
      <alignment horizontal="center" vertical="center" wrapText="1"/>
    </xf>
    <xf numFmtId="0" fontId="43" fillId="0" borderId="2" xfId="0" quotePrefix="1" applyNumberFormat="1" applyFont="1" applyBorder="1" applyAlignment="1">
      <alignment horizontal="center" vertical="center"/>
    </xf>
    <xf numFmtId="0" fontId="19" fillId="0" borderId="2" xfId="0" quotePrefix="1" applyFont="1" applyBorder="1" applyAlignment="1">
      <alignment horizontal="center" vertical="center" wrapText="1"/>
    </xf>
    <xf numFmtId="0" fontId="37" fillId="0" borderId="1" xfId="0" applyFont="1" applyBorder="1" applyAlignment="1">
      <alignment horizontal="center" vertical="center"/>
    </xf>
    <xf numFmtId="174" fontId="37" fillId="11" borderId="1" xfId="0" applyNumberFormat="1" applyFont="1" applyFill="1" applyBorder="1" applyAlignment="1">
      <alignment horizontal="center" vertical="center"/>
    </xf>
    <xf numFmtId="0" fontId="38" fillId="11" borderId="1" xfId="0" applyFont="1" applyFill="1" applyBorder="1" applyAlignment="1">
      <alignment horizontal="center" vertical="center" wrapText="1"/>
    </xf>
    <xf numFmtId="0" fontId="39" fillId="0" borderId="31" xfId="0" applyFont="1" applyBorder="1"/>
    <xf numFmtId="0" fontId="39" fillId="0" borderId="32" xfId="0" applyFont="1" applyBorder="1"/>
    <xf numFmtId="0" fontId="37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14" fillId="0" borderId="9" xfId="0" applyFont="1" applyBorder="1" applyAlignment="1" applyProtection="1">
      <alignment horizontal="center" vertical="center" wrapText="1"/>
    </xf>
    <xf numFmtId="0" fontId="14" fillId="0" borderId="10" xfId="0" applyFont="1" applyBorder="1" applyAlignment="1" applyProtection="1">
      <alignment horizontal="center" vertical="center" wrapText="1"/>
    </xf>
    <xf numFmtId="0" fontId="14" fillId="0" borderId="11" xfId="0" applyFont="1" applyBorder="1" applyAlignment="1" applyProtection="1">
      <alignment horizontal="center" vertical="center" wrapText="1"/>
    </xf>
    <xf numFmtId="14" fontId="24" fillId="0" borderId="3" xfId="0" applyNumberFormat="1" applyFont="1" applyBorder="1" applyAlignment="1" applyProtection="1">
      <alignment horizontal="center" vertical="center" wrapText="1"/>
    </xf>
    <xf numFmtId="14" fontId="24" fillId="0" borderId="4" xfId="0" applyNumberFormat="1" applyFont="1" applyBorder="1" applyAlignment="1" applyProtection="1">
      <alignment horizontal="center" vertical="center" wrapText="1"/>
    </xf>
    <xf numFmtId="14" fontId="24" fillId="0" borderId="5" xfId="0" applyNumberFormat="1" applyFont="1" applyBorder="1" applyAlignment="1" applyProtection="1">
      <alignment horizontal="center" vertical="center" wrapText="1"/>
    </xf>
    <xf numFmtId="166" fontId="14" fillId="0" borderId="2" xfId="1" applyFont="1" applyFill="1" applyBorder="1" applyAlignment="1" applyProtection="1">
      <alignment horizontal="center" vertical="center" wrapText="1"/>
    </xf>
    <xf numFmtId="0" fontId="23" fillId="0" borderId="3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7" fontId="23" fillId="0" borderId="3" xfId="1" applyNumberFormat="1" applyFont="1" applyFill="1" applyBorder="1" applyAlignment="1" applyProtection="1">
      <alignment horizontal="center" vertical="center" wrapText="1"/>
    </xf>
    <xf numFmtId="167" fontId="23" fillId="0" borderId="4" xfId="1" applyNumberFormat="1" applyFont="1" applyFill="1" applyBorder="1" applyAlignment="1" applyProtection="1">
      <alignment horizontal="center" vertical="center" wrapText="1"/>
    </xf>
    <xf numFmtId="167" fontId="23" fillId="0" borderId="5" xfId="1" applyNumberFormat="1" applyFont="1" applyFill="1" applyBorder="1" applyAlignment="1" applyProtection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 wrapText="1"/>
    </xf>
    <xf numFmtId="0" fontId="33" fillId="6" borderId="14" xfId="0" applyFont="1" applyFill="1" applyBorder="1" applyAlignment="1">
      <alignment horizontal="center" vertical="center" wrapText="1"/>
    </xf>
    <xf numFmtId="0" fontId="33" fillId="6" borderId="6" xfId="0" applyFont="1" applyFill="1" applyBorder="1" applyAlignment="1">
      <alignment horizontal="center" vertical="center" wrapText="1"/>
    </xf>
    <xf numFmtId="0" fontId="34" fillId="6" borderId="8" xfId="0" applyFont="1" applyFill="1" applyBorder="1" applyAlignment="1">
      <alignment horizontal="center" vertical="center" wrapText="1"/>
    </xf>
    <xf numFmtId="0" fontId="34" fillId="6" borderId="14" xfId="0" applyFont="1" applyFill="1" applyBorder="1" applyAlignment="1">
      <alignment horizontal="center" vertical="center" wrapText="1"/>
    </xf>
    <xf numFmtId="0" fontId="34" fillId="6" borderId="6" xfId="0" applyFont="1" applyFill="1" applyBorder="1" applyAlignment="1">
      <alignment horizontal="center" vertical="center" wrapText="1"/>
    </xf>
    <xf numFmtId="0" fontId="32" fillId="6" borderId="8" xfId="0" applyFont="1" applyFill="1" applyBorder="1" applyAlignment="1">
      <alignment horizontal="center" vertical="center" wrapText="1"/>
    </xf>
    <xf numFmtId="0" fontId="32" fillId="6" borderId="14" xfId="0" applyFont="1" applyFill="1" applyBorder="1" applyAlignment="1">
      <alignment horizontal="center" vertical="center" wrapText="1"/>
    </xf>
    <xf numFmtId="0" fontId="32" fillId="6" borderId="6" xfId="0" applyFont="1" applyFill="1" applyBorder="1" applyAlignment="1">
      <alignment horizontal="center" vertical="center" wrapText="1"/>
    </xf>
    <xf numFmtId="0" fontId="34" fillId="5" borderId="8" xfId="0" applyFont="1" applyFill="1" applyBorder="1" applyAlignment="1">
      <alignment horizontal="center" vertical="center" wrapText="1"/>
    </xf>
    <xf numFmtId="0" fontId="34" fillId="5" borderId="14" xfId="0" applyFont="1" applyFill="1" applyBorder="1" applyAlignment="1">
      <alignment horizontal="center" vertical="center" wrapText="1"/>
    </xf>
    <xf numFmtId="0" fontId="34" fillId="5" borderId="6" xfId="0" applyFont="1" applyFill="1" applyBorder="1" applyAlignment="1">
      <alignment horizontal="center" vertical="center" wrapText="1"/>
    </xf>
    <xf numFmtId="0" fontId="34" fillId="3" borderId="8" xfId="0" applyFont="1" applyFill="1" applyBorder="1" applyAlignment="1">
      <alignment horizontal="center" vertical="center" wrapText="1"/>
    </xf>
    <xf numFmtId="0" fontId="34" fillId="3" borderId="14" xfId="0" applyFont="1" applyFill="1" applyBorder="1" applyAlignment="1">
      <alignment horizontal="center" vertical="center" wrapText="1"/>
    </xf>
    <xf numFmtId="0" fontId="34" fillId="3" borderId="6" xfId="0" applyFont="1" applyFill="1" applyBorder="1" applyAlignment="1">
      <alignment horizontal="center" vertical="center" wrapText="1"/>
    </xf>
    <xf numFmtId="0" fontId="32" fillId="3" borderId="8" xfId="0" applyFont="1" applyFill="1" applyBorder="1" applyAlignment="1">
      <alignment horizontal="center" vertical="center" wrapText="1"/>
    </xf>
    <xf numFmtId="0" fontId="32" fillId="3" borderId="14" xfId="0" applyFont="1" applyFill="1" applyBorder="1" applyAlignment="1">
      <alignment horizontal="center" vertical="center" wrapText="1"/>
    </xf>
    <xf numFmtId="0" fontId="32" fillId="3" borderId="6" xfId="0" applyFont="1" applyFill="1" applyBorder="1" applyAlignment="1">
      <alignment horizontal="center" vertical="center" wrapText="1"/>
    </xf>
    <xf numFmtId="0" fontId="34" fillId="10" borderId="8" xfId="0" applyFont="1" applyFill="1" applyBorder="1" applyAlignment="1">
      <alignment horizontal="center" vertical="center" wrapText="1"/>
    </xf>
    <xf numFmtId="0" fontId="34" fillId="10" borderId="14" xfId="0" applyFont="1" applyFill="1" applyBorder="1" applyAlignment="1">
      <alignment horizontal="center" vertical="center" wrapText="1"/>
    </xf>
    <xf numFmtId="0" fontId="34" fillId="10" borderId="6" xfId="0" applyFont="1" applyFill="1" applyBorder="1" applyAlignment="1">
      <alignment horizontal="center" vertical="center" wrapText="1"/>
    </xf>
    <xf numFmtId="0" fontId="34" fillId="4" borderId="8" xfId="0" applyFont="1" applyFill="1" applyBorder="1" applyAlignment="1">
      <alignment horizontal="center" vertical="center" wrapText="1"/>
    </xf>
    <xf numFmtId="0" fontId="34" fillId="4" borderId="14" xfId="0" applyFont="1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9" borderId="8" xfId="0" applyFill="1" applyBorder="1" applyAlignment="1">
      <alignment horizontal="center" vertical="center" wrapText="1"/>
    </xf>
    <xf numFmtId="0" fontId="0" fillId="9" borderId="14" xfId="0" applyFill="1" applyBorder="1" applyAlignment="1">
      <alignment horizontal="center" vertical="center" wrapText="1"/>
    </xf>
    <xf numFmtId="0" fontId="0" fillId="9" borderId="6" xfId="0" applyFill="1" applyBorder="1" applyAlignment="1">
      <alignment horizontal="center" vertical="center" wrapText="1"/>
    </xf>
    <xf numFmtId="0" fontId="28" fillId="0" borderId="29" xfId="0" applyFont="1" applyBorder="1" applyAlignment="1">
      <alignment horizontal="center" vertical="center"/>
    </xf>
    <xf numFmtId="0" fontId="28" fillId="0" borderId="30" xfId="0" applyFont="1" applyBorder="1" applyAlignment="1">
      <alignment horizontal="center" vertical="center"/>
    </xf>
    <xf numFmtId="0" fontId="28" fillId="0" borderId="29" xfId="0" applyFont="1" applyBorder="1" applyAlignment="1">
      <alignment horizontal="center"/>
    </xf>
    <xf numFmtId="0" fontId="28" fillId="0" borderId="30" xfId="0" applyFont="1" applyBorder="1" applyAlignment="1">
      <alignment horizontal="center"/>
    </xf>
    <xf numFmtId="0" fontId="34" fillId="9" borderId="8" xfId="0" applyFont="1" applyFill="1" applyBorder="1" applyAlignment="1">
      <alignment horizontal="center" vertical="center" wrapText="1"/>
    </xf>
    <xf numFmtId="0" fontId="34" fillId="9" borderId="14" xfId="0" applyFont="1" applyFill="1" applyBorder="1" applyAlignment="1">
      <alignment horizontal="center" vertical="center" wrapText="1"/>
    </xf>
    <xf numFmtId="0" fontId="34" fillId="9" borderId="6" xfId="0" applyFont="1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34" fillId="7" borderId="8" xfId="0" applyFont="1" applyFill="1" applyBorder="1" applyAlignment="1">
      <alignment horizontal="center" vertical="center" wrapText="1"/>
    </xf>
    <xf numFmtId="0" fontId="34" fillId="7" borderId="14" xfId="0" applyFont="1" applyFill="1" applyBorder="1" applyAlignment="1">
      <alignment horizontal="center" vertical="center" wrapText="1"/>
    </xf>
    <xf numFmtId="0" fontId="34" fillId="7" borderId="6" xfId="0" applyFont="1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45" fillId="12" borderId="33" xfId="0" applyFont="1" applyFill="1" applyBorder="1" applyAlignment="1">
      <alignment horizontal="center" vertical="center"/>
    </xf>
    <xf numFmtId="0" fontId="45" fillId="12" borderId="31" xfId="0" applyFont="1" applyFill="1" applyBorder="1" applyAlignment="1">
      <alignment horizontal="center" vertical="center"/>
    </xf>
    <xf numFmtId="0" fontId="45" fillId="12" borderId="32" xfId="0" applyFont="1" applyFill="1" applyBorder="1" applyAlignment="1">
      <alignment horizontal="center" vertical="center"/>
    </xf>
    <xf numFmtId="0" fontId="37" fillId="11" borderId="1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44" fillId="0" borderId="0" xfId="0" applyFont="1" applyAlignment="1">
      <alignment wrapText="1"/>
    </xf>
    <xf numFmtId="0" fontId="47" fillId="0" borderId="1" xfId="0" applyFont="1" applyBorder="1" applyAlignment="1">
      <alignment horizontal="center" vertical="center" wrapText="1"/>
    </xf>
    <xf numFmtId="0" fontId="47" fillId="0" borderId="34" xfId="0" applyFont="1" applyBorder="1" applyAlignment="1">
      <alignment horizontal="center" vertical="center" wrapText="1"/>
    </xf>
    <xf numFmtId="0" fontId="49" fillId="13" borderId="2" xfId="0" applyFont="1" applyFill="1" applyBorder="1" applyAlignment="1">
      <alignment horizontal="center" vertical="center" wrapText="1"/>
    </xf>
    <xf numFmtId="0" fontId="50" fillId="13" borderId="2" xfId="0" applyFont="1" applyFill="1" applyBorder="1" applyAlignment="1">
      <alignment horizontal="center" vertical="center" wrapText="1"/>
    </xf>
    <xf numFmtId="0" fontId="51" fillId="13" borderId="2" xfId="0" applyFont="1" applyFill="1" applyBorder="1" applyAlignment="1">
      <alignment horizontal="center" vertical="center" wrapText="1"/>
    </xf>
    <xf numFmtId="0" fontId="51" fillId="13" borderId="2" xfId="0" applyFont="1" applyFill="1" applyBorder="1" applyAlignment="1">
      <alignment wrapText="1"/>
    </xf>
    <xf numFmtId="0" fontId="52" fillId="13" borderId="2" xfId="0" applyFont="1" applyFill="1" applyBorder="1" applyAlignment="1">
      <alignment horizontal="center" wrapText="1"/>
    </xf>
    <xf numFmtId="0" fontId="51" fillId="0" borderId="2" xfId="0" applyFont="1" applyBorder="1" applyAlignment="1">
      <alignment wrapText="1"/>
    </xf>
    <xf numFmtId="0" fontId="46" fillId="0" borderId="1" xfId="0" applyFont="1" applyBorder="1" applyAlignment="1">
      <alignment horizontal="center" vertical="center" wrapText="1"/>
    </xf>
    <xf numFmtId="174" fontId="46" fillId="0" borderId="1" xfId="0" applyNumberFormat="1" applyFont="1" applyBorder="1" applyAlignment="1">
      <alignment horizontal="center" vertical="center" wrapText="1"/>
    </xf>
    <xf numFmtId="175" fontId="46" fillId="0" borderId="1" xfId="0" applyNumberFormat="1" applyFont="1" applyBorder="1" applyAlignment="1">
      <alignment horizontal="center" vertical="center" wrapText="1"/>
    </xf>
    <xf numFmtId="0" fontId="46" fillId="0" borderId="33" xfId="0" applyFont="1" applyBorder="1" applyAlignment="1">
      <alignment horizontal="center" vertical="center" wrapText="1"/>
    </xf>
    <xf numFmtId="0" fontId="46" fillId="0" borderId="32" xfId="0" applyFont="1" applyBorder="1" applyAlignment="1">
      <alignment horizontal="center" vertical="center" wrapText="1"/>
    </xf>
    <xf numFmtId="0" fontId="48" fillId="0" borderId="0" xfId="0" applyFont="1" applyAlignment="1">
      <alignment wrapText="1"/>
    </xf>
    <xf numFmtId="0" fontId="46" fillId="0" borderId="34" xfId="0" applyFont="1" applyBorder="1" applyAlignment="1">
      <alignment horizontal="center" vertical="center" wrapText="1"/>
    </xf>
    <xf numFmtId="174" fontId="46" fillId="0" borderId="34" xfId="0" applyNumberFormat="1" applyFont="1" applyBorder="1" applyAlignment="1">
      <alignment horizontal="center" vertical="center" wrapText="1"/>
    </xf>
    <xf numFmtId="175" fontId="46" fillId="0" borderId="34" xfId="0" applyNumberFormat="1" applyFont="1" applyBorder="1" applyAlignment="1">
      <alignment horizontal="center" vertical="center" wrapText="1"/>
    </xf>
    <xf numFmtId="0" fontId="46" fillId="0" borderId="35" xfId="0" applyFont="1" applyBorder="1" applyAlignment="1">
      <alignment horizontal="center" vertical="center" wrapText="1"/>
    </xf>
    <xf numFmtId="0" fontId="46" fillId="0" borderId="36" xfId="0" applyFont="1" applyBorder="1" applyAlignment="1">
      <alignment horizontal="center" vertical="center" wrapText="1"/>
    </xf>
    <xf numFmtId="0" fontId="48" fillId="0" borderId="2" xfId="0" applyFont="1" applyBorder="1" applyAlignment="1">
      <alignment wrapText="1"/>
    </xf>
    <xf numFmtId="0" fontId="48" fillId="13" borderId="2" xfId="0" applyFont="1" applyFill="1" applyBorder="1" applyAlignment="1">
      <alignment wrapText="1"/>
    </xf>
    <xf numFmtId="0" fontId="53" fillId="0" borderId="2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53" fillId="0" borderId="0" xfId="0" applyFont="1" applyBorder="1" applyAlignment="1">
      <alignment horizontal="center" vertical="center" wrapText="1"/>
    </xf>
    <xf numFmtId="0" fontId="54" fillId="0" borderId="7" xfId="0" applyFont="1" applyBorder="1" applyAlignment="1">
      <alignment horizontal="center" vertical="center" wrapText="1"/>
    </xf>
  </cellXfs>
  <cellStyles count="2">
    <cellStyle name="Normal" xfId="0" builtinId="0"/>
    <cellStyle name="Normal_TRANSMISSION OUTAGE DATA_05061(updated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6738</xdr:rowOff>
    </xdr:to>
    <xdr:pic>
      <xdr:nvPicPr>
        <xdr:cNvPr id="4" name="Picture 3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10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55151</xdr:colOff>
      <xdr:row>1</xdr:row>
      <xdr:rowOff>7418</xdr:rowOff>
    </xdr:to>
    <xdr:pic>
      <xdr:nvPicPr>
        <xdr:cNvPr id="3" name="Picture 2" descr="Picture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599890</xdr:colOff>
      <xdr:row>1</xdr:row>
      <xdr:rowOff>7418</xdr:rowOff>
    </xdr:to>
    <xdr:pic>
      <xdr:nvPicPr>
        <xdr:cNvPr id="5" name="Picture 4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52429</xdr:colOff>
      <xdr:row>1</xdr:row>
      <xdr:rowOff>7418</xdr:rowOff>
    </xdr:to>
    <xdr:pic>
      <xdr:nvPicPr>
        <xdr:cNvPr id="6" name="Picture 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47625</xdr:rowOff>
    </xdr:from>
    <xdr:to>
      <xdr:col>1</xdr:col>
      <xdr:colOff>53337</xdr:colOff>
      <xdr:row>1</xdr:row>
      <xdr:rowOff>67743</xdr:rowOff>
    </xdr:to>
    <xdr:pic>
      <xdr:nvPicPr>
        <xdr:cNvPr id="7" name="Picture 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7625"/>
          <a:ext cx="611683" cy="5589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9383</xdr:rowOff>
    </xdr:to>
    <xdr:pic>
      <xdr:nvPicPr>
        <xdr:cNvPr id="9" name="Picture 8" descr="Picture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611683" cy="55366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11500</xdr:rowOff>
    </xdr:to>
    <xdr:pic>
      <xdr:nvPicPr>
        <xdr:cNvPr id="8" name="Picture 7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9383</xdr:rowOff>
    </xdr:to>
    <xdr:pic>
      <xdr:nvPicPr>
        <xdr:cNvPr id="10" name="Picture 9" descr="Picture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38100</xdr:rowOff>
    </xdr:from>
    <xdr:to>
      <xdr:col>1</xdr:col>
      <xdr:colOff>49708</xdr:colOff>
      <xdr:row>1</xdr:row>
      <xdr:rowOff>9383</xdr:rowOff>
    </xdr:to>
    <xdr:pic>
      <xdr:nvPicPr>
        <xdr:cNvPr id="11" name="Picture 10" descr="Picture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3810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9383</xdr:rowOff>
    </xdr:to>
    <xdr:pic>
      <xdr:nvPicPr>
        <xdr:cNvPr id="12" name="Picture 11" descr="Picture"/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9383</xdr:rowOff>
    </xdr:to>
    <xdr:pic>
      <xdr:nvPicPr>
        <xdr:cNvPr id="13" name="Picture 12" descr="Picture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12558</xdr:rowOff>
    </xdr:to>
    <xdr:pic>
      <xdr:nvPicPr>
        <xdr:cNvPr id="14" name="Picture 13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89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11500</xdr:rowOff>
    </xdr:to>
    <xdr:pic>
      <xdr:nvPicPr>
        <xdr:cNvPr id="15" name="Picture 14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9383</xdr:rowOff>
    </xdr:to>
    <xdr:pic>
      <xdr:nvPicPr>
        <xdr:cNvPr id="16" name="Picture 1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600937</xdr:colOff>
      <xdr:row>1</xdr:row>
      <xdr:rowOff>9383</xdr:rowOff>
    </xdr:to>
    <xdr:pic>
      <xdr:nvPicPr>
        <xdr:cNvPr id="17" name="Picture 1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0937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601100</xdr:colOff>
      <xdr:row>1</xdr:row>
      <xdr:rowOff>9383</xdr:rowOff>
    </xdr:to>
    <xdr:pic>
      <xdr:nvPicPr>
        <xdr:cNvPr id="18" name="Picture 17" descr="Picture"/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12558</xdr:rowOff>
    </xdr:to>
    <xdr:pic>
      <xdr:nvPicPr>
        <xdr:cNvPr id="19" name="Picture 18" descr="Picture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611683" cy="5589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0</xdr:row>
      <xdr:rowOff>553820</xdr:rowOff>
    </xdr:to>
    <xdr:pic>
      <xdr:nvPicPr>
        <xdr:cNvPr id="20" name="Picture 19" descr="Picture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47625</xdr:colOff>
      <xdr:row>0</xdr:row>
      <xdr:rowOff>548368</xdr:rowOff>
    </xdr:to>
    <xdr:pic>
      <xdr:nvPicPr>
        <xdr:cNvPr id="21" name="Picture 1">
          <a:extLst>
            <a:ext uri="{FF2B5EF4-FFF2-40B4-BE49-F238E27FC236}">
              <a16:creationId xmlns:a16="http://schemas.microsoft.com/office/drawing/2014/main" id="{E28EB252-710D-E2EA-B663-046E86FCD2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096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47625</xdr:colOff>
      <xdr:row>0</xdr:row>
      <xdr:rowOff>548368</xdr:rowOff>
    </xdr:to>
    <xdr:pic>
      <xdr:nvPicPr>
        <xdr:cNvPr id="22" name="Picture 1">
          <a:extLst>
            <a:ext uri="{FF2B5EF4-FFF2-40B4-BE49-F238E27FC236}">
              <a16:creationId xmlns:a16="http://schemas.microsoft.com/office/drawing/2014/main" id="{61EF9D13-A510-D739-0F93-F0DF241D4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096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0</xdr:row>
      <xdr:rowOff>549587</xdr:rowOff>
    </xdr:to>
    <xdr:pic>
      <xdr:nvPicPr>
        <xdr:cNvPr id="23" name="Picture 22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0</xdr:row>
      <xdr:rowOff>551703</xdr:rowOff>
    </xdr:to>
    <xdr:pic>
      <xdr:nvPicPr>
        <xdr:cNvPr id="24" name="Picture 23" descr="Picture"/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0</xdr:row>
      <xdr:rowOff>554878</xdr:rowOff>
    </xdr:to>
    <xdr:pic>
      <xdr:nvPicPr>
        <xdr:cNvPr id="25" name="Picture 24" descr="Picture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611683" cy="5589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160</xdr:rowOff>
    </xdr:to>
    <xdr:pic>
      <xdr:nvPicPr>
        <xdr:cNvPr id="26" name="Picture 2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27" name="Picture 2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28" name="Picture 27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29" name="Picture 28" descr="Picture"/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30" name="Picture 29" descr="Picture"/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31" name="Picture 30" descr="Picture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32" name="Picture 3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33" name="Picture 32" descr="Picture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34" name="Picture 33" descr="Picture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35" name="Picture 34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36" name="Picture 3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598983</xdr:colOff>
      <xdr:row>1</xdr:row>
      <xdr:rowOff>3335</xdr:rowOff>
    </xdr:to>
    <xdr:pic>
      <xdr:nvPicPr>
        <xdr:cNvPr id="38" name="Picture 37" descr="Picture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49708</xdr:colOff>
      <xdr:row>1</xdr:row>
      <xdr:rowOff>3335</xdr:rowOff>
    </xdr:to>
    <xdr:pic>
      <xdr:nvPicPr>
        <xdr:cNvPr id="37" name="Picture 3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1</xdr:row>
      <xdr:rowOff>3600</xdr:rowOff>
    </xdr:to>
    <xdr:pic>
      <xdr:nvPicPr>
        <xdr:cNvPr id="40" name="Picture 39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6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1</xdr:row>
      <xdr:rowOff>3335</xdr:rowOff>
    </xdr:to>
    <xdr:pic>
      <xdr:nvPicPr>
        <xdr:cNvPr id="39" name="Picture 38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1</xdr:row>
      <xdr:rowOff>3335</xdr:rowOff>
    </xdr:to>
    <xdr:pic>
      <xdr:nvPicPr>
        <xdr:cNvPr id="41" name="Picture 40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1</xdr:row>
      <xdr:rowOff>3335</xdr:rowOff>
    </xdr:to>
    <xdr:pic>
      <xdr:nvPicPr>
        <xdr:cNvPr id="42" name="Picture 4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IMP%20FOLDER%20SHUTDOWN%20CONTROL%20ROOM\SHUTDOWN%202025\SHUTDOWN%20APRIL\SHUTDOWN%2009.04.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PROVED SHUTDOWN"/>
      <sheetName val="LOGBOOK FORMAT"/>
      <sheetName val="TRIPPING REPORT"/>
      <sheetName val="SUBSTATION CONTACT"/>
      <sheetName val="AE(TLM)"/>
      <sheetName val="CODES"/>
      <sheetName val="DATA_SUBSTATION"/>
      <sheetName val="Sheet1 (2)"/>
    </sheetNames>
    <sheetDataSet>
      <sheetData sheetId="0"/>
      <sheetData sheetId="1">
        <row r="1">
          <cell r="B1">
            <v>45756</v>
          </cell>
        </row>
      </sheetData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"/>
  <sheetViews>
    <sheetView view="pageBreakPreview" zoomScale="60" zoomScaleNormal="70" workbookViewId="0">
      <selection activeCell="M30" sqref="M30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7" style="321" customWidth="1"/>
    <col min="6" max="6" width="27.85546875" customWidth="1"/>
    <col min="7" max="7" width="15.7109375" customWidth="1"/>
    <col min="8" max="8" width="64.28515625" style="321" customWidth="1"/>
    <col min="9" max="9" width="19.42578125" customWidth="1"/>
    <col min="10" max="10" width="19.5703125" customWidth="1"/>
    <col min="11" max="11" width="17.42578125" customWidth="1"/>
    <col min="12" max="12" width="12" customWidth="1"/>
    <col min="13" max="13" width="56.42578125" style="321" customWidth="1"/>
  </cols>
  <sheetData>
    <row r="1" spans="1:13" ht="43.7" customHeight="1" x14ac:dyDescent="0.25">
      <c r="A1" s="209"/>
      <c r="B1" s="241" t="s">
        <v>417</v>
      </c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3"/>
    </row>
    <row r="2" spans="1:13" ht="42" customHeight="1" x14ac:dyDescent="0.25">
      <c r="A2" s="209" t="s">
        <v>0</v>
      </c>
      <c r="B2" s="240">
        <v>46032</v>
      </c>
      <c r="C2" s="209"/>
      <c r="D2" s="209"/>
      <c r="E2" s="316" t="s">
        <v>987</v>
      </c>
      <c r="F2" s="317"/>
      <c r="G2" s="317"/>
      <c r="H2" s="317"/>
      <c r="I2" s="317"/>
      <c r="J2" s="318"/>
      <c r="K2" s="209"/>
      <c r="L2" s="209"/>
      <c r="M2" s="319"/>
    </row>
    <row r="3" spans="1:13" ht="42" customHeight="1" x14ac:dyDescent="0.25">
      <c r="A3" s="239" t="s">
        <v>1</v>
      </c>
      <c r="B3" s="239" t="s">
        <v>2</v>
      </c>
      <c r="C3" s="239" t="s">
        <v>3</v>
      </c>
      <c r="D3" s="239" t="s">
        <v>2</v>
      </c>
      <c r="E3" s="319"/>
      <c r="F3" s="209"/>
      <c r="G3" s="209"/>
      <c r="H3" s="319"/>
      <c r="I3" s="209"/>
      <c r="J3" s="209"/>
      <c r="K3" s="209"/>
      <c r="L3" s="209"/>
      <c r="M3" s="319"/>
    </row>
    <row r="4" spans="1:13" ht="42" customHeight="1" x14ac:dyDescent="0.25">
      <c r="A4" s="239" t="s">
        <v>4</v>
      </c>
      <c r="B4" s="239" t="s">
        <v>5</v>
      </c>
      <c r="C4" s="239" t="s">
        <v>6</v>
      </c>
      <c r="D4" s="239" t="s">
        <v>7</v>
      </c>
      <c r="E4" s="320" t="s">
        <v>8</v>
      </c>
      <c r="F4" s="239" t="s">
        <v>9</v>
      </c>
      <c r="G4" s="239" t="s">
        <v>10</v>
      </c>
      <c r="H4" s="320" t="s">
        <v>11</v>
      </c>
      <c r="I4" s="239" t="s">
        <v>12</v>
      </c>
      <c r="J4" s="239" t="s">
        <v>13</v>
      </c>
      <c r="K4" s="244" t="s">
        <v>14</v>
      </c>
      <c r="L4" s="243"/>
      <c r="M4" s="320" t="s">
        <v>15</v>
      </c>
    </row>
    <row r="5" spans="1:13" s="335" customFormat="1" ht="60" customHeight="1" x14ac:dyDescent="0.35">
      <c r="A5" s="330">
        <v>1</v>
      </c>
      <c r="B5" s="331">
        <v>46031.637326388889</v>
      </c>
      <c r="C5" s="330" t="s">
        <v>988</v>
      </c>
      <c r="D5" s="330"/>
      <c r="E5" s="322" t="s">
        <v>989</v>
      </c>
      <c r="F5" s="330" t="s">
        <v>990</v>
      </c>
      <c r="G5" s="330" t="s">
        <v>17</v>
      </c>
      <c r="H5" s="322" t="s">
        <v>991</v>
      </c>
      <c r="I5" s="332" t="s">
        <v>992</v>
      </c>
      <c r="J5" s="332" t="s">
        <v>993</v>
      </c>
      <c r="K5" s="333" t="s">
        <v>994</v>
      </c>
      <c r="L5" s="334" t="s">
        <v>995</v>
      </c>
      <c r="M5" s="322" t="s">
        <v>996</v>
      </c>
    </row>
    <row r="6" spans="1:13" s="335" customFormat="1" ht="60" customHeight="1" x14ac:dyDescent="0.35">
      <c r="A6" s="330">
        <f>A5+1</f>
        <v>2</v>
      </c>
      <c r="B6" s="331">
        <v>46030.667916666665</v>
      </c>
      <c r="C6" s="330" t="s">
        <v>997</v>
      </c>
      <c r="D6" s="330" t="s">
        <v>16</v>
      </c>
      <c r="E6" s="322" t="s">
        <v>998</v>
      </c>
      <c r="F6" s="330" t="s">
        <v>958</v>
      </c>
      <c r="G6" s="330" t="s">
        <v>17</v>
      </c>
      <c r="H6" s="322" t="s">
        <v>999</v>
      </c>
      <c r="I6" s="332" t="s">
        <v>1000</v>
      </c>
      <c r="J6" s="332" t="s">
        <v>1001</v>
      </c>
      <c r="K6" s="333" t="s">
        <v>959</v>
      </c>
      <c r="L6" s="334" t="s">
        <v>960</v>
      </c>
      <c r="M6" s="322" t="s">
        <v>16</v>
      </c>
    </row>
    <row r="7" spans="1:13" s="335" customFormat="1" ht="60" customHeight="1" x14ac:dyDescent="0.35">
      <c r="A7" s="330">
        <f t="shared" ref="A7:A29" si="0">A6+1</f>
        <v>3</v>
      </c>
      <c r="B7" s="331">
        <v>46029.680613425924</v>
      </c>
      <c r="C7" s="330" t="s">
        <v>1002</v>
      </c>
      <c r="D7" s="330" t="s">
        <v>18</v>
      </c>
      <c r="E7" s="322" t="s">
        <v>1003</v>
      </c>
      <c r="F7" s="330" t="s">
        <v>60</v>
      </c>
      <c r="G7" s="330" t="s">
        <v>17</v>
      </c>
      <c r="H7" s="322" t="s">
        <v>1004</v>
      </c>
      <c r="I7" s="332" t="s">
        <v>1005</v>
      </c>
      <c r="J7" s="332" t="s">
        <v>1006</v>
      </c>
      <c r="K7" s="333" t="s">
        <v>1007</v>
      </c>
      <c r="L7" s="334" t="s">
        <v>1008</v>
      </c>
      <c r="M7" s="322" t="s">
        <v>1009</v>
      </c>
    </row>
    <row r="8" spans="1:13" s="335" customFormat="1" ht="60" customHeight="1" x14ac:dyDescent="0.35">
      <c r="A8" s="330">
        <f t="shared" si="0"/>
        <v>4</v>
      </c>
      <c r="B8" s="331">
        <v>46031.640694444446</v>
      </c>
      <c r="C8" s="330" t="s">
        <v>1010</v>
      </c>
      <c r="D8" s="330" t="s">
        <v>16</v>
      </c>
      <c r="E8" s="322" t="s">
        <v>1011</v>
      </c>
      <c r="F8" s="330" t="s">
        <v>60</v>
      </c>
      <c r="G8" s="330" t="s">
        <v>17</v>
      </c>
      <c r="H8" s="322" t="s">
        <v>1012</v>
      </c>
      <c r="I8" s="332" t="s">
        <v>1013</v>
      </c>
      <c r="J8" s="332" t="s">
        <v>1014</v>
      </c>
      <c r="K8" s="333" t="s">
        <v>1015</v>
      </c>
      <c r="L8" s="334" t="s">
        <v>1008</v>
      </c>
      <c r="M8" s="322" t="s">
        <v>1016</v>
      </c>
    </row>
    <row r="9" spans="1:13" s="335" customFormat="1" ht="60" customHeight="1" x14ac:dyDescent="0.35">
      <c r="A9" s="330">
        <f t="shared" si="0"/>
        <v>5</v>
      </c>
      <c r="B9" s="331">
        <v>46031.507094907407</v>
      </c>
      <c r="C9" s="330" t="s">
        <v>1017</v>
      </c>
      <c r="D9" s="330"/>
      <c r="E9" s="322" t="s">
        <v>1018</v>
      </c>
      <c r="F9" s="330" t="s">
        <v>1019</v>
      </c>
      <c r="G9" s="330" t="s">
        <v>17</v>
      </c>
      <c r="H9" s="322" t="s">
        <v>1020</v>
      </c>
      <c r="I9" s="332" t="s">
        <v>1021</v>
      </c>
      <c r="J9" s="332" t="s">
        <v>1001</v>
      </c>
      <c r="K9" s="333" t="s">
        <v>961</v>
      </c>
      <c r="L9" s="334" t="s">
        <v>953</v>
      </c>
      <c r="M9" s="322" t="s">
        <v>419</v>
      </c>
    </row>
    <row r="10" spans="1:13" s="335" customFormat="1" ht="60" customHeight="1" x14ac:dyDescent="0.35">
      <c r="A10" s="330">
        <f t="shared" si="0"/>
        <v>6</v>
      </c>
      <c r="B10" s="331">
        <v>46031.508877314816</v>
      </c>
      <c r="C10" s="330" t="s">
        <v>1022</v>
      </c>
      <c r="D10" s="330"/>
      <c r="E10" s="322" t="s">
        <v>1023</v>
      </c>
      <c r="F10" s="330" t="s">
        <v>1024</v>
      </c>
      <c r="G10" s="330" t="s">
        <v>17</v>
      </c>
      <c r="H10" s="322" t="s">
        <v>1020</v>
      </c>
      <c r="I10" s="332" t="s">
        <v>1021</v>
      </c>
      <c r="J10" s="332" t="s">
        <v>1001</v>
      </c>
      <c r="K10" s="333" t="s">
        <v>961</v>
      </c>
      <c r="L10" s="334" t="s">
        <v>953</v>
      </c>
      <c r="M10" s="322" t="s">
        <v>419</v>
      </c>
    </row>
    <row r="11" spans="1:13" s="335" customFormat="1" ht="60" customHeight="1" x14ac:dyDescent="0.35">
      <c r="A11" s="330">
        <f t="shared" si="0"/>
        <v>7</v>
      </c>
      <c r="B11" s="331">
        <v>46029.643321759257</v>
      </c>
      <c r="C11" s="330" t="s">
        <v>1025</v>
      </c>
      <c r="D11" s="330" t="s">
        <v>18</v>
      </c>
      <c r="E11" s="322" t="s">
        <v>1026</v>
      </c>
      <c r="F11" s="330" t="s">
        <v>328</v>
      </c>
      <c r="G11" s="330" t="s">
        <v>17</v>
      </c>
      <c r="H11" s="322" t="s">
        <v>1027</v>
      </c>
      <c r="I11" s="332" t="s">
        <v>1028</v>
      </c>
      <c r="J11" s="332" t="s">
        <v>1001</v>
      </c>
      <c r="K11" s="333" t="s">
        <v>20</v>
      </c>
      <c r="L11" s="334" t="s">
        <v>21</v>
      </c>
      <c r="M11" s="322" t="s">
        <v>1029</v>
      </c>
    </row>
    <row r="12" spans="1:13" s="335" customFormat="1" ht="60" customHeight="1" x14ac:dyDescent="0.35">
      <c r="A12" s="330">
        <f t="shared" si="0"/>
        <v>8</v>
      </c>
      <c r="B12" s="331">
        <v>46031.457858796297</v>
      </c>
      <c r="C12" s="330" t="s">
        <v>1030</v>
      </c>
      <c r="D12" s="330" t="s">
        <v>18</v>
      </c>
      <c r="E12" s="322" t="s">
        <v>1031</v>
      </c>
      <c r="F12" s="330" t="s">
        <v>328</v>
      </c>
      <c r="G12" s="330" t="s">
        <v>17</v>
      </c>
      <c r="H12" s="322" t="s">
        <v>1032</v>
      </c>
      <c r="I12" s="332" t="s">
        <v>1013</v>
      </c>
      <c r="J12" s="332" t="s">
        <v>1033</v>
      </c>
      <c r="K12" s="333" t="s">
        <v>962</v>
      </c>
      <c r="L12" s="334" t="s">
        <v>963</v>
      </c>
      <c r="M12" s="322" t="s">
        <v>419</v>
      </c>
    </row>
    <row r="13" spans="1:13" s="335" customFormat="1" ht="60" customHeight="1" x14ac:dyDescent="0.35">
      <c r="A13" s="330">
        <f t="shared" si="0"/>
        <v>9</v>
      </c>
      <c r="B13" s="331">
        <v>46023.642534722225</v>
      </c>
      <c r="C13" s="330" t="s">
        <v>1034</v>
      </c>
      <c r="D13" s="330" t="s">
        <v>16</v>
      </c>
      <c r="E13" s="322" t="s">
        <v>1035</v>
      </c>
      <c r="F13" s="330" t="s">
        <v>40</v>
      </c>
      <c r="G13" s="330" t="s">
        <v>17</v>
      </c>
      <c r="H13" s="322" t="s">
        <v>1036</v>
      </c>
      <c r="I13" s="332" t="s">
        <v>1037</v>
      </c>
      <c r="J13" s="332" t="s">
        <v>1038</v>
      </c>
      <c r="K13" s="333" t="s">
        <v>372</v>
      </c>
      <c r="L13" s="334" t="s">
        <v>39</v>
      </c>
      <c r="M13" s="322" t="s">
        <v>967</v>
      </c>
    </row>
    <row r="14" spans="1:13" s="335" customFormat="1" ht="60" customHeight="1" x14ac:dyDescent="0.35">
      <c r="A14" s="330">
        <f t="shared" si="0"/>
        <v>10</v>
      </c>
      <c r="B14" s="331">
        <v>45961.750509259262</v>
      </c>
      <c r="C14" s="330" t="s">
        <v>1039</v>
      </c>
      <c r="D14" s="330" t="s">
        <v>16</v>
      </c>
      <c r="E14" s="322" t="s">
        <v>968</v>
      </c>
      <c r="F14" s="330" t="s">
        <v>40</v>
      </c>
      <c r="G14" s="330" t="s">
        <v>17</v>
      </c>
      <c r="H14" s="322" t="s">
        <v>965</v>
      </c>
      <c r="I14" s="332" t="s">
        <v>1040</v>
      </c>
      <c r="J14" s="332" t="s">
        <v>1006</v>
      </c>
      <c r="K14" s="333" t="s">
        <v>1041</v>
      </c>
      <c r="L14" s="334" t="s">
        <v>44</v>
      </c>
      <c r="M14" s="322" t="s">
        <v>16</v>
      </c>
    </row>
    <row r="15" spans="1:13" s="335" customFormat="1" ht="60" customHeight="1" x14ac:dyDescent="0.35">
      <c r="A15" s="330">
        <f t="shared" si="0"/>
        <v>11</v>
      </c>
      <c r="B15" s="331">
        <v>45961.72996527778</v>
      </c>
      <c r="C15" s="330" t="s">
        <v>1042</v>
      </c>
      <c r="D15" s="330" t="s">
        <v>16</v>
      </c>
      <c r="E15" s="322" t="s">
        <v>964</v>
      </c>
      <c r="F15" s="330" t="s">
        <v>40</v>
      </c>
      <c r="G15" s="330" t="s">
        <v>418</v>
      </c>
      <c r="H15" s="322" t="s">
        <v>965</v>
      </c>
      <c r="I15" s="332" t="s">
        <v>1040</v>
      </c>
      <c r="J15" s="332" t="s">
        <v>1006</v>
      </c>
      <c r="K15" s="333" t="s">
        <v>966</v>
      </c>
      <c r="L15" s="334" t="s">
        <v>44</v>
      </c>
      <c r="M15" s="322" t="s">
        <v>16</v>
      </c>
    </row>
    <row r="16" spans="1:13" s="335" customFormat="1" ht="60" customHeight="1" x14ac:dyDescent="0.35">
      <c r="A16" s="330">
        <f t="shared" si="0"/>
        <v>12</v>
      </c>
      <c r="B16" s="331">
        <v>46031.65425925926</v>
      </c>
      <c r="C16" s="330" t="s">
        <v>1043</v>
      </c>
      <c r="D16" s="330"/>
      <c r="E16" s="322" t="s">
        <v>1044</v>
      </c>
      <c r="F16" s="330" t="s">
        <v>1045</v>
      </c>
      <c r="G16" s="330" t="s">
        <v>17</v>
      </c>
      <c r="H16" s="322" t="s">
        <v>1046</v>
      </c>
      <c r="I16" s="332" t="s">
        <v>1047</v>
      </c>
      <c r="J16" s="332" t="s">
        <v>1001</v>
      </c>
      <c r="K16" s="333" t="s">
        <v>1048</v>
      </c>
      <c r="L16" s="334" t="s">
        <v>1049</v>
      </c>
      <c r="M16" s="322" t="s">
        <v>16</v>
      </c>
    </row>
    <row r="17" spans="1:13" s="335" customFormat="1" ht="60" customHeight="1" x14ac:dyDescent="0.35">
      <c r="A17" s="330">
        <f t="shared" si="0"/>
        <v>13</v>
      </c>
      <c r="B17" s="331">
        <v>46031.571458333332</v>
      </c>
      <c r="C17" s="330" t="s">
        <v>1050</v>
      </c>
      <c r="D17" s="330"/>
      <c r="E17" s="322" t="s">
        <v>1051</v>
      </c>
      <c r="F17" s="330" t="s">
        <v>1052</v>
      </c>
      <c r="G17" s="330" t="s">
        <v>17</v>
      </c>
      <c r="H17" s="322" t="s">
        <v>1053</v>
      </c>
      <c r="I17" s="332" t="s">
        <v>992</v>
      </c>
      <c r="J17" s="332" t="s">
        <v>1006</v>
      </c>
      <c r="K17" s="333" t="s">
        <v>1054</v>
      </c>
      <c r="L17" s="334" t="s">
        <v>1055</v>
      </c>
      <c r="M17" s="322" t="s">
        <v>419</v>
      </c>
    </row>
    <row r="18" spans="1:13" s="335" customFormat="1" ht="60" customHeight="1" x14ac:dyDescent="0.35">
      <c r="A18" s="330">
        <f t="shared" si="0"/>
        <v>14</v>
      </c>
      <c r="B18" s="331">
        <v>46031.474062499998</v>
      </c>
      <c r="C18" s="330" t="s">
        <v>1056</v>
      </c>
      <c r="D18" s="330"/>
      <c r="E18" s="322" t="s">
        <v>1057</v>
      </c>
      <c r="F18" s="330" t="s">
        <v>1058</v>
      </c>
      <c r="G18" s="330" t="s">
        <v>17</v>
      </c>
      <c r="H18" s="322" t="s">
        <v>1059</v>
      </c>
      <c r="I18" s="332" t="s">
        <v>1047</v>
      </c>
      <c r="J18" s="332" t="s">
        <v>1006</v>
      </c>
      <c r="K18" s="333" t="s">
        <v>1060</v>
      </c>
      <c r="L18" s="334" t="s">
        <v>1061</v>
      </c>
      <c r="M18" s="322" t="s">
        <v>1062</v>
      </c>
    </row>
    <row r="19" spans="1:13" s="335" customFormat="1" ht="60" customHeight="1" x14ac:dyDescent="0.35">
      <c r="A19" s="330">
        <f t="shared" si="0"/>
        <v>15</v>
      </c>
      <c r="B19" s="331">
        <v>46031.574490740742</v>
      </c>
      <c r="C19" s="330" t="s">
        <v>1063</v>
      </c>
      <c r="D19" s="330"/>
      <c r="E19" s="322" t="s">
        <v>1064</v>
      </c>
      <c r="F19" s="330" t="s">
        <v>1065</v>
      </c>
      <c r="G19" s="330" t="s">
        <v>17</v>
      </c>
      <c r="H19" s="322" t="s">
        <v>1066</v>
      </c>
      <c r="I19" s="332" t="s">
        <v>1021</v>
      </c>
      <c r="J19" s="332" t="s">
        <v>1001</v>
      </c>
      <c r="K19" s="333" t="s">
        <v>971</v>
      </c>
      <c r="L19" s="334" t="s">
        <v>951</v>
      </c>
      <c r="M19" s="322" t="s">
        <v>416</v>
      </c>
    </row>
    <row r="20" spans="1:13" s="335" customFormat="1" ht="60" customHeight="1" x14ac:dyDescent="0.35">
      <c r="A20" s="330">
        <f t="shared" si="0"/>
        <v>16</v>
      </c>
      <c r="B20" s="331">
        <v>46031.59684027778</v>
      </c>
      <c r="C20" s="330" t="s">
        <v>1067</v>
      </c>
      <c r="D20" s="330"/>
      <c r="E20" s="322" t="s">
        <v>1068</v>
      </c>
      <c r="F20" s="330" t="s">
        <v>45</v>
      </c>
      <c r="G20" s="330" t="s">
        <v>418</v>
      </c>
      <c r="H20" s="322" t="s">
        <v>1069</v>
      </c>
      <c r="I20" s="332" t="s">
        <v>1070</v>
      </c>
      <c r="J20" s="332" t="s">
        <v>993</v>
      </c>
      <c r="K20" s="333" t="s">
        <v>1071</v>
      </c>
      <c r="L20" s="334" t="s">
        <v>972</v>
      </c>
      <c r="M20" s="322" t="s">
        <v>1072</v>
      </c>
    </row>
    <row r="21" spans="1:13" s="335" customFormat="1" ht="60" customHeight="1" x14ac:dyDescent="0.35">
      <c r="A21" s="330">
        <f t="shared" si="0"/>
        <v>17</v>
      </c>
      <c r="B21" s="331">
        <v>46031.634166666663</v>
      </c>
      <c r="C21" s="330" t="s">
        <v>1073</v>
      </c>
      <c r="D21" s="330"/>
      <c r="E21" s="322" t="s">
        <v>1074</v>
      </c>
      <c r="F21" s="330" t="s">
        <v>1075</v>
      </c>
      <c r="G21" s="330" t="s">
        <v>17</v>
      </c>
      <c r="H21" s="322" t="s">
        <v>1076</v>
      </c>
      <c r="I21" s="332" t="s">
        <v>1047</v>
      </c>
      <c r="J21" s="332" t="s">
        <v>1001</v>
      </c>
      <c r="K21" s="333" t="s">
        <v>969</v>
      </c>
      <c r="L21" s="334" t="s">
        <v>970</v>
      </c>
      <c r="M21" s="322" t="s">
        <v>416</v>
      </c>
    </row>
    <row r="22" spans="1:13" s="335" customFormat="1" ht="60" customHeight="1" x14ac:dyDescent="0.35">
      <c r="A22" s="330">
        <f t="shared" si="0"/>
        <v>18</v>
      </c>
      <c r="B22" s="331">
        <v>46016.785428240742</v>
      </c>
      <c r="C22" s="330" t="s">
        <v>973</v>
      </c>
      <c r="D22" s="330" t="s">
        <v>18</v>
      </c>
      <c r="E22" s="322" t="s">
        <v>974</v>
      </c>
      <c r="F22" s="330" t="s">
        <v>975</v>
      </c>
      <c r="G22" s="330" t="s">
        <v>17</v>
      </c>
      <c r="H22" s="322" t="s">
        <v>976</v>
      </c>
      <c r="I22" s="332" t="s">
        <v>977</v>
      </c>
      <c r="J22" s="332" t="s">
        <v>978</v>
      </c>
      <c r="K22" s="333" t="s">
        <v>20</v>
      </c>
      <c r="L22" s="334" t="s">
        <v>21</v>
      </c>
      <c r="M22" s="322" t="s">
        <v>952</v>
      </c>
    </row>
    <row r="23" spans="1:13" s="335" customFormat="1" ht="60" customHeight="1" x14ac:dyDescent="0.35">
      <c r="A23" s="330">
        <f t="shared" si="0"/>
        <v>19</v>
      </c>
      <c r="B23" s="331">
        <v>46001.742662037039</v>
      </c>
      <c r="C23" s="330" t="s">
        <v>1077</v>
      </c>
      <c r="D23" s="330"/>
      <c r="E23" s="322" t="s">
        <v>1078</v>
      </c>
      <c r="F23" s="330" t="s">
        <v>975</v>
      </c>
      <c r="G23" s="330" t="s">
        <v>17</v>
      </c>
      <c r="H23" s="322" t="s">
        <v>1079</v>
      </c>
      <c r="I23" s="332" t="s">
        <v>1013</v>
      </c>
      <c r="J23" s="332" t="s">
        <v>1006</v>
      </c>
      <c r="K23" s="333" t="s">
        <v>1080</v>
      </c>
      <c r="L23" s="334" t="s">
        <v>1081</v>
      </c>
      <c r="M23" s="322" t="s">
        <v>1082</v>
      </c>
    </row>
    <row r="24" spans="1:13" s="335" customFormat="1" ht="60" customHeight="1" x14ac:dyDescent="0.35">
      <c r="A24" s="330">
        <f t="shared" si="0"/>
        <v>20</v>
      </c>
      <c r="B24" s="331">
        <v>46031.510879629626</v>
      </c>
      <c r="C24" s="330" t="s">
        <v>1083</v>
      </c>
      <c r="D24" s="330"/>
      <c r="E24" s="322" t="s">
        <v>1023</v>
      </c>
      <c r="F24" s="330" t="s">
        <v>1084</v>
      </c>
      <c r="G24" s="330" t="s">
        <v>17</v>
      </c>
      <c r="H24" s="322" t="s">
        <v>1020</v>
      </c>
      <c r="I24" s="332" t="s">
        <v>1021</v>
      </c>
      <c r="J24" s="332" t="s">
        <v>1001</v>
      </c>
      <c r="K24" s="333" t="s">
        <v>961</v>
      </c>
      <c r="L24" s="334" t="s">
        <v>953</v>
      </c>
      <c r="M24" s="322" t="s">
        <v>419</v>
      </c>
    </row>
    <row r="25" spans="1:13" s="335" customFormat="1" ht="60" customHeight="1" x14ac:dyDescent="0.35">
      <c r="A25" s="330">
        <f t="shared" si="0"/>
        <v>21</v>
      </c>
      <c r="B25" s="331">
        <v>46031.66070601852</v>
      </c>
      <c r="C25" s="330" t="s">
        <v>1085</v>
      </c>
      <c r="D25" s="330"/>
      <c r="E25" s="322" t="s">
        <v>1086</v>
      </c>
      <c r="F25" s="330" t="s">
        <v>1087</v>
      </c>
      <c r="G25" s="330" t="s">
        <v>17</v>
      </c>
      <c r="H25" s="322" t="s">
        <v>1088</v>
      </c>
      <c r="I25" s="332" t="s">
        <v>1047</v>
      </c>
      <c r="J25" s="332" t="s">
        <v>1001</v>
      </c>
      <c r="K25" s="333" t="s">
        <v>1089</v>
      </c>
      <c r="L25" s="334" t="s">
        <v>1090</v>
      </c>
      <c r="M25" s="322" t="s">
        <v>419</v>
      </c>
    </row>
    <row r="26" spans="1:13" s="335" customFormat="1" ht="60" customHeight="1" x14ac:dyDescent="0.35">
      <c r="A26" s="336">
        <f t="shared" si="0"/>
        <v>22</v>
      </c>
      <c r="B26" s="337">
        <v>46003.541168981479</v>
      </c>
      <c r="C26" s="336" t="s">
        <v>979</v>
      </c>
      <c r="D26" s="336" t="s">
        <v>16</v>
      </c>
      <c r="E26" s="323" t="s">
        <v>980</v>
      </c>
      <c r="F26" s="336" t="s">
        <v>954</v>
      </c>
      <c r="G26" s="336" t="s">
        <v>17</v>
      </c>
      <c r="H26" s="323" t="s">
        <v>981</v>
      </c>
      <c r="I26" s="338" t="s">
        <v>982</v>
      </c>
      <c r="J26" s="338" t="s">
        <v>983</v>
      </c>
      <c r="K26" s="339" t="s">
        <v>984</v>
      </c>
      <c r="L26" s="340" t="s">
        <v>397</v>
      </c>
      <c r="M26" s="323" t="s">
        <v>16</v>
      </c>
    </row>
    <row r="27" spans="1:13" s="335" customFormat="1" ht="60" customHeight="1" x14ac:dyDescent="0.35">
      <c r="A27" s="330">
        <f t="shared" si="0"/>
        <v>23</v>
      </c>
      <c r="B27" s="341"/>
      <c r="C27" s="342"/>
      <c r="D27" s="342"/>
      <c r="E27" s="324" t="s">
        <v>1091</v>
      </c>
      <c r="F27" s="325" t="s">
        <v>1092</v>
      </c>
      <c r="G27" s="342"/>
      <c r="H27" s="324" t="s">
        <v>1093</v>
      </c>
      <c r="I27" s="325" t="s">
        <v>1094</v>
      </c>
      <c r="J27" s="325" t="s">
        <v>572</v>
      </c>
      <c r="K27" s="325" t="s">
        <v>1094</v>
      </c>
      <c r="L27" s="325" t="s">
        <v>1095</v>
      </c>
      <c r="M27" s="326" t="s">
        <v>416</v>
      </c>
    </row>
    <row r="28" spans="1:13" s="335" customFormat="1" ht="60" customHeight="1" x14ac:dyDescent="0.35">
      <c r="A28" s="336">
        <f t="shared" si="0"/>
        <v>24</v>
      </c>
      <c r="B28" s="341"/>
      <c r="C28" s="342"/>
      <c r="D28" s="342"/>
      <c r="E28" s="324" t="s">
        <v>1096</v>
      </c>
      <c r="F28" s="325" t="s">
        <v>985</v>
      </c>
      <c r="G28" s="342"/>
      <c r="H28" s="324" t="s">
        <v>1097</v>
      </c>
      <c r="I28" s="325" t="s">
        <v>1094</v>
      </c>
      <c r="J28" s="325" t="s">
        <v>1098</v>
      </c>
      <c r="K28" s="325" t="s">
        <v>1094</v>
      </c>
      <c r="L28" s="325" t="s">
        <v>1095</v>
      </c>
      <c r="M28" s="326" t="s">
        <v>1099</v>
      </c>
    </row>
    <row r="29" spans="1:13" s="335" customFormat="1" ht="60" customHeight="1" x14ac:dyDescent="0.35">
      <c r="A29" s="330">
        <f t="shared" si="0"/>
        <v>25</v>
      </c>
      <c r="B29" s="341"/>
      <c r="C29" s="342"/>
      <c r="D29" s="342"/>
      <c r="E29" s="324" t="s">
        <v>1100</v>
      </c>
      <c r="F29" s="325" t="s">
        <v>985</v>
      </c>
      <c r="G29" s="342"/>
      <c r="H29" s="324" t="s">
        <v>1101</v>
      </c>
      <c r="I29" s="325" t="s">
        <v>1094</v>
      </c>
      <c r="J29" s="325" t="s">
        <v>572</v>
      </c>
      <c r="K29" s="325" t="s">
        <v>1094</v>
      </c>
      <c r="L29" s="325" t="s">
        <v>1095</v>
      </c>
      <c r="M29" s="326" t="s">
        <v>1102</v>
      </c>
    </row>
    <row r="30" spans="1:13" s="335" customFormat="1" ht="60" customHeight="1" x14ac:dyDescent="0.35">
      <c r="A30" s="341"/>
      <c r="B30" s="341"/>
      <c r="C30" s="342"/>
      <c r="D30" s="342"/>
      <c r="E30" s="327"/>
      <c r="F30" s="342"/>
      <c r="G30" s="342"/>
      <c r="H30" s="327"/>
      <c r="I30" s="342"/>
      <c r="J30" s="342"/>
      <c r="K30" s="342"/>
      <c r="L30" s="342"/>
    </row>
    <row r="31" spans="1:13" s="335" customFormat="1" ht="60" customHeight="1" x14ac:dyDescent="0.35">
      <c r="A31" s="341"/>
      <c r="B31" s="341"/>
      <c r="C31" s="341"/>
      <c r="D31" s="341"/>
      <c r="E31" s="329"/>
      <c r="F31" s="341"/>
      <c r="G31" s="341"/>
      <c r="H31" s="329"/>
      <c r="I31" s="341"/>
      <c r="J31" s="341"/>
      <c r="K31" s="341"/>
      <c r="L31" s="341"/>
      <c r="M31" s="329"/>
    </row>
    <row r="32" spans="1:13" s="335" customFormat="1" ht="60" customHeight="1" x14ac:dyDescent="0.35">
      <c r="A32" s="341"/>
      <c r="B32" s="341"/>
      <c r="C32" s="341"/>
      <c r="D32" s="341"/>
      <c r="E32" s="329"/>
      <c r="F32" s="341"/>
      <c r="G32" s="341"/>
      <c r="H32" s="329"/>
      <c r="I32" s="341"/>
      <c r="J32" s="341"/>
      <c r="K32" s="341"/>
      <c r="L32" s="341"/>
      <c r="M32" s="328" t="s">
        <v>986</v>
      </c>
    </row>
  </sheetData>
  <mergeCells count="3">
    <mergeCell ref="B1:M1"/>
    <mergeCell ref="K4:L4"/>
    <mergeCell ref="E2:J2"/>
  </mergeCells>
  <pageMargins left="0.70866141732283472" right="0.70866141732283472" top="0.74803149606299213" bottom="0.74803149606299213" header="0.31496062992125984" footer="0.31496062992125984"/>
  <pageSetup scale="34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869"/>
  <sheetViews>
    <sheetView tabSelected="1" view="pageBreakPreview" topLeftCell="B1" zoomScale="37" zoomScaleNormal="40" zoomScaleSheetLayoutView="37" workbookViewId="0">
      <pane ySplit="2" topLeftCell="A30" activePane="bottomLeft" state="frozen"/>
      <selection pane="bottomLeft" activeCell="J31" sqref="J31"/>
    </sheetView>
  </sheetViews>
  <sheetFormatPr defaultRowHeight="92.25" x14ac:dyDescent="0.25"/>
  <cols>
    <col min="1" max="1" width="8.7109375" style="28" customWidth="1"/>
    <col min="2" max="2" width="150.7109375" style="29" customWidth="1"/>
    <col min="3" max="3" width="45.7109375" style="30" customWidth="1"/>
    <col min="4" max="4" width="30.7109375" style="31" customWidth="1"/>
    <col min="5" max="5" width="35.7109375" style="43" customWidth="1"/>
    <col min="6" max="6" width="35.7109375" style="32" customWidth="1"/>
    <col min="7" max="8" width="45.7109375" style="33" customWidth="1"/>
    <col min="9" max="9" width="7.28515625" style="34" customWidth="1"/>
    <col min="10" max="10" width="85.7109375" style="35" customWidth="1"/>
    <col min="11" max="11" width="35.7109375" style="35" customWidth="1"/>
    <col min="12" max="12" width="35.7109375" style="45" customWidth="1"/>
    <col min="13" max="13" width="35.7109375" style="25" customWidth="1"/>
    <col min="14" max="14" width="50.5703125" style="26" customWidth="1"/>
    <col min="15" max="15" width="29.5703125" style="50" customWidth="1"/>
    <col min="16" max="16" width="30.140625" style="50" customWidth="1"/>
    <col min="17" max="16384" width="9.140625" style="27"/>
  </cols>
  <sheetData>
    <row r="1" spans="1:17" s="5" customFormat="1" ht="75" customHeight="1" x14ac:dyDescent="0.25">
      <c r="A1" s="1"/>
      <c r="B1" s="97">
        <f>+'APPROVED SHUTDOWN'!B2</f>
        <v>46032</v>
      </c>
      <c r="C1" s="2"/>
      <c r="D1" s="245" t="s">
        <v>47</v>
      </c>
      <c r="E1" s="246"/>
      <c r="F1" s="247"/>
      <c r="G1" s="248" t="s">
        <v>48</v>
      </c>
      <c r="H1" s="248"/>
      <c r="I1" s="3"/>
      <c r="J1" s="4"/>
      <c r="K1" s="249" t="s">
        <v>49</v>
      </c>
      <c r="L1" s="249"/>
      <c r="M1" s="249"/>
      <c r="N1" s="6"/>
      <c r="O1" s="48"/>
      <c r="P1" s="48"/>
    </row>
    <row r="2" spans="1:17" s="6" customFormat="1" ht="86.25" customHeight="1" x14ac:dyDescent="0.25">
      <c r="B2" s="7" t="s">
        <v>8</v>
      </c>
      <c r="C2" s="4" t="s">
        <v>9</v>
      </c>
      <c r="D2" s="8" t="s">
        <v>50</v>
      </c>
      <c r="E2" s="9" t="s">
        <v>51</v>
      </c>
      <c r="F2" s="10" t="s">
        <v>52</v>
      </c>
      <c r="G2" s="11" t="s">
        <v>53</v>
      </c>
      <c r="H2" s="11" t="s">
        <v>54</v>
      </c>
      <c r="I2" s="4"/>
      <c r="J2" s="4" t="s">
        <v>55</v>
      </c>
      <c r="K2" s="2" t="s">
        <v>56</v>
      </c>
      <c r="L2" s="12" t="s">
        <v>57</v>
      </c>
      <c r="M2" s="10" t="s">
        <v>52</v>
      </c>
      <c r="N2" s="6" t="s">
        <v>15</v>
      </c>
      <c r="O2" s="49" t="s">
        <v>58</v>
      </c>
      <c r="P2" s="49" t="s">
        <v>59</v>
      </c>
      <c r="Q2" s="47"/>
    </row>
    <row r="3" spans="1:17" s="21" customFormat="1" x14ac:dyDescent="0.25">
      <c r="A3" s="13"/>
      <c r="B3" s="14"/>
      <c r="C3" s="15"/>
      <c r="D3" s="16"/>
      <c r="E3" s="41"/>
      <c r="F3" s="17"/>
      <c r="G3" s="18"/>
      <c r="H3" s="18"/>
      <c r="I3" s="19"/>
      <c r="J3" s="20"/>
      <c r="K3" s="20"/>
      <c r="L3" s="44"/>
      <c r="M3" s="10"/>
      <c r="N3" s="6"/>
      <c r="O3" s="49"/>
      <c r="P3" s="49"/>
      <c r="Q3" s="5"/>
    </row>
    <row r="4" spans="1:17" s="26" customFormat="1" ht="240" customHeight="1" x14ac:dyDescent="0.25">
      <c r="A4" s="22">
        <f>+'APPROVED SHUTDOWN'!A19</f>
        <v>15</v>
      </c>
      <c r="B4" s="23" t="str">
        <f>'APPROVED SHUTDOWN'!E19</f>
        <v>132KV_132kV rajmilan - Janakpur Ckt</v>
      </c>
      <c r="C4" s="15" t="str">
        <f>+'APPROVED SHUTDOWN'!F19</f>
        <v>132KV_RAJMILAN</v>
      </c>
      <c r="D4" s="16" t="str">
        <f>+'APPROVED SHUTDOWN'!G19</f>
        <v>NON-OCCM-MP</v>
      </c>
      <c r="E4" s="41">
        <v>434</v>
      </c>
      <c r="F4" s="24">
        <v>0.37013888888888885</v>
      </c>
      <c r="G4" s="18">
        <v>0.3743055555555555</v>
      </c>
      <c r="H4" s="18">
        <v>0.76736111111111116</v>
      </c>
      <c r="I4" s="19">
        <f>A4</f>
        <v>15</v>
      </c>
      <c r="J4" s="20" t="str">
        <f>+'APPROVED SHUTDOWN'!H19</f>
        <v>disc string replacement</v>
      </c>
      <c r="K4" s="36">
        <v>0.74722222222222223</v>
      </c>
      <c r="L4" s="45">
        <v>457</v>
      </c>
      <c r="M4" s="37">
        <v>0.7597222222222223</v>
      </c>
      <c r="N4" s="343" t="str">
        <f>'APPROVED SHUTDOWN'!M19</f>
        <v>ok</v>
      </c>
      <c r="O4" s="49" t="str">
        <f>'APPROVED SHUTDOWN'!I19</f>
        <v>10-01-2026 08:00:00</v>
      </c>
      <c r="P4" s="49" t="str">
        <f>'APPROVED SHUTDOWN'!J19</f>
        <v>10-01-2026 17:00:00</v>
      </c>
      <c r="Q4" s="6"/>
    </row>
    <row r="5" spans="1:17" s="26" customFormat="1" ht="240" customHeight="1" x14ac:dyDescent="0.25">
      <c r="A5" s="22">
        <f>+'APPROVED SHUTDOWN'!A30</f>
        <v>0</v>
      </c>
      <c r="B5" s="23" t="s">
        <v>1107</v>
      </c>
      <c r="C5" s="15">
        <f>+'APPROVED SHUTDOWN'!F30</f>
        <v>0</v>
      </c>
      <c r="D5" s="16">
        <f>+'APPROVED SHUTDOWN'!G30</f>
        <v>0</v>
      </c>
      <c r="E5" s="41">
        <v>436</v>
      </c>
      <c r="F5" s="24">
        <v>0.4152777777777778</v>
      </c>
      <c r="G5" s="18">
        <v>0.4284722222222222</v>
      </c>
      <c r="H5" s="18">
        <v>0.62222222222222223</v>
      </c>
      <c r="I5" s="19">
        <f>A5</f>
        <v>0</v>
      </c>
      <c r="J5" s="20">
        <f>+'APPROVED SHUTDOWN'!H30</f>
        <v>0</v>
      </c>
      <c r="K5" s="36">
        <v>0.60416666666666663</v>
      </c>
      <c r="L5" s="45">
        <v>448</v>
      </c>
      <c r="M5" s="37">
        <v>0.61875000000000002</v>
      </c>
      <c r="N5" s="6"/>
      <c r="O5" s="49">
        <f>'APPROVED SHUTDOWN'!I30</f>
        <v>0</v>
      </c>
      <c r="P5" s="49">
        <f>'APPROVED SHUTDOWN'!J30</f>
        <v>0</v>
      </c>
      <c r="Q5" s="6"/>
    </row>
    <row r="6" spans="1:17" s="26" customFormat="1" ht="270.75" customHeight="1" x14ac:dyDescent="0.25">
      <c r="A6" s="22">
        <f>+'APPROVED SHUTDOWN'!A18</f>
        <v>14</v>
      </c>
      <c r="B6" s="23" t="str">
        <f>'APPROVED SHUTDOWN'!E18</f>
        <v>132KV_132kV Mandla Bichhiya CKT- II Line</v>
      </c>
      <c r="C6" s="15" t="str">
        <f>+'APPROVED SHUTDOWN'!F18</f>
        <v>132KV_MANDLA</v>
      </c>
      <c r="D6" s="16" t="str">
        <f>+'APPROVED SHUTDOWN'!G18</f>
        <v>NON-OCCM-MP</v>
      </c>
      <c r="E6" s="41">
        <v>437</v>
      </c>
      <c r="F6" s="24">
        <v>0.42291666666666666</v>
      </c>
      <c r="G6" s="18">
        <v>0.42638888888888887</v>
      </c>
      <c r="H6" s="18">
        <v>0.75347222222222221</v>
      </c>
      <c r="I6" s="19">
        <f>A6</f>
        <v>14</v>
      </c>
      <c r="J6" s="20" t="str">
        <f>+'APPROVED SHUTDOWN'!H18</f>
        <v>Jumper Cone Tightening Work</v>
      </c>
      <c r="K6" s="36">
        <v>0.73611111111111116</v>
      </c>
      <c r="L6" s="45">
        <v>454</v>
      </c>
      <c r="M6" s="37">
        <v>0.74375000000000002</v>
      </c>
      <c r="N6" s="343" t="str">
        <f>'APPROVED SHUTDOWN'!M18</f>
        <v>o&amp; shall be informed</v>
      </c>
      <c r="O6" s="49" t="str">
        <f>'APPROVED SHUTDOWN'!I18</f>
        <v>10-01-2026 10:00:00</v>
      </c>
      <c r="P6" s="49" t="str">
        <f>'APPROVED SHUTDOWN'!J18</f>
        <v>10-01-2026 18:00:00</v>
      </c>
      <c r="Q6" s="6"/>
    </row>
    <row r="7" spans="1:17" s="26" customFormat="1" ht="268.5" customHeight="1" x14ac:dyDescent="0.25">
      <c r="A7" s="22">
        <f>+'APPROVED SHUTDOWN'!A23</f>
        <v>19</v>
      </c>
      <c r="B7" s="23" t="str">
        <f>'APPROVED SHUTDOWN'!E23</f>
        <v>220KV_220KV SARNI-ITARSI-4</v>
      </c>
      <c r="C7" s="15" t="str">
        <f>+'APPROVED SHUTDOWN'!F23</f>
        <v>400KV_SATPURA TPS</v>
      </c>
      <c r="D7" s="16" t="str">
        <f>+'APPROVED SHUTDOWN'!G23</f>
        <v>NON-OCCM-MP</v>
      </c>
      <c r="E7" s="41">
        <v>438</v>
      </c>
      <c r="F7" s="24">
        <v>0.44444444444444442</v>
      </c>
      <c r="G7" s="18">
        <v>0.45069444444444445</v>
      </c>
      <c r="H7" s="18">
        <v>0.62291666666666667</v>
      </c>
      <c r="I7" s="19">
        <f>A7</f>
        <v>19</v>
      </c>
      <c r="J7" s="20" t="str">
        <f>+'APPROVED SHUTDOWN'!H23</f>
        <v>ROUTINE TESTING,RELAY TESTING, GEN CHECKING &amp; MAIN</v>
      </c>
      <c r="K7" s="36">
        <v>0.59444444444444444</v>
      </c>
      <c r="L7" s="45">
        <v>446</v>
      </c>
      <c r="M7" s="37">
        <v>0.59583333333333333</v>
      </c>
      <c r="N7" s="343" t="str">
        <f>'APPROVED SHUTDOWN'!M23</f>
        <v>RTS consent required</v>
      </c>
      <c r="O7" s="49" t="str">
        <f>'APPROVED SHUTDOWN'!I23</f>
        <v>10-01-2026 09:00:00</v>
      </c>
      <c r="P7" s="49" t="str">
        <f>'APPROVED SHUTDOWN'!J23</f>
        <v>10-01-2026 18:00:00</v>
      </c>
      <c r="Q7" s="6"/>
    </row>
    <row r="8" spans="1:17" s="26" customFormat="1" ht="240" customHeight="1" x14ac:dyDescent="0.25">
      <c r="A8" s="22">
        <f>+'APPROVED SHUTDOWN'!A16</f>
        <v>12</v>
      </c>
      <c r="B8" s="23" t="str">
        <f>'APPROVED SHUTDOWN'!E16</f>
        <v>132KV_132 KV Mauganjâ¿¿Katra DCSS line</v>
      </c>
      <c r="C8" s="15" t="str">
        <f>+'APPROVED SHUTDOWN'!F16</f>
        <v>132KV_KATRA</v>
      </c>
      <c r="D8" s="16" t="str">
        <f>+'APPROVED SHUTDOWN'!G16</f>
        <v>NON-OCCM-MP</v>
      </c>
      <c r="E8" s="41">
        <v>439</v>
      </c>
      <c r="F8" s="24">
        <v>0.45902777777777781</v>
      </c>
      <c r="G8" s="18">
        <v>0.46180555555555558</v>
      </c>
      <c r="H8" s="18"/>
      <c r="I8" s="19">
        <f>A8</f>
        <v>12</v>
      </c>
      <c r="J8" s="20" t="str">
        <f>+'APPROVED SHUTDOWN'!H16</f>
        <v>flashover disc insulator string replacement at var</v>
      </c>
      <c r="K8" s="36">
        <v>0.72152777777777777</v>
      </c>
      <c r="L8" s="45">
        <v>451</v>
      </c>
      <c r="M8" s="37">
        <v>0.72638888888888886</v>
      </c>
      <c r="N8" s="343" t="str">
        <f>'APPROVED SHUTDOWN'!M16</f>
        <v>Continuous</v>
      </c>
      <c r="O8" s="49" t="str">
        <f>'APPROVED SHUTDOWN'!I16</f>
        <v>10-01-2026 10:00:00</v>
      </c>
      <c r="P8" s="49" t="str">
        <f>'APPROVED SHUTDOWN'!J16</f>
        <v>10-01-2026 17:00:00</v>
      </c>
      <c r="Q8" s="6"/>
    </row>
    <row r="9" spans="1:17" s="26" customFormat="1" ht="240" customHeight="1" x14ac:dyDescent="0.25">
      <c r="A9" s="22"/>
      <c r="B9" s="23" t="s">
        <v>1103</v>
      </c>
      <c r="C9" s="15" t="s">
        <v>1104</v>
      </c>
      <c r="D9" s="16"/>
      <c r="E9" s="41">
        <v>440</v>
      </c>
      <c r="F9" s="24">
        <v>0.47638888888888892</v>
      </c>
      <c r="G9" s="18"/>
      <c r="H9" s="18"/>
      <c r="I9" s="19"/>
      <c r="J9" s="20" t="s">
        <v>1105</v>
      </c>
      <c r="K9" s="36" t="s">
        <v>1106</v>
      </c>
      <c r="L9" s="45"/>
      <c r="M9" s="37"/>
      <c r="N9" s="343"/>
      <c r="O9" s="49"/>
      <c r="P9" s="49"/>
      <c r="Q9" s="6"/>
    </row>
    <row r="10" spans="1:17" s="26" customFormat="1" ht="280.5" customHeight="1" x14ac:dyDescent="0.25">
      <c r="A10" s="22">
        <f>+'APPROVED SHUTDOWN'!A21</f>
        <v>17</v>
      </c>
      <c r="B10" s="23" t="str">
        <f>'APPROVED SHUTDOWN'!E21</f>
        <v>132KV_132 kV Satna â¿¿II (Sonoura)  â¿¿  Maihar  line</v>
      </c>
      <c r="C10" s="15" t="str">
        <f>+'APPROVED SHUTDOWN'!F21</f>
        <v>132KV_SATNA-II</v>
      </c>
      <c r="D10" s="16" t="str">
        <f>+'APPROVED SHUTDOWN'!G21</f>
        <v>NON-OCCM-MP</v>
      </c>
      <c r="E10" s="41">
        <v>444</v>
      </c>
      <c r="F10" s="24">
        <v>0.57152777777777775</v>
      </c>
      <c r="G10" s="18">
        <v>0.57916666666666672</v>
      </c>
      <c r="H10" s="18">
        <v>0.75555555555555554</v>
      </c>
      <c r="I10" s="19">
        <f>A10</f>
        <v>17</v>
      </c>
      <c r="J10" s="20" t="str">
        <f>+'APPROVED SHUTDOWN'!H21</f>
        <v>OPGW Stringing  work</v>
      </c>
      <c r="K10" s="36">
        <v>0.74097222222222225</v>
      </c>
      <c r="L10" s="45">
        <v>455</v>
      </c>
      <c r="M10" s="37">
        <v>0.75208333333333333</v>
      </c>
      <c r="N10" s="343" t="str">
        <f>'APPROVED SHUTDOWN'!M21</f>
        <v>ok</v>
      </c>
      <c r="O10" s="49" t="str">
        <f>'APPROVED SHUTDOWN'!I21</f>
        <v>10-01-2026 10:00:00</v>
      </c>
      <c r="P10" s="49" t="str">
        <f>'APPROVED SHUTDOWN'!J21</f>
        <v>10-01-2026 17:00:00</v>
      </c>
      <c r="Q10" s="6"/>
    </row>
    <row r="11" spans="1:17" s="26" customFormat="1" ht="240" customHeight="1" x14ac:dyDescent="0.25">
      <c r="A11" s="22">
        <f>+'APPROVED SHUTDOWN'!A27</f>
        <v>23</v>
      </c>
      <c r="B11" s="23" t="str">
        <f>'APPROVED SHUTDOWN'!E27</f>
        <v>400KV-ITARSI-INDORE-MP-2</v>
      </c>
      <c r="C11" s="15" t="str">
        <f>+'APPROVED SHUTDOWN'!F27</f>
        <v>POWERGRID-WR2 (PGCIL)</v>
      </c>
      <c r="D11" s="16">
        <f>+'APPROVED SHUTDOWN'!G27</f>
        <v>0</v>
      </c>
      <c r="E11" s="41">
        <v>1996</v>
      </c>
      <c r="F11" s="24">
        <v>0.43402777777777773</v>
      </c>
      <c r="G11" s="18">
        <v>0.45416666666666666</v>
      </c>
      <c r="H11" s="18">
        <v>0.7909722222222223</v>
      </c>
      <c r="I11" s="19">
        <f>A11</f>
        <v>23</v>
      </c>
      <c r="J11" s="20" t="str">
        <f>+'APPROVED SHUTDOWN'!H27</f>
        <v>TBC Commissioning work , Dia to be kept open at both ends.</v>
      </c>
      <c r="K11" s="20"/>
      <c r="L11" s="45">
        <v>2077</v>
      </c>
      <c r="M11" s="37">
        <v>0.78333333333333333</v>
      </c>
      <c r="N11" s="343" t="str">
        <f>'APPROVED SHUTDOWN'!M27</f>
        <v>ok</v>
      </c>
      <c r="O11" s="49" t="str">
        <f>'APPROVED SHUTDOWN'!I27</f>
        <v>10-Jan-2026</v>
      </c>
      <c r="P11" s="49" t="str">
        <f>'APPROVED SHUTDOWN'!J27</f>
        <v>09:00</v>
      </c>
      <c r="Q11" s="6"/>
    </row>
    <row r="12" spans="1:17" s="26" customFormat="1" ht="240" customHeight="1" x14ac:dyDescent="0.25">
      <c r="A12" s="22">
        <f>+'APPROVED SHUTDOWN'!A5</f>
        <v>1</v>
      </c>
      <c r="B12" s="23" t="str">
        <f>'APPROVED SHUTDOWN'!E5</f>
        <v>132KV_40 MVA TELK Xmer</v>
      </c>
      <c r="C12" s="15" t="str">
        <f>+'APPROVED SHUTDOWN'!F5</f>
        <v>132KV_AMARPATAN</v>
      </c>
      <c r="D12" s="16" t="str">
        <f>+'APPROVED SHUTDOWN'!G5</f>
        <v>NON-OCCM-MP</v>
      </c>
      <c r="E12" s="41"/>
      <c r="F12" s="24"/>
      <c r="G12" s="18"/>
      <c r="H12" s="18"/>
      <c r="I12" s="19">
        <f>A12</f>
        <v>1</v>
      </c>
      <c r="J12" s="20" t="str">
        <f>+'APPROVED SHUTDOWN'!H5</f>
        <v>For testing purpose o 63 MVA TAL Xmer</v>
      </c>
      <c r="K12" s="36"/>
      <c r="L12" s="45"/>
      <c r="M12" s="37"/>
      <c r="N12" s="343" t="str">
        <f>'APPROVED SHUTDOWN'!M5</f>
        <v>o&amp;m consent required</v>
      </c>
      <c r="O12" s="49" t="str">
        <f>'APPROVED SHUTDOWN'!I5</f>
        <v>10-01-2026 12:00:00</v>
      </c>
      <c r="P12" s="49" t="str">
        <f>'APPROVED SHUTDOWN'!J5</f>
        <v>10-01-2026 15:00:00</v>
      </c>
      <c r="Q12" s="6"/>
    </row>
    <row r="13" spans="1:17" s="26" customFormat="1" ht="240" customHeight="1" x14ac:dyDescent="0.25">
      <c r="A13" s="22">
        <f>+'APPROVED SHUTDOWN'!A6</f>
        <v>2</v>
      </c>
      <c r="B13" s="23" t="str">
        <f>'APPROVED SHUTDOWN'!E6</f>
        <v>220KV_220 kV Bus Transfer bay</v>
      </c>
      <c r="C13" s="15" t="str">
        <f>+'APPROVED SHUTDOWN'!F6</f>
        <v>220KV_BHOPAL</v>
      </c>
      <c r="D13" s="16" t="str">
        <f>+'APPROVED SHUTDOWN'!G6</f>
        <v>NON-OCCM-MP</v>
      </c>
      <c r="E13" s="41"/>
      <c r="F13" s="24"/>
      <c r="G13" s="18"/>
      <c r="H13" s="18"/>
      <c r="I13" s="19">
        <f>A13</f>
        <v>2</v>
      </c>
      <c r="J13" s="20" t="str">
        <f>+'APPROVED SHUTDOWN'!H6</f>
        <v>For shifting of panel &amp; erection of Isolator</v>
      </c>
      <c r="K13" s="36"/>
      <c r="L13" s="45"/>
      <c r="M13" s="37"/>
      <c r="N13" s="343" t="str">
        <f>'APPROVED SHUTDOWN'!M6</f>
        <v>Continuous</v>
      </c>
      <c r="O13" s="49" t="str">
        <f>'APPROVED SHUTDOWN'!I6</f>
        <v>09-01-2026 09:00:00</v>
      </c>
      <c r="P13" s="49" t="str">
        <f>'APPROVED SHUTDOWN'!J6</f>
        <v>10-01-2026 17:00:00</v>
      </c>
      <c r="Q13" s="6"/>
    </row>
    <row r="14" spans="1:17" s="26" customFormat="1" ht="240" customHeight="1" x14ac:dyDescent="0.25">
      <c r="A14" s="22">
        <f>+'APPROVED SHUTDOWN'!A7</f>
        <v>3</v>
      </c>
      <c r="B14" s="23" t="str">
        <f>'APPROVED SHUTDOWN'!E7</f>
        <v>220KV_220kV Bhopal Ganjbasoda ckt</v>
      </c>
      <c r="C14" s="15" t="str">
        <f>+'APPROVED SHUTDOWN'!F7</f>
        <v>400KV_BHOPAL4</v>
      </c>
      <c r="D14" s="16" t="str">
        <f>+'APPROVED SHUTDOWN'!G7</f>
        <v>NON-OCCM-MP</v>
      </c>
      <c r="E14" s="41"/>
      <c r="F14" s="24"/>
      <c r="G14" s="18"/>
      <c r="H14" s="18"/>
      <c r="I14" s="19">
        <f>A14</f>
        <v>3</v>
      </c>
      <c r="J14" s="20" t="str">
        <f>+'APPROVED SHUTDOWN'!H7</f>
        <v>For old disc replacement work.</v>
      </c>
      <c r="K14" s="36"/>
      <c r="L14" s="45"/>
      <c r="M14" s="37"/>
      <c r="N14" s="343" t="str">
        <f>'APPROVED SHUTDOWN'!M7</f>
        <v>deferred due to s/d on 220kV Bhopal Vidisha Ckt</v>
      </c>
      <c r="O14" s="49" t="str">
        <f>'APPROVED SHUTDOWN'!I7</f>
        <v>08-01-2026 09:00:00</v>
      </c>
      <c r="P14" s="49" t="str">
        <f>'APPROVED SHUTDOWN'!J7</f>
        <v>10-01-2026 18:00:00</v>
      </c>
      <c r="Q14" s="6"/>
    </row>
    <row r="15" spans="1:17" s="26" customFormat="1" ht="240" customHeight="1" x14ac:dyDescent="0.25">
      <c r="A15" s="22">
        <f>+'APPROVED SHUTDOWN'!A8</f>
        <v>4</v>
      </c>
      <c r="B15" s="23" t="str">
        <f>'APPROVED SHUTDOWN'!E8</f>
        <v>220KV_220kV Bhopal Vidisha Ckt</v>
      </c>
      <c r="C15" s="15" t="str">
        <f>+'APPROVED SHUTDOWN'!F8</f>
        <v>400KV_BHOPAL4</v>
      </c>
      <c r="D15" s="16" t="str">
        <f>+'APPROVED SHUTDOWN'!G8</f>
        <v>NON-OCCM-MP</v>
      </c>
      <c r="E15" s="41"/>
      <c r="F15" s="24"/>
      <c r="G15" s="18"/>
      <c r="H15" s="18"/>
      <c r="I15" s="19">
        <f>A15</f>
        <v>4</v>
      </c>
      <c r="J15" s="20" t="str">
        <f>+'APPROVED SHUTDOWN'!H8</f>
        <v>For modification/shifting work.</v>
      </c>
      <c r="K15" s="36"/>
      <c r="L15" s="45"/>
      <c r="M15" s="37"/>
      <c r="N15" s="343" t="str">
        <f>'APPROVED SHUTDOWN'!M8</f>
        <v>ok, after normalisation of NHPTL testing</v>
      </c>
      <c r="O15" s="49" t="str">
        <f>'APPROVED SHUTDOWN'!I8</f>
        <v>10-01-2026 09:00:00</v>
      </c>
      <c r="P15" s="49" t="str">
        <f>'APPROVED SHUTDOWN'!J8</f>
        <v>11-01-2026 18:00:00</v>
      </c>
      <c r="Q15" s="6"/>
    </row>
    <row r="16" spans="1:17" s="26" customFormat="1" ht="240" customHeight="1" x14ac:dyDescent="0.25">
      <c r="A16" s="22">
        <f>+'APPROVED SHUTDOWN'!A9</f>
        <v>5</v>
      </c>
      <c r="B16" s="23" t="str">
        <f>'APPROVED SHUTDOWN'!E9</f>
        <v>132KV_132KVCHAMBAL â¿¿ ELECTRONIC  COMPLEX LINE</v>
      </c>
      <c r="C16" s="15" t="str">
        <f>+'APPROVED SHUTDOWN'!F9</f>
        <v>132KV_E.COMPLEX INDORE</v>
      </c>
      <c r="D16" s="16" t="str">
        <f>+'APPROVED SHUTDOWN'!G9</f>
        <v>NON-OCCM-MP</v>
      </c>
      <c r="E16" s="41"/>
      <c r="F16" s="24"/>
      <c r="G16" s="18"/>
      <c r="H16" s="18"/>
      <c r="I16" s="19">
        <f>A16</f>
        <v>5</v>
      </c>
      <c r="J16" s="20" t="str">
        <f>+'APPROVED SHUTDOWN'!H9</f>
        <v>CONDUCTOR REPLACEMENT  WORK AND OTHER MAINTANANCE</v>
      </c>
      <c r="K16" s="36"/>
      <c r="L16" s="45"/>
      <c r="M16" s="37"/>
      <c r="N16" s="343" t="str">
        <f>'APPROVED SHUTDOWN'!M9</f>
        <v>sub ld</v>
      </c>
      <c r="O16" s="49" t="str">
        <f>'APPROVED SHUTDOWN'!I9</f>
        <v>10-01-2026 08:00:00</v>
      </c>
      <c r="P16" s="49" t="str">
        <f>'APPROVED SHUTDOWN'!J9</f>
        <v>10-01-2026 17:00:00</v>
      </c>
      <c r="Q16" s="6"/>
    </row>
    <row r="17" spans="1:17" s="26" customFormat="1" ht="240" customHeight="1" x14ac:dyDescent="0.25">
      <c r="A17" s="22">
        <f>+'APPROVED SHUTDOWN'!A10</f>
        <v>6</v>
      </c>
      <c r="B17" s="23" t="str">
        <f>'APPROVED SHUTDOWN'!E10</f>
        <v>132KV_132 KV CHAMBAL-SATYASAI LINE</v>
      </c>
      <c r="C17" s="15" t="str">
        <f>+'APPROVED SHUTDOWN'!F10</f>
        <v>132KV_INDORE CHAMBAL</v>
      </c>
      <c r="D17" s="16" t="str">
        <f>+'APPROVED SHUTDOWN'!G10</f>
        <v>NON-OCCM-MP</v>
      </c>
      <c r="E17" s="41"/>
      <c r="F17" s="24"/>
      <c r="G17" s="18"/>
      <c r="H17" s="18"/>
      <c r="I17" s="19">
        <f>A17</f>
        <v>6</v>
      </c>
      <c r="J17" s="20" t="str">
        <f>+'APPROVED SHUTDOWN'!H10</f>
        <v>CONDUCTOR REPLACEMENT  WORK AND OTHER MAINTANANCE</v>
      </c>
      <c r="K17" s="36"/>
      <c r="L17" s="45"/>
      <c r="M17" s="37"/>
      <c r="N17" s="343" t="str">
        <f>'APPROVED SHUTDOWN'!M10</f>
        <v>sub ld</v>
      </c>
      <c r="O17" s="49" t="str">
        <f>'APPROVED SHUTDOWN'!I10</f>
        <v>10-01-2026 08:00:00</v>
      </c>
      <c r="P17" s="49" t="str">
        <f>'APPROVED SHUTDOWN'!J10</f>
        <v>10-01-2026 17:00:00</v>
      </c>
      <c r="Q17" s="6"/>
    </row>
    <row r="18" spans="1:17" s="26" customFormat="1" ht="240" customHeight="1" x14ac:dyDescent="0.25">
      <c r="A18" s="22">
        <f>+'APPROVED SHUTDOWN'!A11</f>
        <v>7</v>
      </c>
      <c r="B18" s="23" t="str">
        <f>'APPROVED SHUTDOWN'!E11</f>
        <v>220KV_SARNI ITARSI CKT-4</v>
      </c>
      <c r="C18" s="15" t="str">
        <f>+'APPROVED SHUTDOWN'!F11</f>
        <v>220KV_ITARSI</v>
      </c>
      <c r="D18" s="16" t="str">
        <f>+'APPROVED SHUTDOWN'!G11</f>
        <v>NON-OCCM-MP</v>
      </c>
      <c r="E18" s="41"/>
      <c r="F18" s="24"/>
      <c r="G18" s="18"/>
      <c r="H18" s="18"/>
      <c r="I18" s="19">
        <f>A18</f>
        <v>7</v>
      </c>
      <c r="J18" s="20" t="str">
        <f>+'APPROVED SHUTDOWN'!H11</f>
        <v>Bird guard installation work &amp; other line maint.</v>
      </c>
      <c r="K18" s="36"/>
      <c r="L18" s="45"/>
      <c r="M18" s="37"/>
      <c r="N18" s="343" t="str">
        <f>'APPROVED SHUTDOWN'!M11</f>
        <v>RTS consent required, as opportunity s/d</v>
      </c>
      <c r="O18" s="49" t="str">
        <f>'APPROVED SHUTDOWN'!I11</f>
        <v>08-01-2026 10:00:00</v>
      </c>
      <c r="P18" s="49" t="str">
        <f>'APPROVED SHUTDOWN'!J11</f>
        <v>10-01-2026 17:00:00</v>
      </c>
      <c r="Q18" s="6"/>
    </row>
    <row r="19" spans="1:17" s="26" customFormat="1" ht="353.25" customHeight="1" x14ac:dyDescent="0.25">
      <c r="A19" s="22">
        <f>+'APPROVED SHUTDOWN'!A12</f>
        <v>8</v>
      </c>
      <c r="B19" s="23" t="str">
        <f>'APPROVED SHUTDOWN'!E12</f>
        <v>132KV_132 KV Itarsi-Pipariya</v>
      </c>
      <c r="C19" s="15" t="str">
        <f>+'APPROVED SHUTDOWN'!F12</f>
        <v>220KV_ITARSI</v>
      </c>
      <c r="D19" s="16" t="str">
        <f>+'APPROVED SHUTDOWN'!G12</f>
        <v>NON-OCCM-MP</v>
      </c>
      <c r="E19" s="41"/>
      <c r="F19" s="24"/>
      <c r="G19" s="18"/>
      <c r="H19" s="18"/>
      <c r="I19" s="19">
        <f>A19</f>
        <v>8</v>
      </c>
      <c r="J19" s="20" t="str">
        <f>+'APPROVED SHUTDOWN'!H12</f>
        <v>Defective dis replacement work</v>
      </c>
      <c r="K19" s="36"/>
      <c r="L19" s="45"/>
      <c r="M19" s="37"/>
      <c r="N19" s="343" t="str">
        <f>'APPROVED SHUTDOWN'!M12</f>
        <v>sub ld</v>
      </c>
      <c r="O19" s="49" t="str">
        <f>'APPROVED SHUTDOWN'!I12</f>
        <v>10-01-2026 09:00:00</v>
      </c>
      <c r="P19" s="49" t="str">
        <f>'APPROVED SHUTDOWN'!J12</f>
        <v>13-01-2026 18:00:00</v>
      </c>
      <c r="Q19" s="6"/>
    </row>
    <row r="20" spans="1:17" s="26" customFormat="1" ht="240" customHeight="1" x14ac:dyDescent="0.25">
      <c r="A20" s="22">
        <f>+'APPROVED SHUTDOWN'!A13</f>
        <v>9</v>
      </c>
      <c r="B20" s="23" t="str">
        <f>'APPROVED SHUTDOWN'!E13</f>
        <v>132KV_132 kv katni ic line ckt 1 st</v>
      </c>
      <c r="C20" s="15" t="str">
        <f>+'APPROVED SHUTDOWN'!F13</f>
        <v>400KV_KATNI4</v>
      </c>
      <c r="D20" s="16" t="str">
        <f>+'APPROVED SHUTDOWN'!G13</f>
        <v>NON-OCCM-MP</v>
      </c>
      <c r="E20" s="41"/>
      <c r="F20" s="24"/>
      <c r="G20" s="18"/>
      <c r="H20" s="18"/>
      <c r="I20" s="19">
        <f>A20</f>
        <v>9</v>
      </c>
      <c r="J20" s="20" t="str">
        <f>+'APPROVED SHUTDOWN'!H13</f>
        <v>For stringing of htls conductor.</v>
      </c>
      <c r="K20" s="36"/>
      <c r="L20" s="45"/>
      <c r="M20" s="37"/>
      <c r="N20" s="343" t="str">
        <f>'APPROVED SHUTDOWN'!M13</f>
        <v>deferred</v>
      </c>
      <c r="O20" s="49" t="str">
        <f>'APPROVED SHUTDOWN'!I13</f>
        <v>02-01-2026 09:00:00</v>
      </c>
      <c r="P20" s="49" t="str">
        <f>'APPROVED SHUTDOWN'!J13</f>
        <v>22-01-2026 18:00:00</v>
      </c>
      <c r="Q20" s="6"/>
    </row>
    <row r="21" spans="1:17" s="26" customFormat="1" ht="240" customHeight="1" x14ac:dyDescent="0.25">
      <c r="A21" s="22">
        <f>+'APPROVED SHUTDOWN'!A14</f>
        <v>10</v>
      </c>
      <c r="B21" s="23" t="str">
        <f>'APPROVED SHUTDOWN'!E14</f>
        <v>220KV_220KV KATNI - DAMOH LINE</v>
      </c>
      <c r="C21" s="15" t="str">
        <f>+'APPROVED SHUTDOWN'!F14</f>
        <v>400KV_KATNI4</v>
      </c>
      <c r="D21" s="16" t="str">
        <f>+'APPROVED SHUTDOWN'!G14</f>
        <v>NON-OCCM-MP</v>
      </c>
      <c r="E21" s="41"/>
      <c r="F21" s="24"/>
      <c r="G21" s="18"/>
      <c r="H21" s="18"/>
      <c r="I21" s="19">
        <f>A21</f>
        <v>10</v>
      </c>
      <c r="J21" s="20" t="str">
        <f>+'APPROVED SHUTDOWN'!H14</f>
        <v>TOWER STRENGTHENING WORK</v>
      </c>
      <c r="K21" s="36"/>
      <c r="L21" s="45"/>
      <c r="M21" s="37"/>
      <c r="N21" s="343" t="str">
        <f>'APPROVED SHUTDOWN'!M14</f>
        <v>Continuous</v>
      </c>
      <c r="O21" s="49" t="str">
        <f>'APPROVED SHUTDOWN'!I14</f>
        <v>05-01-2026 09:00:00</v>
      </c>
      <c r="P21" s="49" t="str">
        <f>'APPROVED SHUTDOWN'!J14</f>
        <v>10-01-2026 18:00:00</v>
      </c>
      <c r="Q21" s="6"/>
    </row>
    <row r="22" spans="1:17" s="26" customFormat="1" ht="240" customHeight="1" x14ac:dyDescent="0.25">
      <c r="A22" s="22">
        <f>+'APPROVED SHUTDOWN'!A15</f>
        <v>11</v>
      </c>
      <c r="B22" s="23" t="str">
        <f>'APPROVED SHUTDOWN'!E15</f>
        <v>400KV_400KV KATNI - DAMOH LINE</v>
      </c>
      <c r="C22" s="15" t="str">
        <f>+'APPROVED SHUTDOWN'!F15</f>
        <v>400KV_KATNI4</v>
      </c>
      <c r="D22" s="16" t="str">
        <f>+'APPROVED SHUTDOWN'!G15</f>
        <v>OCCM-MP</v>
      </c>
      <c r="E22" s="41"/>
      <c r="F22" s="24"/>
      <c r="G22" s="18"/>
      <c r="H22" s="18"/>
      <c r="I22" s="19">
        <f>A22</f>
        <v>11</v>
      </c>
      <c r="J22" s="20" t="str">
        <f>+'APPROVED SHUTDOWN'!H15</f>
        <v>TOWER STRENGTHENING WORK</v>
      </c>
      <c r="K22" s="36"/>
      <c r="L22" s="45"/>
      <c r="M22" s="37"/>
      <c r="N22" s="343" t="str">
        <f>'APPROVED SHUTDOWN'!M15</f>
        <v>Continuous</v>
      </c>
      <c r="O22" s="49" t="str">
        <f>'APPROVED SHUTDOWN'!I15</f>
        <v>05-01-2026 09:00:00</v>
      </c>
      <c r="P22" s="49" t="str">
        <f>'APPROVED SHUTDOWN'!J15</f>
        <v>10-01-2026 18:00:00</v>
      </c>
      <c r="Q22" s="6"/>
    </row>
    <row r="23" spans="1:17" s="26" customFormat="1" ht="240" customHeight="1" x14ac:dyDescent="0.25">
      <c r="A23" s="22">
        <f>+'APPROVED SHUTDOWN'!A17</f>
        <v>13</v>
      </c>
      <c r="B23" s="23" t="str">
        <f>'APPROVED SHUTDOWN'!E17</f>
        <v>132KV_132 kV MACT-Mandideep &amp; 132 kV MACT-Amrawart Khurd</v>
      </c>
      <c r="C23" s="15" t="str">
        <f>+'APPROVED SHUTDOWN'!F17</f>
        <v>132KV_MACT BHOPAL</v>
      </c>
      <c r="D23" s="16" t="str">
        <f>+'APPROVED SHUTDOWN'!G17</f>
        <v>NON-OCCM-MP</v>
      </c>
      <c r="E23" s="41"/>
      <c r="F23" s="24"/>
      <c r="G23" s="18"/>
      <c r="H23" s="18"/>
      <c r="I23" s="19">
        <f>A23</f>
        <v>13</v>
      </c>
      <c r="J23" s="20" t="str">
        <f>+'APPROVED SHUTDOWN'!H17</f>
        <v>Emergency Tree Chopping</v>
      </c>
      <c r="K23" s="36"/>
      <c r="L23" s="45"/>
      <c r="M23" s="37"/>
      <c r="N23" s="343" t="str">
        <f>'APPROVED SHUTDOWN'!M17</f>
        <v>sub ld</v>
      </c>
      <c r="O23" s="49" t="str">
        <f>'APPROVED SHUTDOWN'!I17</f>
        <v>10-01-2026 12:00:00</v>
      </c>
      <c r="P23" s="49" t="str">
        <f>'APPROVED SHUTDOWN'!J17</f>
        <v>10-01-2026 18:00:00</v>
      </c>
      <c r="Q23" s="6"/>
    </row>
    <row r="24" spans="1:17" s="26" customFormat="1" ht="240" customHeight="1" x14ac:dyDescent="0.25">
      <c r="A24" s="22">
        <f>+'APPROVED SHUTDOWN'!A20</f>
        <v>16</v>
      </c>
      <c r="B24" s="23" t="str">
        <f>'APPROVED SHUTDOWN'!E20</f>
        <v>220KV_SATNA- AJAYGARH FEEDER</v>
      </c>
      <c r="C24" s="15" t="str">
        <f>+'APPROVED SHUTDOWN'!F20</f>
        <v>220KV_SATNA</v>
      </c>
      <c r="D24" s="16" t="str">
        <f>+'APPROVED SHUTDOWN'!G20</f>
        <v>OCCM-MP</v>
      </c>
      <c r="E24" s="41"/>
      <c r="F24" s="24"/>
      <c r="G24" s="18"/>
      <c r="H24" s="18"/>
      <c r="I24" s="19">
        <f>A24</f>
        <v>16</v>
      </c>
      <c r="J24" s="20" t="str">
        <f>+'APPROVED SHUTDOWN'!H20</f>
        <v>HOT POINT ATTENDIND WORK</v>
      </c>
      <c r="K24" s="36"/>
      <c r="L24" s="45"/>
      <c r="M24" s="37"/>
      <c r="N24" s="343" t="str">
        <f>'APPROVED SHUTDOWN'!M20</f>
        <v>real time, shall be given in low load period as loading is very high</v>
      </c>
      <c r="O24" s="49" t="str">
        <f>'APPROVED SHUTDOWN'!I20</f>
        <v>10-01-2026 11:30:00</v>
      </c>
      <c r="P24" s="49" t="str">
        <f>'APPROVED SHUTDOWN'!J20</f>
        <v>10-01-2026 15:00:00</v>
      </c>
      <c r="Q24" s="6"/>
    </row>
    <row r="25" spans="1:17" s="26" customFormat="1" ht="240" customHeight="1" x14ac:dyDescent="0.25">
      <c r="A25" s="22">
        <f>+'APPROVED SHUTDOWN'!A22</f>
        <v>18</v>
      </c>
      <c r="B25" s="23" t="str">
        <f>'APPROVED SHUTDOWN'!E22</f>
        <v>400KV_Sarni Indirasagar</v>
      </c>
      <c r="C25" s="15" t="str">
        <f>+'APPROVED SHUTDOWN'!F22</f>
        <v>400KV_SATPURA TPS</v>
      </c>
      <c r="D25" s="16" t="str">
        <f>+'APPROVED SHUTDOWN'!G22</f>
        <v>NON-OCCM-MP</v>
      </c>
      <c r="E25" s="41"/>
      <c r="F25" s="24"/>
      <c r="G25" s="18"/>
      <c r="H25" s="18"/>
      <c r="I25" s="19">
        <f>A25</f>
        <v>18</v>
      </c>
      <c r="J25" s="20" t="str">
        <f>+'APPROVED SHUTDOWN'!H22</f>
        <v>OPGW STRINGING WORK</v>
      </c>
      <c r="K25" s="36"/>
      <c r="L25" s="46"/>
      <c r="M25" s="25"/>
      <c r="N25" s="343" t="str">
        <f>'APPROVED SHUTDOWN'!M22</f>
        <v>ok, line to be in service</v>
      </c>
      <c r="O25" s="49" t="str">
        <f>'APPROVED SHUTDOWN'!I22</f>
        <v>26-12-2025 07:00:00</v>
      </c>
      <c r="P25" s="49" t="str">
        <f>'APPROVED SHUTDOWN'!J22</f>
        <v>10-01-2026 19:00:00</v>
      </c>
      <c r="Q25" s="6"/>
    </row>
    <row r="26" spans="1:17" s="26" customFormat="1" ht="240" customHeight="1" x14ac:dyDescent="0.25">
      <c r="A26" s="22">
        <f>+'APPROVED SHUTDOWN'!A24</f>
        <v>20</v>
      </c>
      <c r="B26" s="23" t="str">
        <f>'APPROVED SHUTDOWN'!E24</f>
        <v>132KV_132 KV CHAMBAL-SATYASAI LINE</v>
      </c>
      <c r="C26" s="15" t="str">
        <f>+'APPROVED SHUTDOWN'!F24</f>
        <v>132KV_SATYA SAI</v>
      </c>
      <c r="D26" s="16" t="str">
        <f>+'APPROVED SHUTDOWN'!G24</f>
        <v>NON-OCCM-MP</v>
      </c>
      <c r="E26" s="41"/>
      <c r="F26" s="24"/>
      <c r="G26" s="18"/>
      <c r="H26" s="18"/>
      <c r="I26" s="19">
        <f>A26</f>
        <v>20</v>
      </c>
      <c r="J26" s="20" t="str">
        <f>+'APPROVED SHUTDOWN'!H24</f>
        <v>CONDUCTOR REPLACEMENT  WORK AND OTHER MAINTANANCE</v>
      </c>
      <c r="K26" s="36"/>
      <c r="L26" s="45"/>
      <c r="M26" s="37"/>
      <c r="N26" s="343" t="str">
        <f>'APPROVED SHUTDOWN'!M24</f>
        <v>sub ld</v>
      </c>
      <c r="O26" s="49" t="str">
        <f>'APPROVED SHUTDOWN'!I24</f>
        <v>10-01-2026 08:00:00</v>
      </c>
      <c r="P26" s="49" t="str">
        <f>'APPROVED SHUTDOWN'!J24</f>
        <v>10-01-2026 17:00:00</v>
      </c>
      <c r="Q26" s="6"/>
    </row>
    <row r="27" spans="1:17" s="26" customFormat="1" ht="240" customHeight="1" x14ac:dyDescent="0.25">
      <c r="A27" s="22">
        <f>+'APPROVED SHUTDOWN'!A25</f>
        <v>21</v>
      </c>
      <c r="B27" s="23" t="str">
        <f>'APPROVED SHUTDOWN'!E25</f>
        <v>132KV_132kv Shivpuri I/C Ckt Ist</v>
      </c>
      <c r="C27" s="15" t="str">
        <f>+'APPROVED SHUTDOWN'!F25</f>
        <v>220KV_SHIVPURI</v>
      </c>
      <c r="D27" s="16" t="str">
        <f>+'APPROVED SHUTDOWN'!G25</f>
        <v>NON-OCCM-MP</v>
      </c>
      <c r="E27" s="41"/>
      <c r="F27" s="24"/>
      <c r="G27" s="18"/>
      <c r="H27" s="18"/>
      <c r="I27" s="19">
        <f>A27</f>
        <v>21</v>
      </c>
      <c r="J27" s="20" t="str">
        <f>+'APPROVED SHUTDOWN'!H25</f>
        <v>Line Maintenance work</v>
      </c>
      <c r="K27" s="20"/>
      <c r="L27" s="45"/>
      <c r="M27" s="25"/>
      <c r="N27" s="343" t="str">
        <f>'APPROVED SHUTDOWN'!M25</f>
        <v>sub ld</v>
      </c>
      <c r="O27" s="49" t="str">
        <f>'APPROVED SHUTDOWN'!I25</f>
        <v>10-01-2026 10:00:00</v>
      </c>
      <c r="P27" s="49" t="str">
        <f>'APPROVED SHUTDOWN'!J25</f>
        <v>10-01-2026 17:00:00</v>
      </c>
      <c r="Q27" s="6"/>
    </row>
    <row r="28" spans="1:17" s="26" customFormat="1" ht="240" customHeight="1" x14ac:dyDescent="0.25">
      <c r="A28" s="22">
        <f>+'APPROVED SHUTDOWN'!A26</f>
        <v>22</v>
      </c>
      <c r="B28" s="23" t="str">
        <f>'APPROVED SHUTDOWN'!E26</f>
        <v>220KV_220 KV SHUJALPUR-BHOPAL-I CKT</v>
      </c>
      <c r="C28" s="15" t="str">
        <f>+'APPROVED SHUTDOWN'!F26</f>
        <v>220KV_SHUJALPUR</v>
      </c>
      <c r="D28" s="16" t="str">
        <f>+'APPROVED SHUTDOWN'!G26</f>
        <v>NON-OCCM-MP</v>
      </c>
      <c r="E28" s="41"/>
      <c r="F28" s="24"/>
      <c r="G28" s="18"/>
      <c r="H28" s="18"/>
      <c r="I28" s="19">
        <f>A28</f>
        <v>22</v>
      </c>
      <c r="J28" s="20" t="str">
        <f>+'APPROVED SHUTDOWN'!H26</f>
        <v>220 KV BHOPAL BAY SHIFTING FOR NEW ADD. 200 MVA</v>
      </c>
      <c r="K28" s="20"/>
      <c r="L28" s="45"/>
      <c r="M28" s="25"/>
      <c r="N28" s="343" t="str">
        <f>'APPROVED SHUTDOWN'!M26</f>
        <v>Continuous</v>
      </c>
      <c r="O28" s="49" t="str">
        <f>'APPROVED SHUTDOWN'!I26</f>
        <v>13-12-2025 09:00:00</v>
      </c>
      <c r="P28" s="49" t="str">
        <f>'APPROVED SHUTDOWN'!J26</f>
        <v>12-01-2026 18:00:00</v>
      </c>
      <c r="Q28" s="6"/>
    </row>
    <row r="29" spans="1:17" s="26" customFormat="1" ht="328.5" customHeight="1" x14ac:dyDescent="0.25">
      <c r="A29" s="22">
        <f>+'APPROVED SHUTDOWN'!A28</f>
        <v>24</v>
      </c>
      <c r="B29" s="23" t="str">
        <f>'APPROVED SHUTDOWN'!E28</f>
        <v>220KV-INDORE-INDORE NORTH ZONE-2</v>
      </c>
      <c r="C29" s="15" t="str">
        <f>+'APPROVED SHUTDOWN'!F28</f>
        <v>MADHYA PRADESH</v>
      </c>
      <c r="D29" s="16">
        <f>+'APPROVED SHUTDOWN'!G28</f>
        <v>0</v>
      </c>
      <c r="E29" s="41"/>
      <c r="F29" s="24"/>
      <c r="G29" s="18"/>
      <c r="H29" s="18"/>
      <c r="I29" s="19">
        <f>A29</f>
        <v>24</v>
      </c>
      <c r="J29" s="20" t="str">
        <f>+'APPROVED SHUTDOWN'!H28</f>
        <v>FOR REPLACEMENT OF OLD DISC INSULATOR ON VARIOUS TOWERS</v>
      </c>
      <c r="K29" s="36"/>
      <c r="L29" s="45"/>
      <c r="M29" s="37"/>
      <c r="N29" s="343" t="str">
        <f>'APPROVED SHUTDOWN'!M28</f>
        <v>real time</v>
      </c>
      <c r="O29" s="49" t="str">
        <f>'APPROVED SHUTDOWN'!I28</f>
        <v>10-Jan-2026</v>
      </c>
      <c r="P29" s="49" t="str">
        <f>'APPROVED SHUTDOWN'!J28</f>
        <v>08:00</v>
      </c>
      <c r="Q29" s="6"/>
    </row>
    <row r="30" spans="1:17" s="26" customFormat="1" ht="240" customHeight="1" x14ac:dyDescent="0.25">
      <c r="A30" s="22">
        <f>+'APPROVED SHUTDOWN'!A29</f>
        <v>25</v>
      </c>
      <c r="B30" s="23" t="str">
        <f>'APPROVED SHUTDOWN'!E29</f>
        <v>220KV-HOSHANGABAD-ITARSI-1</v>
      </c>
      <c r="C30" s="15" t="str">
        <f>+'APPROVED SHUTDOWN'!F29</f>
        <v>MADHYA PRADESH</v>
      </c>
      <c r="D30" s="16">
        <f>+'APPROVED SHUTDOWN'!G29</f>
        <v>0</v>
      </c>
      <c r="E30" s="41"/>
      <c r="F30" s="39"/>
      <c r="G30" s="40"/>
      <c r="H30" s="18"/>
      <c r="I30" s="19">
        <f>A30</f>
        <v>25</v>
      </c>
      <c r="J30" s="20" t="str">
        <f>+'APPROVED SHUTDOWN'!H29</f>
        <v>Line Terminal AMP works and Hot spot attending works in 207-89B</v>
      </c>
      <c r="K30" s="20"/>
      <c r="L30" s="45"/>
      <c r="M30" s="25"/>
      <c r="N30" s="347" t="str">
        <f>'APPROVED SHUTDOWN'!M29</f>
        <v>shall be given only if load management is possible</v>
      </c>
      <c r="O30" s="49" t="str">
        <f>'APPROVED SHUTDOWN'!I29</f>
        <v>10-Jan-2026</v>
      </c>
      <c r="P30" s="49" t="str">
        <f>'APPROVED SHUTDOWN'!J29</f>
        <v>09:00</v>
      </c>
      <c r="Q30" s="6"/>
    </row>
    <row r="31" spans="1:17" s="26" customFormat="1" ht="240" customHeight="1" x14ac:dyDescent="0.25">
      <c r="A31" s="22">
        <f>+'APPROVED SHUTDOWN'!A31</f>
        <v>0</v>
      </c>
      <c r="B31" s="23" t="s">
        <v>1108</v>
      </c>
      <c r="C31" s="15" t="s">
        <v>1111</v>
      </c>
      <c r="D31" s="16">
        <f>+'APPROVED SHUTDOWN'!G31</f>
        <v>0</v>
      </c>
      <c r="E31" s="41">
        <v>2017</v>
      </c>
      <c r="F31" s="24"/>
      <c r="G31" s="18">
        <v>0.57847222222222217</v>
      </c>
      <c r="H31" s="18"/>
      <c r="I31" s="19">
        <f>A31</f>
        <v>0</v>
      </c>
      <c r="J31" s="348" t="s">
        <v>1110</v>
      </c>
      <c r="K31" s="36"/>
      <c r="L31" s="45"/>
      <c r="M31" s="37"/>
      <c r="N31" s="343">
        <f>'APPROVED SHUTDOWN'!M31</f>
        <v>0</v>
      </c>
      <c r="O31" s="49">
        <f>'APPROVED SHUTDOWN'!I31</f>
        <v>0</v>
      </c>
      <c r="P31" s="49">
        <f>'APPROVED SHUTDOWN'!J31</f>
        <v>0</v>
      </c>
      <c r="Q31" s="6"/>
    </row>
    <row r="32" spans="1:17" s="26" customFormat="1" ht="240" customHeight="1" x14ac:dyDescent="0.25">
      <c r="A32" s="22">
        <f>+'APPROVED SHUTDOWN'!A32</f>
        <v>0</v>
      </c>
      <c r="B32" s="23" t="s">
        <v>1109</v>
      </c>
      <c r="C32" s="15" t="s">
        <v>1112</v>
      </c>
      <c r="D32" s="16">
        <f>+'APPROVED SHUTDOWN'!G32</f>
        <v>0</v>
      </c>
      <c r="E32" s="41">
        <v>2008</v>
      </c>
      <c r="F32" s="24"/>
      <c r="G32" s="18">
        <v>0.57916666666666672</v>
      </c>
      <c r="H32" s="18"/>
      <c r="I32" s="19">
        <f>A32</f>
        <v>0</v>
      </c>
      <c r="J32" s="348" t="s">
        <v>1110</v>
      </c>
      <c r="K32" s="36"/>
      <c r="L32" s="45"/>
      <c r="M32" s="37"/>
      <c r="N32" s="343"/>
      <c r="O32" s="49">
        <f>'APPROVED SHUTDOWN'!I32</f>
        <v>0</v>
      </c>
      <c r="P32" s="49">
        <f>'APPROVED SHUTDOWN'!J32</f>
        <v>0</v>
      </c>
      <c r="Q32" s="6"/>
    </row>
    <row r="33" spans="1:17" s="26" customFormat="1" ht="240" customHeight="1" x14ac:dyDescent="0.25">
      <c r="A33" s="22">
        <f>+'APPROVED SHUTDOWN'!A33</f>
        <v>0</v>
      </c>
      <c r="B33" s="23">
        <f>'APPROVED SHUTDOWN'!E33</f>
        <v>0</v>
      </c>
      <c r="C33" s="15">
        <f>+'APPROVED SHUTDOWN'!F33</f>
        <v>0</v>
      </c>
      <c r="D33" s="16">
        <f>+'APPROVED SHUTDOWN'!G33</f>
        <v>0</v>
      </c>
      <c r="E33" s="41"/>
      <c r="F33" s="24"/>
      <c r="G33" s="18"/>
      <c r="H33" s="18"/>
      <c r="I33" s="19">
        <f>A33</f>
        <v>0</v>
      </c>
      <c r="J33" s="20">
        <f>+'APPROVED SHUTDOWN'!H33</f>
        <v>0</v>
      </c>
      <c r="K33" s="20"/>
      <c r="L33" s="45"/>
      <c r="M33" s="25"/>
      <c r="O33" s="49">
        <f>'APPROVED SHUTDOWN'!I33</f>
        <v>0</v>
      </c>
      <c r="P33" s="49">
        <f>'APPROVED SHUTDOWN'!J33</f>
        <v>0</v>
      </c>
      <c r="Q33" s="6"/>
    </row>
    <row r="34" spans="1:17" s="26" customFormat="1" ht="240" customHeight="1" x14ac:dyDescent="0.25">
      <c r="A34" s="22">
        <f>+'APPROVED SHUTDOWN'!A34</f>
        <v>0</v>
      </c>
      <c r="B34" s="23">
        <f>'APPROVED SHUTDOWN'!E34</f>
        <v>0</v>
      </c>
      <c r="C34" s="15">
        <f>+'APPROVED SHUTDOWN'!F34</f>
        <v>0</v>
      </c>
      <c r="D34" s="16">
        <f>+'APPROVED SHUTDOWN'!G34</f>
        <v>0</v>
      </c>
      <c r="E34" s="41"/>
      <c r="F34" s="24"/>
      <c r="G34" s="18"/>
      <c r="H34" s="18"/>
      <c r="I34" s="19">
        <f>A34</f>
        <v>0</v>
      </c>
      <c r="J34" s="20">
        <f>+'APPROVED SHUTDOWN'!H34</f>
        <v>0</v>
      </c>
      <c r="K34" s="20"/>
      <c r="L34" s="45"/>
      <c r="M34" s="25"/>
      <c r="N34" s="343" t="str">
        <f>'APPROVED SHUTDOWN'!M32</f>
        <v>S/I SLDC JABALPUR</v>
      </c>
      <c r="O34" s="49">
        <f>'APPROVED SHUTDOWN'!I34</f>
        <v>0</v>
      </c>
      <c r="P34" s="49">
        <f>'APPROVED SHUTDOWN'!J34</f>
        <v>0</v>
      </c>
      <c r="Q34" s="6"/>
    </row>
    <row r="35" spans="1:17" s="26" customFormat="1" ht="240" customHeight="1" x14ac:dyDescent="0.25">
      <c r="A35" s="22">
        <f>+'APPROVED SHUTDOWN'!A35</f>
        <v>0</v>
      </c>
      <c r="B35" s="23">
        <f>'APPROVED SHUTDOWN'!E35</f>
        <v>0</v>
      </c>
      <c r="C35" s="15">
        <f>+'APPROVED SHUTDOWN'!F35</f>
        <v>0</v>
      </c>
      <c r="D35" s="16">
        <f>+'APPROVED SHUTDOWN'!G35</f>
        <v>0</v>
      </c>
      <c r="E35" s="41"/>
      <c r="F35" s="24"/>
      <c r="G35" s="18"/>
      <c r="H35" s="18"/>
      <c r="I35" s="19">
        <f>A35</f>
        <v>0</v>
      </c>
      <c r="J35" s="20">
        <f>+'APPROVED SHUTDOWN'!H35</f>
        <v>0</v>
      </c>
      <c r="K35" s="20"/>
      <c r="L35" s="45"/>
      <c r="M35" s="25"/>
      <c r="N35" s="343">
        <f>'APPROVED SHUTDOWN'!M35</f>
        <v>0</v>
      </c>
      <c r="O35" s="49">
        <f>'APPROVED SHUTDOWN'!I35</f>
        <v>0</v>
      </c>
      <c r="P35" s="49">
        <f>'APPROVED SHUTDOWN'!J35</f>
        <v>0</v>
      </c>
      <c r="Q35" s="6"/>
    </row>
    <row r="36" spans="1:17" s="26" customFormat="1" ht="240" customHeight="1" x14ac:dyDescent="0.25">
      <c r="A36" s="22">
        <f>+'APPROVED SHUTDOWN'!A36</f>
        <v>0</v>
      </c>
      <c r="B36" s="23">
        <f>'APPROVED SHUTDOWN'!E36</f>
        <v>0</v>
      </c>
      <c r="C36" s="15">
        <f>+'APPROVED SHUTDOWN'!F36</f>
        <v>0</v>
      </c>
      <c r="D36" s="16">
        <f>+'APPROVED SHUTDOWN'!G36</f>
        <v>0</v>
      </c>
      <c r="E36" s="41"/>
      <c r="F36" s="24"/>
      <c r="G36" s="18"/>
      <c r="H36" s="18"/>
      <c r="I36" s="19">
        <f>A36</f>
        <v>0</v>
      </c>
      <c r="J36" s="20">
        <f>+'APPROVED SHUTDOWN'!H36</f>
        <v>0</v>
      </c>
      <c r="K36" s="36"/>
      <c r="L36" s="45"/>
      <c r="M36" s="37"/>
      <c r="O36" s="49">
        <f>'APPROVED SHUTDOWN'!I36</f>
        <v>0</v>
      </c>
      <c r="P36" s="49">
        <f>'APPROVED SHUTDOWN'!J36</f>
        <v>0</v>
      </c>
      <c r="Q36" s="6"/>
    </row>
    <row r="37" spans="1:17" s="26" customFormat="1" ht="240" customHeight="1" x14ac:dyDescent="0.25">
      <c r="A37" s="22">
        <f>+'APPROVED SHUTDOWN'!A37</f>
        <v>0</v>
      </c>
      <c r="B37" s="23">
        <f>'APPROVED SHUTDOWN'!E37</f>
        <v>0</v>
      </c>
      <c r="C37" s="15">
        <f>+'APPROVED SHUTDOWN'!F37</f>
        <v>0</v>
      </c>
      <c r="D37" s="16">
        <f>+'APPROVED SHUTDOWN'!G37</f>
        <v>0</v>
      </c>
      <c r="E37" s="41"/>
      <c r="F37" s="24"/>
      <c r="G37" s="18"/>
      <c r="H37" s="18"/>
      <c r="I37" s="19">
        <f>A37</f>
        <v>0</v>
      </c>
      <c r="J37" s="20">
        <f>+'APPROVED SHUTDOWN'!H37</f>
        <v>0</v>
      </c>
      <c r="K37" s="36"/>
      <c r="L37" s="45"/>
      <c r="M37" s="25"/>
      <c r="N37" s="343">
        <f>+'APPROVED SHUTDOWN'!M37</f>
        <v>0</v>
      </c>
      <c r="O37" s="49">
        <f>'APPROVED SHUTDOWN'!I37</f>
        <v>0</v>
      </c>
      <c r="P37" s="49">
        <f>'APPROVED SHUTDOWN'!J37</f>
        <v>0</v>
      </c>
      <c r="Q37" s="6"/>
    </row>
    <row r="38" spans="1:17" s="26" customFormat="1" ht="240" customHeight="1" x14ac:dyDescent="0.25">
      <c r="A38" s="22">
        <f>+'APPROVED SHUTDOWN'!A38</f>
        <v>0</v>
      </c>
      <c r="B38" s="23">
        <f>'APPROVED SHUTDOWN'!E38</f>
        <v>0</v>
      </c>
      <c r="C38" s="15">
        <f>+'APPROVED SHUTDOWN'!F38</f>
        <v>0</v>
      </c>
      <c r="D38" s="16">
        <f>+'APPROVED SHUTDOWN'!G38</f>
        <v>0</v>
      </c>
      <c r="E38" s="41"/>
      <c r="F38" s="24"/>
      <c r="G38" s="18"/>
      <c r="H38" s="18"/>
      <c r="I38" s="19">
        <f>A38</f>
        <v>0</v>
      </c>
      <c r="J38" s="20">
        <f>+'APPROVED SHUTDOWN'!H38</f>
        <v>0</v>
      </c>
      <c r="K38" s="36"/>
      <c r="L38" s="45"/>
      <c r="M38" s="37"/>
      <c r="N38" s="343">
        <f>+'APPROVED SHUTDOWN'!M38</f>
        <v>0</v>
      </c>
      <c r="O38" s="49">
        <f>'APPROVED SHUTDOWN'!I38</f>
        <v>0</v>
      </c>
      <c r="P38" s="49">
        <f>'APPROVED SHUTDOWN'!J38</f>
        <v>0</v>
      </c>
      <c r="Q38" s="6"/>
    </row>
    <row r="39" spans="1:17" s="26" customFormat="1" ht="240" customHeight="1" x14ac:dyDescent="0.25">
      <c r="A39" s="22">
        <f>+'APPROVED SHUTDOWN'!A39</f>
        <v>0</v>
      </c>
      <c r="B39" s="23">
        <f>'APPROVED SHUTDOWN'!E39</f>
        <v>0</v>
      </c>
      <c r="C39" s="15">
        <f>+'APPROVED SHUTDOWN'!F39</f>
        <v>0</v>
      </c>
      <c r="D39" s="16">
        <f>+'APPROVED SHUTDOWN'!G39</f>
        <v>0</v>
      </c>
      <c r="E39" s="41"/>
      <c r="F39" s="24"/>
      <c r="G39" s="18"/>
      <c r="H39" s="18"/>
      <c r="I39" s="19">
        <f>A39</f>
        <v>0</v>
      </c>
      <c r="J39" s="20">
        <f>+'APPROVED SHUTDOWN'!H39</f>
        <v>0</v>
      </c>
      <c r="K39" s="36"/>
      <c r="L39" s="45"/>
      <c r="M39" s="25"/>
      <c r="N39" s="343">
        <f>+'APPROVED SHUTDOWN'!M39</f>
        <v>0</v>
      </c>
      <c r="O39" s="49">
        <f>'APPROVED SHUTDOWN'!I39</f>
        <v>0</v>
      </c>
      <c r="P39" s="49">
        <f>'APPROVED SHUTDOWN'!J39</f>
        <v>0</v>
      </c>
      <c r="Q39" s="6"/>
    </row>
    <row r="40" spans="1:17" s="26" customFormat="1" ht="240" customHeight="1" x14ac:dyDescent="0.25">
      <c r="A40" s="22">
        <f>+'APPROVED SHUTDOWN'!A40</f>
        <v>0</v>
      </c>
      <c r="B40" s="23">
        <f>'APPROVED SHUTDOWN'!E40</f>
        <v>0</v>
      </c>
      <c r="C40" s="15">
        <f>+'APPROVED SHUTDOWN'!F40</f>
        <v>0</v>
      </c>
      <c r="D40" s="16">
        <f>+'APPROVED SHUTDOWN'!G40</f>
        <v>0</v>
      </c>
      <c r="E40" s="41"/>
      <c r="F40" s="24"/>
      <c r="G40" s="18"/>
      <c r="H40" s="18"/>
      <c r="I40" s="19">
        <f>A40</f>
        <v>0</v>
      </c>
      <c r="J40" s="20">
        <f>+'APPROVED SHUTDOWN'!H40</f>
        <v>0</v>
      </c>
      <c r="K40" s="36"/>
      <c r="L40" s="45"/>
      <c r="M40" s="37"/>
      <c r="N40" s="343">
        <f>+'APPROVED SHUTDOWN'!M40</f>
        <v>0</v>
      </c>
      <c r="O40" s="49">
        <f>'APPROVED SHUTDOWN'!I40</f>
        <v>0</v>
      </c>
      <c r="P40" s="49">
        <f>'APPROVED SHUTDOWN'!J40</f>
        <v>0</v>
      </c>
      <c r="Q40" s="6"/>
    </row>
    <row r="41" spans="1:17" s="26" customFormat="1" ht="240" customHeight="1" x14ac:dyDescent="0.25">
      <c r="A41" s="22">
        <f>+'APPROVED SHUTDOWN'!A41</f>
        <v>0</v>
      </c>
      <c r="B41" s="23">
        <f>'APPROVED SHUTDOWN'!E41</f>
        <v>0</v>
      </c>
      <c r="C41" s="15">
        <f>+'APPROVED SHUTDOWN'!F41</f>
        <v>0</v>
      </c>
      <c r="D41" s="16">
        <f>+'APPROVED SHUTDOWN'!G41</f>
        <v>0</v>
      </c>
      <c r="E41" s="41"/>
      <c r="F41" s="24"/>
      <c r="G41" s="18"/>
      <c r="H41" s="18"/>
      <c r="I41" s="19">
        <f>A41</f>
        <v>0</v>
      </c>
      <c r="J41" s="20">
        <f>+'APPROVED SHUTDOWN'!H41</f>
        <v>0</v>
      </c>
      <c r="K41" s="20"/>
      <c r="L41" s="45"/>
      <c r="M41" s="25"/>
      <c r="N41" s="343">
        <f>+'APPROVED SHUTDOWN'!M41</f>
        <v>0</v>
      </c>
      <c r="O41" s="49">
        <f>'APPROVED SHUTDOWN'!I41</f>
        <v>0</v>
      </c>
      <c r="P41" s="49">
        <f>'APPROVED SHUTDOWN'!J41</f>
        <v>0</v>
      </c>
      <c r="Q41" s="6"/>
    </row>
    <row r="42" spans="1:17" s="26" customFormat="1" ht="240" customHeight="1" x14ac:dyDescent="0.25">
      <c r="A42" s="22">
        <f>+'APPROVED SHUTDOWN'!A42</f>
        <v>0</v>
      </c>
      <c r="B42" s="23">
        <f>'APPROVED SHUTDOWN'!E42</f>
        <v>0</v>
      </c>
      <c r="C42" s="15">
        <f>+'APPROVED SHUTDOWN'!F42</f>
        <v>0</v>
      </c>
      <c r="D42" s="16">
        <f>+'APPROVED SHUTDOWN'!G42</f>
        <v>0</v>
      </c>
      <c r="E42" s="41"/>
      <c r="F42" s="38"/>
      <c r="G42" s="38"/>
      <c r="H42" s="18"/>
      <c r="I42" s="19">
        <f>A42</f>
        <v>0</v>
      </c>
      <c r="J42" s="20">
        <f>+'APPROVED SHUTDOWN'!H42</f>
        <v>0</v>
      </c>
      <c r="K42" s="36"/>
      <c r="L42" s="45"/>
      <c r="M42" s="37"/>
      <c r="N42" s="343">
        <f>+'APPROVED SHUTDOWN'!M42</f>
        <v>0</v>
      </c>
      <c r="O42" s="49">
        <f>'APPROVED SHUTDOWN'!I42</f>
        <v>0</v>
      </c>
      <c r="P42" s="49">
        <f>'APPROVED SHUTDOWN'!J42</f>
        <v>0</v>
      </c>
      <c r="Q42" s="6"/>
    </row>
    <row r="43" spans="1:17" s="26" customFormat="1" ht="240" customHeight="1" x14ac:dyDescent="0.25">
      <c r="A43" s="22">
        <f>+'APPROVED SHUTDOWN'!A43</f>
        <v>0</v>
      </c>
      <c r="B43" s="23">
        <f>'APPROVED SHUTDOWN'!E43</f>
        <v>0</v>
      </c>
      <c r="C43" s="15">
        <f>+'APPROVED SHUTDOWN'!F43</f>
        <v>0</v>
      </c>
      <c r="D43" s="16">
        <f>+'APPROVED SHUTDOWN'!G43</f>
        <v>0</v>
      </c>
      <c r="E43" s="41"/>
      <c r="F43" s="38"/>
      <c r="G43" s="38"/>
      <c r="H43" s="18"/>
      <c r="I43" s="19">
        <f>A43</f>
        <v>0</v>
      </c>
      <c r="J43" s="20">
        <f>+'APPROVED SHUTDOWN'!H43</f>
        <v>0</v>
      </c>
      <c r="K43" s="36"/>
      <c r="L43" s="45"/>
      <c r="M43" s="37"/>
      <c r="N43" s="343">
        <f>+'APPROVED SHUTDOWN'!M43</f>
        <v>0</v>
      </c>
      <c r="O43" s="49">
        <f>'APPROVED SHUTDOWN'!I43</f>
        <v>0</v>
      </c>
      <c r="P43" s="49">
        <f>'APPROVED SHUTDOWN'!J43</f>
        <v>0</v>
      </c>
      <c r="Q43" s="6"/>
    </row>
    <row r="44" spans="1:17" s="26" customFormat="1" ht="240" customHeight="1" x14ac:dyDescent="0.25">
      <c r="A44" s="22">
        <f>+'APPROVED SHUTDOWN'!A44</f>
        <v>0</v>
      </c>
      <c r="B44" s="23">
        <f>'APPROVED SHUTDOWN'!E44</f>
        <v>0</v>
      </c>
      <c r="C44" s="15">
        <f>+'APPROVED SHUTDOWN'!F44</f>
        <v>0</v>
      </c>
      <c r="D44" s="16">
        <f>+'APPROVED SHUTDOWN'!G44</f>
        <v>0</v>
      </c>
      <c r="E44" s="41"/>
      <c r="F44" s="38"/>
      <c r="G44" s="38"/>
      <c r="H44" s="18"/>
      <c r="I44" s="19">
        <f>A44</f>
        <v>0</v>
      </c>
      <c r="J44" s="20">
        <f>+'APPROVED SHUTDOWN'!H44</f>
        <v>0</v>
      </c>
      <c r="K44" s="36"/>
      <c r="L44" s="45"/>
      <c r="M44" s="37"/>
      <c r="N44" s="343">
        <f>+'APPROVED SHUTDOWN'!M44</f>
        <v>0</v>
      </c>
      <c r="O44" s="49">
        <f>'APPROVED SHUTDOWN'!I44</f>
        <v>0</v>
      </c>
      <c r="P44" s="49">
        <f>'APPROVED SHUTDOWN'!J44</f>
        <v>0</v>
      </c>
      <c r="Q44" s="6"/>
    </row>
    <row r="45" spans="1:17" s="26" customFormat="1" ht="240" customHeight="1" x14ac:dyDescent="0.25">
      <c r="A45" s="22">
        <f>+'APPROVED SHUTDOWN'!A45</f>
        <v>0</v>
      </c>
      <c r="B45" s="23">
        <f>'APPROVED SHUTDOWN'!E45</f>
        <v>0</v>
      </c>
      <c r="C45" s="15">
        <f>+'APPROVED SHUTDOWN'!F45</f>
        <v>0</v>
      </c>
      <c r="D45" s="16">
        <f>+'APPROVED SHUTDOWN'!G45</f>
        <v>0</v>
      </c>
      <c r="E45" s="41"/>
      <c r="F45" s="38"/>
      <c r="G45" s="38"/>
      <c r="H45" s="18"/>
      <c r="I45" s="19">
        <f>A45</f>
        <v>0</v>
      </c>
      <c r="J45" s="20">
        <f>+'APPROVED SHUTDOWN'!H45</f>
        <v>0</v>
      </c>
      <c r="K45" s="36"/>
      <c r="L45" s="45"/>
      <c r="M45" s="37"/>
      <c r="N45" s="343">
        <f>+'APPROVED SHUTDOWN'!M45</f>
        <v>0</v>
      </c>
      <c r="O45" s="49">
        <f>'APPROVED SHUTDOWN'!I45</f>
        <v>0</v>
      </c>
      <c r="P45" s="49">
        <f>'APPROVED SHUTDOWN'!J45</f>
        <v>0</v>
      </c>
      <c r="Q45" s="6"/>
    </row>
    <row r="46" spans="1:17" s="26" customFormat="1" ht="240" customHeight="1" x14ac:dyDescent="0.25">
      <c r="A46" s="22">
        <f>+'APPROVED SHUTDOWN'!A46</f>
        <v>0</v>
      </c>
      <c r="B46" s="23">
        <f>'APPROVED SHUTDOWN'!E46</f>
        <v>0</v>
      </c>
      <c r="C46" s="15">
        <f>+'APPROVED SHUTDOWN'!F46</f>
        <v>0</v>
      </c>
      <c r="D46" s="16">
        <f>+'APPROVED SHUTDOWN'!G46</f>
        <v>0</v>
      </c>
      <c r="E46" s="41"/>
      <c r="F46" s="38"/>
      <c r="G46" s="38"/>
      <c r="H46" s="18"/>
      <c r="I46" s="19">
        <f>A46</f>
        <v>0</v>
      </c>
      <c r="J46" s="20">
        <f>+'APPROVED SHUTDOWN'!H46</f>
        <v>0</v>
      </c>
      <c r="K46" s="36"/>
      <c r="L46" s="45"/>
      <c r="M46" s="37"/>
      <c r="N46" s="343">
        <f>+'APPROVED SHUTDOWN'!M46</f>
        <v>0</v>
      </c>
      <c r="O46" s="49">
        <f>'APPROVED SHUTDOWN'!I46</f>
        <v>0</v>
      </c>
      <c r="P46" s="49">
        <f>'APPROVED SHUTDOWN'!J46</f>
        <v>0</v>
      </c>
      <c r="Q46" s="6"/>
    </row>
    <row r="47" spans="1:17" s="26" customFormat="1" ht="240" customHeight="1" x14ac:dyDescent="0.25">
      <c r="A47" s="22">
        <f>+'APPROVED SHUTDOWN'!A47</f>
        <v>0</v>
      </c>
      <c r="B47" s="23">
        <f>'APPROVED SHUTDOWN'!E47</f>
        <v>0</v>
      </c>
      <c r="C47" s="15">
        <f>+'APPROVED SHUTDOWN'!F47</f>
        <v>0</v>
      </c>
      <c r="D47" s="16">
        <f>+'APPROVED SHUTDOWN'!G47</f>
        <v>0</v>
      </c>
      <c r="E47" s="41"/>
      <c r="F47" s="38"/>
      <c r="G47" s="38"/>
      <c r="H47" s="18"/>
      <c r="I47" s="19">
        <f>A47</f>
        <v>0</v>
      </c>
      <c r="J47" s="20">
        <f>+'APPROVED SHUTDOWN'!H47</f>
        <v>0</v>
      </c>
      <c r="K47" s="36"/>
      <c r="L47" s="45"/>
      <c r="M47" s="37"/>
      <c r="N47" s="343">
        <f>+'APPROVED SHUTDOWN'!M47</f>
        <v>0</v>
      </c>
      <c r="O47" s="49">
        <f>'APPROVED SHUTDOWN'!I47</f>
        <v>0</v>
      </c>
      <c r="P47" s="49">
        <f>'APPROVED SHUTDOWN'!J47</f>
        <v>0</v>
      </c>
      <c r="Q47" s="47"/>
    </row>
    <row r="48" spans="1:17" s="26" customFormat="1" ht="240" customHeight="1" x14ac:dyDescent="0.25">
      <c r="A48" s="22">
        <f>+'APPROVED SHUTDOWN'!A48</f>
        <v>0</v>
      </c>
      <c r="B48" s="23">
        <f>'APPROVED SHUTDOWN'!E48</f>
        <v>0</v>
      </c>
      <c r="C48" s="15">
        <f>+'APPROVED SHUTDOWN'!F48</f>
        <v>0</v>
      </c>
      <c r="D48" s="16">
        <f>+'APPROVED SHUTDOWN'!G48</f>
        <v>0</v>
      </c>
      <c r="E48" s="41"/>
      <c r="F48" s="38"/>
      <c r="G48" s="38"/>
      <c r="H48" s="18"/>
      <c r="I48" s="19">
        <f>A48</f>
        <v>0</v>
      </c>
      <c r="J48" s="20">
        <f>+'APPROVED SHUTDOWN'!H48</f>
        <v>0</v>
      </c>
      <c r="K48" s="36"/>
      <c r="L48" s="45"/>
      <c r="M48" s="37"/>
      <c r="N48" s="343">
        <f>+'APPROVED SHUTDOWN'!M48</f>
        <v>0</v>
      </c>
      <c r="O48" s="49">
        <f>'APPROVED SHUTDOWN'!I48</f>
        <v>0</v>
      </c>
      <c r="P48" s="49">
        <f>'APPROVED SHUTDOWN'!J48</f>
        <v>0</v>
      </c>
      <c r="Q48" s="47"/>
    </row>
    <row r="49" spans="1:17" s="26" customFormat="1" ht="240" customHeight="1" x14ac:dyDescent="0.25">
      <c r="A49" s="22">
        <f>+'APPROVED SHUTDOWN'!A49</f>
        <v>0</v>
      </c>
      <c r="B49" s="23">
        <f>'APPROVED SHUTDOWN'!E49</f>
        <v>0</v>
      </c>
      <c r="C49" s="15">
        <f>+'APPROVED SHUTDOWN'!F49</f>
        <v>0</v>
      </c>
      <c r="D49" s="16">
        <f>+'APPROVED SHUTDOWN'!G49</f>
        <v>0</v>
      </c>
      <c r="E49" s="41"/>
      <c r="F49" s="38"/>
      <c r="G49" s="38"/>
      <c r="H49" s="18"/>
      <c r="I49" s="19">
        <f>A49</f>
        <v>0</v>
      </c>
      <c r="J49" s="20">
        <f>+'APPROVED SHUTDOWN'!H49</f>
        <v>0</v>
      </c>
      <c r="K49" s="36"/>
      <c r="L49" s="45"/>
      <c r="M49" s="37"/>
      <c r="N49" s="343">
        <f>+'APPROVED SHUTDOWN'!M49</f>
        <v>0</v>
      </c>
      <c r="O49" s="49">
        <f>'APPROVED SHUTDOWN'!I49</f>
        <v>0</v>
      </c>
      <c r="P49" s="49">
        <f>'APPROVED SHUTDOWN'!J49</f>
        <v>0</v>
      </c>
      <c r="Q49" s="47"/>
    </row>
    <row r="50" spans="1:17" s="26" customFormat="1" ht="240" customHeight="1" x14ac:dyDescent="0.25">
      <c r="A50" s="22">
        <f>+'APPROVED SHUTDOWN'!A50</f>
        <v>0</v>
      </c>
      <c r="B50" s="23">
        <f>'APPROVED SHUTDOWN'!E50</f>
        <v>0</v>
      </c>
      <c r="C50" s="15">
        <f>+'APPROVED SHUTDOWN'!F50</f>
        <v>0</v>
      </c>
      <c r="D50" s="16">
        <f>+'APPROVED SHUTDOWN'!G50</f>
        <v>0</v>
      </c>
      <c r="E50" s="41"/>
      <c r="F50" s="38"/>
      <c r="G50" s="38"/>
      <c r="H50" s="18"/>
      <c r="I50" s="19">
        <f>A50</f>
        <v>0</v>
      </c>
      <c r="J50" s="20">
        <f>+'APPROVED SHUTDOWN'!H50</f>
        <v>0</v>
      </c>
      <c r="K50" s="36"/>
      <c r="L50" s="45"/>
      <c r="M50" s="37"/>
      <c r="N50" s="343">
        <f>+'APPROVED SHUTDOWN'!M50</f>
        <v>0</v>
      </c>
      <c r="O50" s="49">
        <f>'APPROVED SHUTDOWN'!I50</f>
        <v>0</v>
      </c>
      <c r="P50" s="49">
        <f>'APPROVED SHUTDOWN'!J50</f>
        <v>0</v>
      </c>
      <c r="Q50" s="47"/>
    </row>
    <row r="51" spans="1:17" s="26" customFormat="1" ht="240" customHeight="1" x14ac:dyDescent="0.25">
      <c r="A51" s="22">
        <f>+'APPROVED SHUTDOWN'!A51</f>
        <v>0</v>
      </c>
      <c r="B51" s="23">
        <f>'APPROVED SHUTDOWN'!E51</f>
        <v>0</v>
      </c>
      <c r="C51" s="15">
        <f>+'APPROVED SHUTDOWN'!F51</f>
        <v>0</v>
      </c>
      <c r="D51" s="16">
        <f>+'APPROVED SHUTDOWN'!G51</f>
        <v>0</v>
      </c>
      <c r="E51" s="41"/>
      <c r="F51" s="38"/>
      <c r="G51" s="38"/>
      <c r="H51" s="18"/>
      <c r="I51" s="19">
        <f>A51</f>
        <v>0</v>
      </c>
      <c r="J51" s="20">
        <f>+'APPROVED SHUTDOWN'!H51</f>
        <v>0</v>
      </c>
      <c r="K51" s="36"/>
      <c r="L51" s="45"/>
      <c r="M51" s="37"/>
      <c r="N51" s="343">
        <f>+'APPROVED SHUTDOWN'!M51</f>
        <v>0</v>
      </c>
      <c r="O51" s="49">
        <f>'APPROVED SHUTDOWN'!I51</f>
        <v>0</v>
      </c>
      <c r="P51" s="49">
        <f>'APPROVED SHUTDOWN'!J51</f>
        <v>0</v>
      </c>
      <c r="Q51" s="47"/>
    </row>
    <row r="52" spans="1:17" s="26" customFormat="1" ht="240" customHeight="1" x14ac:dyDescent="0.25">
      <c r="A52" s="22">
        <f>+'APPROVED SHUTDOWN'!A52</f>
        <v>0</v>
      </c>
      <c r="B52" s="23">
        <f>'APPROVED SHUTDOWN'!E52</f>
        <v>0</v>
      </c>
      <c r="C52" s="15">
        <f>+'APPROVED SHUTDOWN'!F52</f>
        <v>0</v>
      </c>
      <c r="D52" s="16">
        <f>+'APPROVED SHUTDOWN'!G52</f>
        <v>0</v>
      </c>
      <c r="E52" s="41"/>
      <c r="F52" s="38"/>
      <c r="G52" s="38"/>
      <c r="H52" s="18"/>
      <c r="I52" s="19">
        <f>A52</f>
        <v>0</v>
      </c>
      <c r="J52" s="20">
        <f>+'APPROVED SHUTDOWN'!H52</f>
        <v>0</v>
      </c>
      <c r="K52" s="36"/>
      <c r="L52" s="45"/>
      <c r="M52" s="37"/>
      <c r="N52" s="343">
        <f>+'APPROVED SHUTDOWN'!M52</f>
        <v>0</v>
      </c>
      <c r="O52" s="49">
        <f>'APPROVED SHUTDOWN'!I52</f>
        <v>0</v>
      </c>
      <c r="P52" s="49">
        <f>'APPROVED SHUTDOWN'!J52</f>
        <v>0</v>
      </c>
      <c r="Q52" s="47"/>
    </row>
    <row r="53" spans="1:17" s="26" customFormat="1" ht="240" customHeight="1" x14ac:dyDescent="0.25">
      <c r="A53" s="22">
        <f>+'APPROVED SHUTDOWN'!A53</f>
        <v>0</v>
      </c>
      <c r="B53" s="23">
        <f>'APPROVED SHUTDOWN'!E53</f>
        <v>0</v>
      </c>
      <c r="C53" s="15">
        <f>+'APPROVED SHUTDOWN'!F53</f>
        <v>0</v>
      </c>
      <c r="D53" s="16">
        <f>+'APPROVED SHUTDOWN'!G53</f>
        <v>0</v>
      </c>
      <c r="E53" s="41"/>
      <c r="F53" s="38"/>
      <c r="G53" s="38"/>
      <c r="H53" s="18"/>
      <c r="I53" s="19">
        <f>A53</f>
        <v>0</v>
      </c>
      <c r="J53" s="20">
        <f>+'APPROVED SHUTDOWN'!H53</f>
        <v>0</v>
      </c>
      <c r="K53" s="36"/>
      <c r="L53" s="45"/>
      <c r="M53" s="37"/>
      <c r="N53" s="343">
        <f>+'APPROVED SHUTDOWN'!M53</f>
        <v>0</v>
      </c>
      <c r="O53" s="49">
        <f>'APPROVED SHUTDOWN'!I53</f>
        <v>0</v>
      </c>
      <c r="P53" s="49">
        <f>'APPROVED SHUTDOWN'!J53</f>
        <v>0</v>
      </c>
      <c r="Q53" s="47"/>
    </row>
    <row r="54" spans="1:17" s="26" customFormat="1" ht="240" customHeight="1" x14ac:dyDescent="0.25">
      <c r="A54" s="22">
        <f>+'APPROVED SHUTDOWN'!A54</f>
        <v>0</v>
      </c>
      <c r="B54" s="23">
        <f>'APPROVED SHUTDOWN'!E54</f>
        <v>0</v>
      </c>
      <c r="C54" s="15">
        <f>+'APPROVED SHUTDOWN'!F54</f>
        <v>0</v>
      </c>
      <c r="D54" s="16">
        <f>+'APPROVED SHUTDOWN'!G54</f>
        <v>0</v>
      </c>
      <c r="E54" s="41"/>
      <c r="F54" s="38"/>
      <c r="G54" s="38"/>
      <c r="H54" s="18"/>
      <c r="I54" s="19">
        <f>A54</f>
        <v>0</v>
      </c>
      <c r="J54" s="20">
        <f>+'APPROVED SHUTDOWN'!H54</f>
        <v>0</v>
      </c>
      <c r="K54" s="36"/>
      <c r="L54" s="45"/>
      <c r="M54" s="37"/>
      <c r="N54" s="343">
        <f>+'APPROVED SHUTDOWN'!M54</f>
        <v>0</v>
      </c>
      <c r="O54" s="49">
        <f>'APPROVED SHUTDOWN'!I54</f>
        <v>0</v>
      </c>
      <c r="P54" s="49">
        <f>'APPROVED SHUTDOWN'!J54</f>
        <v>0</v>
      </c>
      <c r="Q54" s="47"/>
    </row>
    <row r="55" spans="1:17" s="26" customFormat="1" ht="240" customHeight="1" x14ac:dyDescent="0.25">
      <c r="A55" s="22">
        <f>+'APPROVED SHUTDOWN'!A55</f>
        <v>0</v>
      </c>
      <c r="B55" s="23">
        <f>'APPROVED SHUTDOWN'!E55</f>
        <v>0</v>
      </c>
      <c r="C55" s="15">
        <f>+'APPROVED SHUTDOWN'!F55</f>
        <v>0</v>
      </c>
      <c r="D55" s="16">
        <f>+'APPROVED SHUTDOWN'!G55</f>
        <v>0</v>
      </c>
      <c r="E55" s="41"/>
      <c r="F55" s="38"/>
      <c r="G55" s="38"/>
      <c r="H55" s="18"/>
      <c r="I55" s="19">
        <f>A55</f>
        <v>0</v>
      </c>
      <c r="J55" s="20">
        <f>+'APPROVED SHUTDOWN'!H55</f>
        <v>0</v>
      </c>
      <c r="K55" s="36"/>
      <c r="L55" s="45"/>
      <c r="M55" s="37"/>
      <c r="N55" s="343">
        <f>+'APPROVED SHUTDOWN'!M55</f>
        <v>0</v>
      </c>
      <c r="O55" s="49">
        <f>'APPROVED SHUTDOWN'!I55</f>
        <v>0</v>
      </c>
      <c r="P55" s="49">
        <f>'APPROVED SHUTDOWN'!J55</f>
        <v>0</v>
      </c>
      <c r="Q55" s="47"/>
    </row>
    <row r="56" spans="1:17" s="26" customFormat="1" ht="240" customHeight="1" x14ac:dyDescent="0.25">
      <c r="A56" s="22">
        <f>+'APPROVED SHUTDOWN'!A56</f>
        <v>0</v>
      </c>
      <c r="B56" s="23">
        <f>'APPROVED SHUTDOWN'!E56</f>
        <v>0</v>
      </c>
      <c r="C56" s="15">
        <f>+'APPROVED SHUTDOWN'!F56</f>
        <v>0</v>
      </c>
      <c r="D56" s="16">
        <f>+'APPROVED SHUTDOWN'!G56</f>
        <v>0</v>
      </c>
      <c r="E56" s="41"/>
      <c r="F56" s="38"/>
      <c r="G56" s="38"/>
      <c r="H56" s="18"/>
      <c r="I56" s="19">
        <f>A56</f>
        <v>0</v>
      </c>
      <c r="J56" s="20">
        <f>+'APPROVED SHUTDOWN'!H56</f>
        <v>0</v>
      </c>
      <c r="K56" s="36"/>
      <c r="L56" s="45"/>
      <c r="M56" s="37"/>
      <c r="N56" s="343">
        <f>+'APPROVED SHUTDOWN'!M56</f>
        <v>0</v>
      </c>
      <c r="O56" s="49">
        <f>'APPROVED SHUTDOWN'!I56</f>
        <v>0</v>
      </c>
      <c r="P56" s="49">
        <f>'APPROVED SHUTDOWN'!J56</f>
        <v>0</v>
      </c>
      <c r="Q56" s="47"/>
    </row>
    <row r="57" spans="1:17" s="26" customFormat="1" ht="240" customHeight="1" x14ac:dyDescent="0.25">
      <c r="A57" s="22">
        <f>+'APPROVED SHUTDOWN'!A57</f>
        <v>0</v>
      </c>
      <c r="B57" s="23">
        <f>'APPROVED SHUTDOWN'!E57</f>
        <v>0</v>
      </c>
      <c r="C57" s="15">
        <f>+'APPROVED SHUTDOWN'!F57</f>
        <v>0</v>
      </c>
      <c r="D57" s="16">
        <f>+'APPROVED SHUTDOWN'!G57</f>
        <v>0</v>
      </c>
      <c r="E57" s="41"/>
      <c r="F57" s="38"/>
      <c r="G57" s="38"/>
      <c r="H57" s="18"/>
      <c r="I57" s="19">
        <f>A57</f>
        <v>0</v>
      </c>
      <c r="J57" s="20">
        <f>+'APPROVED SHUTDOWN'!H57</f>
        <v>0</v>
      </c>
      <c r="K57" s="36"/>
      <c r="L57" s="45"/>
      <c r="M57" s="37"/>
      <c r="N57" s="343">
        <f>+'APPROVED SHUTDOWN'!M57</f>
        <v>0</v>
      </c>
      <c r="O57" s="49">
        <f>'APPROVED SHUTDOWN'!I57</f>
        <v>0</v>
      </c>
      <c r="P57" s="49">
        <f>'APPROVED SHUTDOWN'!J57</f>
        <v>0</v>
      </c>
      <c r="Q57" s="47"/>
    </row>
    <row r="58" spans="1:17" s="26" customFormat="1" ht="240" customHeight="1" x14ac:dyDescent="0.25">
      <c r="A58" s="22">
        <f>+'APPROVED SHUTDOWN'!A58</f>
        <v>0</v>
      </c>
      <c r="B58" s="23">
        <f>'APPROVED SHUTDOWN'!E58</f>
        <v>0</v>
      </c>
      <c r="C58" s="15">
        <f>+'APPROVED SHUTDOWN'!F58</f>
        <v>0</v>
      </c>
      <c r="D58" s="16">
        <f>+'APPROVED SHUTDOWN'!G58</f>
        <v>0</v>
      </c>
      <c r="E58" s="41"/>
      <c r="F58" s="38"/>
      <c r="G58" s="38"/>
      <c r="H58" s="18"/>
      <c r="I58" s="19">
        <f>A58</f>
        <v>0</v>
      </c>
      <c r="J58" s="20">
        <f>+'APPROVED SHUTDOWN'!H58</f>
        <v>0</v>
      </c>
      <c r="K58" s="36"/>
      <c r="L58" s="45"/>
      <c r="M58" s="37"/>
      <c r="N58" s="343">
        <f>+'APPROVED SHUTDOWN'!M58</f>
        <v>0</v>
      </c>
      <c r="O58" s="49">
        <f>'APPROVED SHUTDOWN'!I58</f>
        <v>0</v>
      </c>
      <c r="P58" s="49">
        <f>'APPROVED SHUTDOWN'!J58</f>
        <v>0</v>
      </c>
      <c r="Q58" s="47"/>
    </row>
    <row r="59" spans="1:17" s="26" customFormat="1" ht="240" customHeight="1" x14ac:dyDescent="0.25">
      <c r="A59" s="22">
        <f>+'APPROVED SHUTDOWN'!A59</f>
        <v>0</v>
      </c>
      <c r="B59" s="23">
        <f>'APPROVED SHUTDOWN'!E59</f>
        <v>0</v>
      </c>
      <c r="C59" s="15">
        <f>+'APPROVED SHUTDOWN'!F59</f>
        <v>0</v>
      </c>
      <c r="D59" s="16">
        <f>+'APPROVED SHUTDOWN'!G59</f>
        <v>0</v>
      </c>
      <c r="E59" s="41"/>
      <c r="F59" s="38"/>
      <c r="G59" s="38"/>
      <c r="H59" s="18"/>
      <c r="I59" s="19">
        <f>A59</f>
        <v>0</v>
      </c>
      <c r="J59" s="20">
        <f>+'APPROVED SHUTDOWN'!H59</f>
        <v>0</v>
      </c>
      <c r="K59" s="36"/>
      <c r="L59" s="45"/>
      <c r="M59" s="37"/>
      <c r="N59" s="343">
        <f>+'APPROVED SHUTDOWN'!M59</f>
        <v>0</v>
      </c>
      <c r="O59" s="49">
        <f>'APPROVED SHUTDOWN'!I59</f>
        <v>0</v>
      </c>
      <c r="P59" s="49">
        <f>'APPROVED SHUTDOWN'!J59</f>
        <v>0</v>
      </c>
      <c r="Q59" s="47"/>
    </row>
    <row r="60" spans="1:17" s="26" customFormat="1" ht="240" customHeight="1" x14ac:dyDescent="0.25">
      <c r="A60" s="22">
        <f>+'APPROVED SHUTDOWN'!A60</f>
        <v>0</v>
      </c>
      <c r="B60" s="23">
        <f>'APPROVED SHUTDOWN'!E60</f>
        <v>0</v>
      </c>
      <c r="C60" s="15">
        <f>+'APPROVED SHUTDOWN'!F60</f>
        <v>0</v>
      </c>
      <c r="D60" s="16">
        <f>+'APPROVED SHUTDOWN'!G60</f>
        <v>0</v>
      </c>
      <c r="E60" s="41"/>
      <c r="F60" s="38"/>
      <c r="G60" s="38"/>
      <c r="H60" s="18"/>
      <c r="I60" s="19">
        <f>A60</f>
        <v>0</v>
      </c>
      <c r="J60" s="20">
        <f>+'APPROVED SHUTDOWN'!H60</f>
        <v>0</v>
      </c>
      <c r="K60" s="36"/>
      <c r="L60" s="45"/>
      <c r="M60" s="37"/>
      <c r="N60" s="343">
        <f>+'APPROVED SHUTDOWN'!M60</f>
        <v>0</v>
      </c>
      <c r="O60" s="49">
        <f>'APPROVED SHUTDOWN'!I60</f>
        <v>0</v>
      </c>
      <c r="P60" s="49">
        <f>'APPROVED SHUTDOWN'!J60</f>
        <v>0</v>
      </c>
      <c r="Q60" s="47"/>
    </row>
    <row r="61" spans="1:17" ht="240" customHeight="1" x14ac:dyDescent="0.25">
      <c r="A61" s="22">
        <f>+'APPROVED SHUTDOWN'!A61</f>
        <v>0</v>
      </c>
      <c r="B61" s="23">
        <f>'APPROVED SHUTDOWN'!E61</f>
        <v>0</v>
      </c>
      <c r="C61" s="15">
        <f>+'APPROVED SHUTDOWN'!F61</f>
        <v>0</v>
      </c>
      <c r="D61" s="16">
        <f>+'APPROVED SHUTDOWN'!G61</f>
        <v>0</v>
      </c>
      <c r="E61" s="41"/>
      <c r="F61" s="38"/>
      <c r="G61" s="38"/>
      <c r="H61" s="18"/>
      <c r="I61" s="19">
        <f>A61</f>
        <v>0</v>
      </c>
      <c r="J61" s="20">
        <f>+'APPROVED SHUTDOWN'!H61</f>
        <v>0</v>
      </c>
      <c r="K61" s="36"/>
      <c r="M61" s="37"/>
      <c r="N61" s="343">
        <f>+'APPROVED SHUTDOWN'!M61</f>
        <v>0</v>
      </c>
      <c r="O61" s="49">
        <f>'APPROVED SHUTDOWN'!I61</f>
        <v>0</v>
      </c>
      <c r="P61" s="49">
        <f>'APPROVED SHUTDOWN'!J61</f>
        <v>0</v>
      </c>
      <c r="Q61" s="58"/>
    </row>
    <row r="62" spans="1:17" ht="240" customHeight="1" x14ac:dyDescent="0.25">
      <c r="A62" s="22">
        <f>+'APPROVED SHUTDOWN'!A62</f>
        <v>0</v>
      </c>
      <c r="B62" s="23">
        <f>'APPROVED SHUTDOWN'!E62</f>
        <v>0</v>
      </c>
      <c r="C62" s="15">
        <f>+'APPROVED SHUTDOWN'!F62</f>
        <v>0</v>
      </c>
      <c r="D62" s="16">
        <f>+'APPROVED SHUTDOWN'!G62</f>
        <v>0</v>
      </c>
      <c r="E62" s="41"/>
      <c r="F62" s="38"/>
      <c r="G62" s="38"/>
      <c r="H62" s="18"/>
      <c r="I62" s="19">
        <f>A62</f>
        <v>0</v>
      </c>
      <c r="J62" s="20">
        <f>+'APPROVED SHUTDOWN'!H62</f>
        <v>0</v>
      </c>
      <c r="K62" s="36"/>
      <c r="M62" s="37"/>
      <c r="N62" s="343">
        <f>+'APPROVED SHUTDOWN'!M62</f>
        <v>0</v>
      </c>
      <c r="O62" s="49">
        <f>'APPROVED SHUTDOWN'!I62</f>
        <v>0</v>
      </c>
      <c r="P62" s="49">
        <f>'APPROVED SHUTDOWN'!J62</f>
        <v>0</v>
      </c>
      <c r="Q62" s="58"/>
    </row>
    <row r="63" spans="1:17" ht="240" customHeight="1" x14ac:dyDescent="0.25">
      <c r="A63" s="22">
        <f>+'APPROVED SHUTDOWN'!A63</f>
        <v>0</v>
      </c>
      <c r="B63" s="23">
        <f>'APPROVED SHUTDOWN'!E63</f>
        <v>0</v>
      </c>
      <c r="C63" s="15">
        <f>+'APPROVED SHUTDOWN'!F63</f>
        <v>0</v>
      </c>
      <c r="D63" s="16">
        <f>+'APPROVED SHUTDOWN'!G63</f>
        <v>0</v>
      </c>
      <c r="E63" s="41"/>
      <c r="F63" s="38"/>
      <c r="G63" s="38"/>
      <c r="H63" s="18"/>
      <c r="I63" s="19">
        <f>A63</f>
        <v>0</v>
      </c>
      <c r="J63" s="20">
        <f>+'APPROVED SHUTDOWN'!H63</f>
        <v>0</v>
      </c>
      <c r="K63" s="36"/>
      <c r="M63" s="37"/>
      <c r="N63" s="343">
        <f>+'APPROVED SHUTDOWN'!M63</f>
        <v>0</v>
      </c>
      <c r="O63" s="49">
        <f>'APPROVED SHUTDOWN'!I63</f>
        <v>0</v>
      </c>
      <c r="P63" s="49">
        <f>'APPROVED SHUTDOWN'!J63</f>
        <v>0</v>
      </c>
      <c r="Q63" s="58"/>
    </row>
    <row r="64" spans="1:17" ht="240" customHeight="1" x14ac:dyDescent="0.25">
      <c r="A64" s="22">
        <f>+'APPROVED SHUTDOWN'!A64</f>
        <v>0</v>
      </c>
      <c r="B64" s="23">
        <f>'APPROVED SHUTDOWN'!E64</f>
        <v>0</v>
      </c>
      <c r="C64" s="15">
        <f>+'APPROVED SHUTDOWN'!F64</f>
        <v>0</v>
      </c>
      <c r="D64" s="16">
        <f>+'APPROVED SHUTDOWN'!G64</f>
        <v>0</v>
      </c>
      <c r="E64" s="41"/>
      <c r="F64" s="38"/>
      <c r="G64" s="38"/>
      <c r="H64" s="18"/>
      <c r="I64" s="19">
        <f>A64</f>
        <v>0</v>
      </c>
      <c r="J64" s="20">
        <f>+'APPROVED SHUTDOWN'!H64</f>
        <v>0</v>
      </c>
      <c r="K64" s="36"/>
      <c r="M64" s="37"/>
      <c r="N64" s="343">
        <f>+'APPROVED SHUTDOWN'!M64</f>
        <v>0</v>
      </c>
      <c r="O64" s="49">
        <f>'APPROVED SHUTDOWN'!I64</f>
        <v>0</v>
      </c>
      <c r="P64" s="49">
        <f>'APPROVED SHUTDOWN'!J64</f>
        <v>0</v>
      </c>
      <c r="Q64" s="58"/>
    </row>
    <row r="65" spans="1:17" ht="240" customHeight="1" x14ac:dyDescent="0.25">
      <c r="A65" s="22">
        <f>+'APPROVED SHUTDOWN'!A65</f>
        <v>0</v>
      </c>
      <c r="B65" s="23">
        <f>'APPROVED SHUTDOWN'!E65</f>
        <v>0</v>
      </c>
      <c r="C65" s="15">
        <f>+'APPROVED SHUTDOWN'!F65</f>
        <v>0</v>
      </c>
      <c r="D65" s="16">
        <f>+'APPROVED SHUTDOWN'!G65</f>
        <v>0</v>
      </c>
      <c r="E65" s="41"/>
      <c r="F65" s="38"/>
      <c r="G65" s="38"/>
      <c r="H65" s="18"/>
      <c r="I65" s="19">
        <f>A65</f>
        <v>0</v>
      </c>
      <c r="J65" s="20">
        <f>+'APPROVED SHUTDOWN'!H65</f>
        <v>0</v>
      </c>
      <c r="K65" s="36"/>
      <c r="M65" s="37"/>
      <c r="N65" s="343">
        <f>+'APPROVED SHUTDOWN'!M65</f>
        <v>0</v>
      </c>
      <c r="O65" s="49">
        <f>'APPROVED SHUTDOWN'!I65</f>
        <v>0</v>
      </c>
      <c r="P65" s="49">
        <f>'APPROVED SHUTDOWN'!J65</f>
        <v>0</v>
      </c>
      <c r="Q65" s="58"/>
    </row>
    <row r="66" spans="1:17" ht="240" customHeight="1" x14ac:dyDescent="0.25">
      <c r="A66" s="22">
        <f>+'APPROVED SHUTDOWN'!A66</f>
        <v>0</v>
      </c>
      <c r="B66" s="23">
        <f>'APPROVED SHUTDOWN'!E66</f>
        <v>0</v>
      </c>
      <c r="C66" s="15">
        <f>+'APPROVED SHUTDOWN'!F66</f>
        <v>0</v>
      </c>
      <c r="D66" s="16">
        <f>+'APPROVED SHUTDOWN'!G66</f>
        <v>0</v>
      </c>
      <c r="E66" s="41"/>
      <c r="F66" s="38"/>
      <c r="G66" s="38"/>
      <c r="H66" s="18"/>
      <c r="I66" s="19">
        <f>A66</f>
        <v>0</v>
      </c>
      <c r="J66" s="20">
        <f>+'APPROVED SHUTDOWN'!H66</f>
        <v>0</v>
      </c>
      <c r="K66" s="36"/>
      <c r="M66" s="37"/>
      <c r="N66" s="343">
        <f>+'APPROVED SHUTDOWN'!M66</f>
        <v>0</v>
      </c>
      <c r="O66" s="49">
        <f>'APPROVED SHUTDOWN'!I66</f>
        <v>0</v>
      </c>
      <c r="P66" s="49">
        <f>'APPROVED SHUTDOWN'!J66</f>
        <v>0</v>
      </c>
      <c r="Q66" s="58"/>
    </row>
    <row r="67" spans="1:17" ht="240" customHeight="1" x14ac:dyDescent="0.25">
      <c r="A67" s="22">
        <f>+'APPROVED SHUTDOWN'!A67</f>
        <v>0</v>
      </c>
      <c r="B67" s="23">
        <f>'APPROVED SHUTDOWN'!E67</f>
        <v>0</v>
      </c>
      <c r="C67" s="15">
        <f>+'APPROVED SHUTDOWN'!F67</f>
        <v>0</v>
      </c>
      <c r="D67" s="16">
        <f>+'APPROVED SHUTDOWN'!G67</f>
        <v>0</v>
      </c>
      <c r="E67" s="41"/>
      <c r="F67" s="38"/>
      <c r="G67" s="38"/>
      <c r="H67" s="18"/>
      <c r="I67" s="19">
        <f>A67</f>
        <v>0</v>
      </c>
      <c r="J67" s="20">
        <f>+'APPROVED SHUTDOWN'!H67</f>
        <v>0</v>
      </c>
      <c r="K67" s="36"/>
      <c r="M67" s="37"/>
      <c r="N67" s="343">
        <f>+'APPROVED SHUTDOWN'!M67</f>
        <v>0</v>
      </c>
      <c r="O67" s="49">
        <f>'APPROVED SHUTDOWN'!I67</f>
        <v>0</v>
      </c>
      <c r="P67" s="49">
        <f>'APPROVED SHUTDOWN'!J67</f>
        <v>0</v>
      </c>
      <c r="Q67" s="58"/>
    </row>
    <row r="68" spans="1:17" ht="240" customHeight="1" x14ac:dyDescent="0.25">
      <c r="A68" s="22">
        <f>+'APPROVED SHUTDOWN'!A68</f>
        <v>0</v>
      </c>
      <c r="B68" s="23">
        <f>'APPROVED SHUTDOWN'!E68</f>
        <v>0</v>
      </c>
      <c r="C68" s="15">
        <f>+'APPROVED SHUTDOWN'!F68</f>
        <v>0</v>
      </c>
      <c r="D68" s="16">
        <f>+'APPROVED SHUTDOWN'!G68</f>
        <v>0</v>
      </c>
      <c r="E68" s="41"/>
      <c r="F68" s="38"/>
      <c r="G68" s="38"/>
      <c r="H68" s="18"/>
      <c r="I68" s="19">
        <f>A68</f>
        <v>0</v>
      </c>
      <c r="J68" s="20">
        <f>+'APPROVED SHUTDOWN'!H68</f>
        <v>0</v>
      </c>
      <c r="K68" s="36"/>
      <c r="M68" s="37"/>
      <c r="N68" s="343">
        <f>+'APPROVED SHUTDOWN'!M68</f>
        <v>0</v>
      </c>
      <c r="O68" s="49">
        <f>'APPROVED SHUTDOWN'!I68</f>
        <v>0</v>
      </c>
      <c r="P68" s="49">
        <f>'APPROVED SHUTDOWN'!J68</f>
        <v>0</v>
      </c>
      <c r="Q68" s="58"/>
    </row>
    <row r="69" spans="1:17" ht="240" customHeight="1" x14ac:dyDescent="0.25">
      <c r="A69" s="22">
        <f>+'APPROVED SHUTDOWN'!A69</f>
        <v>0</v>
      </c>
      <c r="B69" s="23">
        <f>'APPROVED SHUTDOWN'!E69</f>
        <v>0</v>
      </c>
      <c r="C69" s="15">
        <f>+'APPROVED SHUTDOWN'!F69</f>
        <v>0</v>
      </c>
      <c r="D69" s="16">
        <f>+'APPROVED SHUTDOWN'!G69</f>
        <v>0</v>
      </c>
      <c r="E69" s="41"/>
      <c r="F69" s="38"/>
      <c r="G69" s="38"/>
      <c r="H69" s="18"/>
      <c r="I69" s="19">
        <f>A69</f>
        <v>0</v>
      </c>
      <c r="J69" s="20">
        <f>+'APPROVED SHUTDOWN'!H69</f>
        <v>0</v>
      </c>
      <c r="K69" s="36"/>
      <c r="M69" s="37"/>
      <c r="N69" s="343">
        <f>+'APPROVED SHUTDOWN'!M69</f>
        <v>0</v>
      </c>
      <c r="O69" s="49">
        <f>'APPROVED SHUTDOWN'!I69</f>
        <v>0</v>
      </c>
      <c r="P69" s="49">
        <f>'APPROVED SHUTDOWN'!J69</f>
        <v>0</v>
      </c>
      <c r="Q69" s="58"/>
    </row>
    <row r="70" spans="1:17" ht="240" customHeight="1" x14ac:dyDescent="0.25">
      <c r="A70" s="22">
        <f>+'APPROVED SHUTDOWN'!A70</f>
        <v>0</v>
      </c>
      <c r="B70" s="23">
        <f>'APPROVED SHUTDOWN'!E70</f>
        <v>0</v>
      </c>
      <c r="C70" s="15">
        <f>+'APPROVED SHUTDOWN'!F70</f>
        <v>0</v>
      </c>
      <c r="D70" s="16">
        <f>+'APPROVED SHUTDOWN'!G70</f>
        <v>0</v>
      </c>
      <c r="E70" s="41"/>
      <c r="F70" s="38"/>
      <c r="G70" s="38"/>
      <c r="H70" s="18"/>
      <c r="I70" s="19">
        <f>A70</f>
        <v>0</v>
      </c>
      <c r="J70" s="20">
        <f>+'APPROVED SHUTDOWN'!H70</f>
        <v>0</v>
      </c>
      <c r="K70" s="36"/>
      <c r="M70" s="37"/>
      <c r="N70" s="343">
        <f>+'APPROVED SHUTDOWN'!M70</f>
        <v>0</v>
      </c>
      <c r="O70" s="49">
        <f>'APPROVED SHUTDOWN'!I70</f>
        <v>0</v>
      </c>
      <c r="P70" s="49">
        <f>'APPROVED SHUTDOWN'!J70</f>
        <v>0</v>
      </c>
      <c r="Q70" s="58"/>
    </row>
    <row r="71" spans="1:17" ht="240" customHeight="1" x14ac:dyDescent="0.25">
      <c r="A71" s="22">
        <f>+'APPROVED SHUTDOWN'!A71</f>
        <v>0</v>
      </c>
      <c r="B71" s="23">
        <f>'APPROVED SHUTDOWN'!E71</f>
        <v>0</v>
      </c>
      <c r="C71" s="15">
        <f>+'APPROVED SHUTDOWN'!F71</f>
        <v>0</v>
      </c>
      <c r="D71" s="16">
        <f>+'APPROVED SHUTDOWN'!G71</f>
        <v>0</v>
      </c>
      <c r="E71" s="41"/>
      <c r="F71" s="38"/>
      <c r="G71" s="38"/>
      <c r="H71" s="18"/>
      <c r="I71" s="19">
        <f>A71</f>
        <v>0</v>
      </c>
      <c r="J71" s="20">
        <f>+'APPROVED SHUTDOWN'!H71</f>
        <v>0</v>
      </c>
      <c r="K71" s="36"/>
      <c r="M71" s="37"/>
      <c r="N71" s="343">
        <f>+'APPROVED SHUTDOWN'!M71</f>
        <v>0</v>
      </c>
      <c r="O71" s="49">
        <f>'APPROVED SHUTDOWN'!I71</f>
        <v>0</v>
      </c>
      <c r="P71" s="49">
        <f>'APPROVED SHUTDOWN'!J71</f>
        <v>0</v>
      </c>
      <c r="Q71" s="58"/>
    </row>
    <row r="72" spans="1:17" ht="240" customHeight="1" x14ac:dyDescent="0.25">
      <c r="A72" s="22">
        <f>+'APPROVED SHUTDOWN'!A72</f>
        <v>0</v>
      </c>
      <c r="B72" s="23">
        <f>'APPROVED SHUTDOWN'!E72</f>
        <v>0</v>
      </c>
      <c r="C72" s="15">
        <f>+'APPROVED SHUTDOWN'!F72</f>
        <v>0</v>
      </c>
      <c r="D72" s="16">
        <f>+'APPROVED SHUTDOWN'!G72</f>
        <v>0</v>
      </c>
      <c r="E72" s="41"/>
      <c r="F72" s="38"/>
      <c r="G72" s="38"/>
      <c r="H72" s="18"/>
      <c r="I72" s="19">
        <f>A72</f>
        <v>0</v>
      </c>
      <c r="J72" s="20">
        <f>+'APPROVED SHUTDOWN'!H72</f>
        <v>0</v>
      </c>
      <c r="K72" s="36"/>
      <c r="M72" s="37"/>
      <c r="N72" s="343">
        <f>+'APPROVED SHUTDOWN'!M72</f>
        <v>0</v>
      </c>
      <c r="O72" s="49">
        <f>'APPROVED SHUTDOWN'!I72</f>
        <v>0</v>
      </c>
      <c r="P72" s="49">
        <f>'APPROVED SHUTDOWN'!J72</f>
        <v>0</v>
      </c>
      <c r="Q72" s="58"/>
    </row>
    <row r="73" spans="1:17" ht="240" customHeight="1" x14ac:dyDescent="0.25">
      <c r="A73" s="22">
        <f>+'APPROVED SHUTDOWN'!A73</f>
        <v>0</v>
      </c>
      <c r="B73" s="23">
        <f>'APPROVED SHUTDOWN'!E73</f>
        <v>0</v>
      </c>
      <c r="C73" s="15">
        <f>+'APPROVED SHUTDOWN'!F73</f>
        <v>0</v>
      </c>
      <c r="D73" s="16">
        <f>+'APPROVED SHUTDOWN'!G73</f>
        <v>0</v>
      </c>
      <c r="E73" s="41"/>
      <c r="F73" s="38"/>
      <c r="G73" s="38"/>
      <c r="H73" s="18"/>
      <c r="I73" s="19">
        <f>A73</f>
        <v>0</v>
      </c>
      <c r="J73" s="20">
        <f>+'APPROVED SHUTDOWN'!H73</f>
        <v>0</v>
      </c>
      <c r="K73" s="36"/>
      <c r="M73" s="37"/>
      <c r="N73" s="343">
        <f>+'APPROVED SHUTDOWN'!M73</f>
        <v>0</v>
      </c>
      <c r="O73" s="49">
        <f>'APPROVED SHUTDOWN'!I73</f>
        <v>0</v>
      </c>
      <c r="P73" s="49">
        <f>'APPROVED SHUTDOWN'!J73</f>
        <v>0</v>
      </c>
      <c r="Q73" s="58"/>
    </row>
    <row r="74" spans="1:17" ht="240" customHeight="1" x14ac:dyDescent="0.25">
      <c r="A74" s="22">
        <f>+'APPROVED SHUTDOWN'!A74</f>
        <v>0</v>
      </c>
      <c r="B74" s="23">
        <f>'APPROVED SHUTDOWN'!E74</f>
        <v>0</v>
      </c>
      <c r="C74" s="15">
        <f>+'APPROVED SHUTDOWN'!F74</f>
        <v>0</v>
      </c>
      <c r="D74" s="16">
        <f>+'APPROVED SHUTDOWN'!G74</f>
        <v>0</v>
      </c>
      <c r="E74" s="41"/>
      <c r="F74" s="38"/>
      <c r="G74" s="38"/>
      <c r="H74" s="18"/>
      <c r="I74" s="19">
        <f>A74</f>
        <v>0</v>
      </c>
      <c r="J74" s="20">
        <f>+'APPROVED SHUTDOWN'!H74</f>
        <v>0</v>
      </c>
      <c r="K74" s="36"/>
      <c r="M74" s="37"/>
      <c r="N74" s="343">
        <f>+'APPROVED SHUTDOWN'!M74</f>
        <v>0</v>
      </c>
      <c r="O74" s="49">
        <f>'APPROVED SHUTDOWN'!I74</f>
        <v>0</v>
      </c>
      <c r="P74" s="49">
        <f>'APPROVED SHUTDOWN'!J74</f>
        <v>0</v>
      </c>
      <c r="Q74" s="58"/>
    </row>
    <row r="75" spans="1:17" ht="240" customHeight="1" x14ac:dyDescent="0.25">
      <c r="A75" s="22">
        <f>+'APPROVED SHUTDOWN'!A75</f>
        <v>0</v>
      </c>
      <c r="B75" s="23">
        <f>'APPROVED SHUTDOWN'!E75</f>
        <v>0</v>
      </c>
      <c r="C75" s="15">
        <f>+'APPROVED SHUTDOWN'!F75</f>
        <v>0</v>
      </c>
      <c r="D75" s="16">
        <f>+'APPROVED SHUTDOWN'!G75</f>
        <v>0</v>
      </c>
      <c r="E75" s="41"/>
      <c r="F75" s="38"/>
      <c r="G75" s="38"/>
      <c r="H75" s="18"/>
      <c r="I75" s="19">
        <f>A75</f>
        <v>0</v>
      </c>
      <c r="J75" s="20">
        <f>+'APPROVED SHUTDOWN'!H75</f>
        <v>0</v>
      </c>
      <c r="K75" s="36"/>
      <c r="M75" s="37"/>
      <c r="N75" s="343">
        <f>+'APPROVED SHUTDOWN'!M75</f>
        <v>0</v>
      </c>
      <c r="O75" s="49">
        <f>'APPROVED SHUTDOWN'!I75</f>
        <v>0</v>
      </c>
      <c r="P75" s="49">
        <f>'APPROVED SHUTDOWN'!J75</f>
        <v>0</v>
      </c>
      <c r="Q75" s="58"/>
    </row>
    <row r="76" spans="1:17" ht="240" customHeight="1" x14ac:dyDescent="0.25">
      <c r="A76" s="22">
        <f>+'APPROVED SHUTDOWN'!A76</f>
        <v>0</v>
      </c>
      <c r="B76" s="23">
        <f>'APPROVED SHUTDOWN'!E76</f>
        <v>0</v>
      </c>
      <c r="C76" s="15">
        <f>+'APPROVED SHUTDOWN'!F76</f>
        <v>0</v>
      </c>
      <c r="D76" s="16">
        <f>+'APPROVED SHUTDOWN'!G76</f>
        <v>0</v>
      </c>
      <c r="E76" s="41"/>
      <c r="F76" s="38"/>
      <c r="G76" s="38"/>
      <c r="H76" s="18"/>
      <c r="I76" s="19">
        <f>A76</f>
        <v>0</v>
      </c>
      <c r="J76" s="20">
        <f>+'APPROVED SHUTDOWN'!H76</f>
        <v>0</v>
      </c>
      <c r="K76" s="36"/>
      <c r="M76" s="37"/>
      <c r="N76" s="344"/>
      <c r="O76" s="49"/>
      <c r="P76" s="49"/>
      <c r="Q76" s="58"/>
    </row>
    <row r="77" spans="1:17" ht="240" customHeight="1" x14ac:dyDescent="0.25">
      <c r="A77" s="22">
        <f>+'APPROVED SHUTDOWN'!A77</f>
        <v>0</v>
      </c>
      <c r="B77" s="23">
        <f>'APPROVED SHUTDOWN'!E77</f>
        <v>0</v>
      </c>
      <c r="C77" s="15">
        <f>+'APPROVED SHUTDOWN'!F77</f>
        <v>0</v>
      </c>
      <c r="D77" s="16">
        <f>+'APPROVED SHUTDOWN'!G77</f>
        <v>0</v>
      </c>
      <c r="E77" s="41"/>
      <c r="F77" s="38"/>
      <c r="G77" s="38"/>
      <c r="H77" s="18"/>
      <c r="I77" s="19">
        <f>A77</f>
        <v>0</v>
      </c>
      <c r="J77" s="20">
        <f>+'APPROVED SHUTDOWN'!H77</f>
        <v>0</v>
      </c>
      <c r="K77" s="36"/>
      <c r="M77" s="37"/>
      <c r="N77" s="344"/>
      <c r="O77" s="49"/>
      <c r="P77" s="49"/>
      <c r="Q77" s="58"/>
    </row>
    <row r="78" spans="1:17" ht="240" customHeight="1" x14ac:dyDescent="0.25">
      <c r="A78" s="22">
        <f>+'APPROVED SHUTDOWN'!A78</f>
        <v>0</v>
      </c>
      <c r="B78" s="23">
        <f>'APPROVED SHUTDOWN'!E78</f>
        <v>0</v>
      </c>
      <c r="C78" s="15">
        <f>+'APPROVED SHUTDOWN'!F78</f>
        <v>0</v>
      </c>
      <c r="D78" s="16">
        <f>+'APPROVED SHUTDOWN'!G78</f>
        <v>0</v>
      </c>
      <c r="E78" s="41"/>
      <c r="F78" s="38"/>
      <c r="G78" s="38"/>
      <c r="H78" s="18"/>
      <c r="I78" s="19">
        <f>A78</f>
        <v>0</v>
      </c>
      <c r="J78" s="20">
        <f>+'APPROVED SHUTDOWN'!H78</f>
        <v>0</v>
      </c>
      <c r="K78" s="36"/>
      <c r="M78" s="37"/>
      <c r="N78" s="344"/>
      <c r="O78" s="49"/>
      <c r="P78" s="49"/>
      <c r="Q78" s="58"/>
    </row>
    <row r="79" spans="1:17" ht="240" customHeight="1" x14ac:dyDescent="0.25">
      <c r="A79" s="22">
        <f>+'APPROVED SHUTDOWN'!A79</f>
        <v>0</v>
      </c>
      <c r="B79" s="23">
        <f>'APPROVED SHUTDOWN'!E79</f>
        <v>0</v>
      </c>
      <c r="C79" s="15">
        <f>+'APPROVED SHUTDOWN'!F79</f>
        <v>0</v>
      </c>
      <c r="D79" s="16">
        <f>+'APPROVED SHUTDOWN'!G79</f>
        <v>0</v>
      </c>
      <c r="E79" s="41"/>
      <c r="F79" s="38"/>
      <c r="G79" s="38"/>
      <c r="H79" s="18"/>
      <c r="I79" s="19">
        <f>A79</f>
        <v>0</v>
      </c>
      <c r="J79" s="20">
        <f>+'APPROVED SHUTDOWN'!H79</f>
        <v>0</v>
      </c>
      <c r="K79" s="36"/>
      <c r="M79" s="37"/>
      <c r="N79" s="344"/>
      <c r="O79" s="49"/>
      <c r="P79" s="49"/>
      <c r="Q79" s="58"/>
    </row>
    <row r="80" spans="1:17" ht="240" customHeight="1" x14ac:dyDescent="0.25">
      <c r="A80" s="22">
        <f>+'APPROVED SHUTDOWN'!A80</f>
        <v>0</v>
      </c>
      <c r="B80" s="23">
        <f>'APPROVED SHUTDOWN'!E80</f>
        <v>0</v>
      </c>
      <c r="C80" s="15">
        <f>+'APPROVED SHUTDOWN'!F80</f>
        <v>0</v>
      </c>
      <c r="D80" s="16">
        <f>+'APPROVED SHUTDOWN'!G80</f>
        <v>0</v>
      </c>
      <c r="E80" s="41"/>
      <c r="F80" s="38"/>
      <c r="G80" s="38"/>
      <c r="H80" s="18"/>
      <c r="I80" s="19">
        <f>A80</f>
        <v>0</v>
      </c>
      <c r="J80" s="20">
        <f>+'APPROVED SHUTDOWN'!H80</f>
        <v>0</v>
      </c>
      <c r="K80" s="36"/>
      <c r="M80" s="37"/>
      <c r="N80" s="344"/>
      <c r="O80" s="49"/>
      <c r="P80" s="49"/>
      <c r="Q80" s="58"/>
    </row>
    <row r="81" spans="1:17" ht="240" customHeight="1" x14ac:dyDescent="0.25">
      <c r="A81" s="22">
        <f>+'APPROVED SHUTDOWN'!A81</f>
        <v>0</v>
      </c>
      <c r="B81" s="23">
        <f>'APPROVED SHUTDOWN'!E81</f>
        <v>0</v>
      </c>
      <c r="C81" s="15">
        <f>+'APPROVED SHUTDOWN'!F81</f>
        <v>0</v>
      </c>
      <c r="D81" s="16">
        <f>+'APPROVED SHUTDOWN'!G81</f>
        <v>0</v>
      </c>
      <c r="E81" s="41"/>
      <c r="F81" s="38"/>
      <c r="G81" s="38"/>
      <c r="H81" s="18"/>
      <c r="I81" s="19">
        <f>A81</f>
        <v>0</v>
      </c>
      <c r="J81" s="20">
        <f>+'APPROVED SHUTDOWN'!H81</f>
        <v>0</v>
      </c>
      <c r="K81" s="36"/>
      <c r="M81" s="37"/>
      <c r="N81" s="344"/>
      <c r="O81" s="49"/>
      <c r="P81" s="49"/>
      <c r="Q81" s="58"/>
    </row>
    <row r="82" spans="1:17" ht="240" customHeight="1" x14ac:dyDescent="0.25">
      <c r="A82" s="22">
        <f>+'APPROVED SHUTDOWN'!A82</f>
        <v>0</v>
      </c>
      <c r="B82" s="23">
        <f>'APPROVED SHUTDOWN'!E82</f>
        <v>0</v>
      </c>
      <c r="C82" s="15">
        <f>+'APPROVED SHUTDOWN'!F82</f>
        <v>0</v>
      </c>
      <c r="D82" s="16">
        <f>+'APPROVED SHUTDOWN'!G82</f>
        <v>0</v>
      </c>
      <c r="E82" s="41"/>
      <c r="F82" s="38"/>
      <c r="G82" s="38"/>
      <c r="H82" s="18"/>
      <c r="I82" s="19">
        <f>A82</f>
        <v>0</v>
      </c>
      <c r="J82" s="20">
        <f>+'APPROVED SHUTDOWN'!H82</f>
        <v>0</v>
      </c>
      <c r="K82" s="36"/>
      <c r="M82" s="37"/>
      <c r="N82" s="344"/>
      <c r="O82" s="49"/>
      <c r="P82" s="49"/>
      <c r="Q82" s="58"/>
    </row>
    <row r="83" spans="1:17" ht="240" customHeight="1" x14ac:dyDescent="0.25">
      <c r="A83" s="22">
        <f>+'APPROVED SHUTDOWN'!A83</f>
        <v>0</v>
      </c>
      <c r="B83" s="23">
        <f>'APPROVED SHUTDOWN'!E83</f>
        <v>0</v>
      </c>
      <c r="C83" s="15">
        <f>+'APPROVED SHUTDOWN'!F83</f>
        <v>0</v>
      </c>
      <c r="D83" s="16">
        <f>+'APPROVED SHUTDOWN'!G83</f>
        <v>0</v>
      </c>
      <c r="E83" s="41"/>
      <c r="F83" s="38"/>
      <c r="G83" s="38"/>
      <c r="H83" s="18"/>
      <c r="I83" s="19">
        <f>A83</f>
        <v>0</v>
      </c>
      <c r="J83" s="20">
        <f>+'APPROVED SHUTDOWN'!H83</f>
        <v>0</v>
      </c>
      <c r="K83" s="36"/>
      <c r="M83" s="37"/>
      <c r="N83" s="344"/>
      <c r="O83" s="49"/>
      <c r="P83" s="49"/>
      <c r="Q83" s="58"/>
    </row>
    <row r="84" spans="1:17" ht="240" customHeight="1" x14ac:dyDescent="0.25">
      <c r="A84" s="22">
        <f>+'APPROVED SHUTDOWN'!A84</f>
        <v>0</v>
      </c>
      <c r="B84" s="23">
        <f>'APPROVED SHUTDOWN'!E84</f>
        <v>0</v>
      </c>
      <c r="C84" s="15">
        <f>+'APPROVED SHUTDOWN'!F84</f>
        <v>0</v>
      </c>
      <c r="D84" s="16">
        <f>+'APPROVED SHUTDOWN'!G84</f>
        <v>0</v>
      </c>
      <c r="E84" s="41"/>
      <c r="F84" s="38"/>
      <c r="G84" s="38"/>
      <c r="H84" s="18"/>
      <c r="I84" s="19">
        <f>A84</f>
        <v>0</v>
      </c>
      <c r="J84" s="20">
        <f>+'APPROVED SHUTDOWN'!H84</f>
        <v>0</v>
      </c>
      <c r="K84" s="36"/>
      <c r="M84" s="37"/>
      <c r="N84" s="344"/>
      <c r="O84" s="49"/>
      <c r="P84" s="49"/>
      <c r="Q84" s="58"/>
    </row>
    <row r="85" spans="1:17" ht="240" customHeight="1" x14ac:dyDescent="0.25">
      <c r="A85" s="22">
        <f>+'APPROVED SHUTDOWN'!A85</f>
        <v>0</v>
      </c>
      <c r="B85" s="23">
        <f>'APPROVED SHUTDOWN'!E85</f>
        <v>0</v>
      </c>
      <c r="C85" s="15">
        <f>+'APPROVED SHUTDOWN'!F85</f>
        <v>0</v>
      </c>
      <c r="D85" s="16">
        <f>+'APPROVED SHUTDOWN'!G85</f>
        <v>0</v>
      </c>
      <c r="E85" s="41"/>
      <c r="F85" s="38"/>
      <c r="G85" s="38"/>
      <c r="H85" s="18"/>
      <c r="I85" s="19">
        <f>A85</f>
        <v>0</v>
      </c>
      <c r="J85" s="20">
        <f>+'APPROVED SHUTDOWN'!H85</f>
        <v>0</v>
      </c>
      <c r="K85" s="36"/>
      <c r="M85" s="37"/>
      <c r="N85" s="344"/>
      <c r="O85" s="49"/>
      <c r="P85" s="49"/>
      <c r="Q85" s="58"/>
    </row>
    <row r="86" spans="1:17" ht="240" customHeight="1" x14ac:dyDescent="0.25">
      <c r="A86" s="22">
        <f>+'APPROVED SHUTDOWN'!A86</f>
        <v>0</v>
      </c>
      <c r="B86" s="23">
        <f>'APPROVED SHUTDOWN'!E86</f>
        <v>0</v>
      </c>
      <c r="C86" s="15">
        <f>+'APPROVED SHUTDOWN'!F86</f>
        <v>0</v>
      </c>
      <c r="D86" s="16">
        <f>+'APPROVED SHUTDOWN'!G86</f>
        <v>0</v>
      </c>
      <c r="E86" s="41"/>
      <c r="F86" s="38"/>
      <c r="G86" s="38"/>
      <c r="H86" s="18"/>
      <c r="I86" s="19">
        <f>A86</f>
        <v>0</v>
      </c>
      <c r="J86" s="20">
        <f>+'APPROVED SHUTDOWN'!H86</f>
        <v>0</v>
      </c>
      <c r="K86" s="36"/>
      <c r="M86" s="37"/>
      <c r="N86" s="344"/>
      <c r="O86" s="49"/>
      <c r="P86" s="49"/>
      <c r="Q86" s="58"/>
    </row>
    <row r="87" spans="1:17" ht="240" customHeight="1" x14ac:dyDescent="0.25">
      <c r="A87" s="22">
        <f>+'APPROVED SHUTDOWN'!A87</f>
        <v>0</v>
      </c>
      <c r="B87" s="23">
        <f>'APPROVED SHUTDOWN'!E87</f>
        <v>0</v>
      </c>
      <c r="C87" s="15">
        <f>+'APPROVED SHUTDOWN'!F87</f>
        <v>0</v>
      </c>
      <c r="D87" s="16">
        <f>+'APPROVED SHUTDOWN'!G87</f>
        <v>0</v>
      </c>
      <c r="E87" s="41"/>
      <c r="F87" s="38"/>
      <c r="G87" s="38"/>
      <c r="H87" s="18"/>
      <c r="I87" s="19">
        <f>A87</f>
        <v>0</v>
      </c>
      <c r="J87" s="20">
        <f>+'APPROVED SHUTDOWN'!H87</f>
        <v>0</v>
      </c>
      <c r="K87" s="36"/>
      <c r="M87" s="37"/>
      <c r="N87" s="344"/>
      <c r="O87" s="49"/>
      <c r="P87" s="49"/>
      <c r="Q87" s="58"/>
    </row>
    <row r="88" spans="1:17" ht="240" customHeight="1" x14ac:dyDescent="0.25">
      <c r="A88" s="22">
        <f>+'APPROVED SHUTDOWN'!A88</f>
        <v>0</v>
      </c>
      <c r="B88" s="23">
        <f>'APPROVED SHUTDOWN'!E88</f>
        <v>0</v>
      </c>
      <c r="C88" s="15">
        <f>+'APPROVED SHUTDOWN'!F88</f>
        <v>0</v>
      </c>
      <c r="D88" s="16">
        <f>+'APPROVED SHUTDOWN'!G88</f>
        <v>0</v>
      </c>
      <c r="E88" s="41"/>
      <c r="F88" s="38"/>
      <c r="G88" s="38"/>
      <c r="H88" s="18"/>
      <c r="I88" s="19">
        <f>A88</f>
        <v>0</v>
      </c>
      <c r="J88" s="20">
        <f>+'APPROVED SHUTDOWN'!H88</f>
        <v>0</v>
      </c>
      <c r="K88" s="36"/>
      <c r="M88" s="37"/>
      <c r="N88" s="344"/>
      <c r="O88" s="49"/>
      <c r="P88" s="49"/>
      <c r="Q88" s="58"/>
    </row>
    <row r="89" spans="1:17" ht="240" customHeight="1" x14ac:dyDescent="0.25">
      <c r="A89" s="22">
        <f>+'APPROVED SHUTDOWN'!A89</f>
        <v>0</v>
      </c>
      <c r="B89" s="23">
        <f>'APPROVED SHUTDOWN'!E89</f>
        <v>0</v>
      </c>
      <c r="C89" s="15">
        <f>+'APPROVED SHUTDOWN'!F89</f>
        <v>0</v>
      </c>
      <c r="D89" s="16">
        <f>+'APPROVED SHUTDOWN'!G89</f>
        <v>0</v>
      </c>
      <c r="E89" s="41"/>
      <c r="F89" s="38"/>
      <c r="G89" s="38"/>
      <c r="H89" s="18"/>
      <c r="I89" s="19">
        <f>A89</f>
        <v>0</v>
      </c>
      <c r="J89" s="20">
        <f>+'APPROVED SHUTDOWN'!H89</f>
        <v>0</v>
      </c>
      <c r="K89" s="36"/>
      <c r="M89" s="37"/>
      <c r="N89" s="344"/>
      <c r="O89" s="49"/>
      <c r="P89" s="49"/>
      <c r="Q89" s="58"/>
    </row>
    <row r="90" spans="1:17" ht="240" customHeight="1" x14ac:dyDescent="0.25">
      <c r="A90" s="22">
        <f>+'APPROVED SHUTDOWN'!A90</f>
        <v>0</v>
      </c>
      <c r="B90" s="23">
        <f>'APPROVED SHUTDOWN'!E90</f>
        <v>0</v>
      </c>
      <c r="C90" s="15">
        <f>+'APPROVED SHUTDOWN'!F90</f>
        <v>0</v>
      </c>
      <c r="D90" s="16">
        <f>+'APPROVED SHUTDOWN'!G90</f>
        <v>0</v>
      </c>
      <c r="E90" s="41"/>
      <c r="F90" s="38"/>
      <c r="G90" s="38"/>
      <c r="H90" s="18"/>
      <c r="I90" s="19">
        <f>A90</f>
        <v>0</v>
      </c>
      <c r="J90" s="20">
        <f>+'APPROVED SHUTDOWN'!H90</f>
        <v>0</v>
      </c>
      <c r="K90" s="36"/>
      <c r="M90" s="37"/>
      <c r="N90" s="344"/>
      <c r="O90" s="49"/>
      <c r="P90" s="49"/>
      <c r="Q90" s="58"/>
    </row>
    <row r="91" spans="1:17" ht="240" customHeight="1" x14ac:dyDescent="0.25">
      <c r="A91" s="22">
        <f>+'APPROVED SHUTDOWN'!A91</f>
        <v>0</v>
      </c>
      <c r="B91" s="23">
        <f>'APPROVED SHUTDOWN'!E91</f>
        <v>0</v>
      </c>
      <c r="C91" s="15">
        <f>+'APPROVED SHUTDOWN'!F91</f>
        <v>0</v>
      </c>
      <c r="D91" s="16">
        <f>+'APPROVED SHUTDOWN'!G91</f>
        <v>0</v>
      </c>
      <c r="E91" s="41"/>
      <c r="F91" s="38"/>
      <c r="G91" s="38"/>
      <c r="H91" s="18"/>
      <c r="I91" s="19">
        <f>A91</f>
        <v>0</v>
      </c>
      <c r="J91" s="20">
        <f>+'APPROVED SHUTDOWN'!H91</f>
        <v>0</v>
      </c>
      <c r="K91" s="36"/>
      <c r="M91" s="37"/>
      <c r="N91" s="344"/>
      <c r="O91" s="49"/>
      <c r="P91" s="49"/>
      <c r="Q91" s="58"/>
    </row>
    <row r="92" spans="1:17" ht="240" customHeight="1" x14ac:dyDescent="0.25">
      <c r="A92" s="22">
        <f>+'APPROVED SHUTDOWN'!A92</f>
        <v>0</v>
      </c>
      <c r="B92" s="23">
        <f>'APPROVED SHUTDOWN'!E92</f>
        <v>0</v>
      </c>
      <c r="C92" s="15">
        <f>+'APPROVED SHUTDOWN'!F92</f>
        <v>0</v>
      </c>
      <c r="D92" s="16">
        <f>+'APPROVED SHUTDOWN'!G92</f>
        <v>0</v>
      </c>
      <c r="E92" s="41"/>
      <c r="F92" s="38"/>
      <c r="G92" s="38"/>
      <c r="H92" s="18"/>
      <c r="I92" s="19">
        <f>A92</f>
        <v>0</v>
      </c>
      <c r="J92" s="20">
        <f>+'APPROVED SHUTDOWN'!H92</f>
        <v>0</v>
      </c>
      <c r="K92" s="36"/>
      <c r="M92" s="37"/>
      <c r="N92" s="344"/>
      <c r="O92" s="49"/>
      <c r="P92" s="49"/>
      <c r="Q92" s="58"/>
    </row>
    <row r="93" spans="1:17" ht="240" customHeight="1" x14ac:dyDescent="0.25">
      <c r="A93" s="22">
        <f>+'APPROVED SHUTDOWN'!A93</f>
        <v>0</v>
      </c>
      <c r="B93" s="23">
        <f>'APPROVED SHUTDOWN'!E93</f>
        <v>0</v>
      </c>
      <c r="C93" s="15">
        <f>+'APPROVED SHUTDOWN'!F93</f>
        <v>0</v>
      </c>
      <c r="D93" s="16">
        <f>+'APPROVED SHUTDOWN'!G93</f>
        <v>0</v>
      </c>
      <c r="E93" s="41"/>
      <c r="F93" s="38"/>
      <c r="G93" s="38"/>
      <c r="H93" s="18"/>
      <c r="I93" s="19">
        <f>A93</f>
        <v>0</v>
      </c>
      <c r="J93" s="20">
        <f>+'APPROVED SHUTDOWN'!H93</f>
        <v>0</v>
      </c>
      <c r="K93" s="36"/>
      <c r="M93" s="37"/>
      <c r="N93" s="344"/>
      <c r="O93" s="49"/>
      <c r="P93" s="49"/>
      <c r="Q93" s="58"/>
    </row>
    <row r="94" spans="1:17" ht="240" customHeight="1" x14ac:dyDescent="0.25">
      <c r="A94" s="22">
        <f>+'APPROVED SHUTDOWN'!A94</f>
        <v>0</v>
      </c>
      <c r="B94" s="23">
        <f>'APPROVED SHUTDOWN'!E94</f>
        <v>0</v>
      </c>
      <c r="C94" s="15">
        <f>+'APPROVED SHUTDOWN'!F94</f>
        <v>0</v>
      </c>
      <c r="D94" s="16">
        <f>+'APPROVED SHUTDOWN'!G94</f>
        <v>0</v>
      </c>
      <c r="E94" s="41"/>
      <c r="F94" s="38"/>
      <c r="G94" s="38"/>
      <c r="H94" s="18"/>
      <c r="I94" s="19">
        <f>A94</f>
        <v>0</v>
      </c>
      <c r="J94" s="20">
        <f>+'APPROVED SHUTDOWN'!H94</f>
        <v>0</v>
      </c>
      <c r="K94" s="36"/>
      <c r="M94" s="37"/>
      <c r="N94" s="344"/>
      <c r="O94" s="49"/>
      <c r="P94" s="49"/>
      <c r="Q94" s="58"/>
    </row>
    <row r="95" spans="1:17" ht="240" customHeight="1" x14ac:dyDescent="0.25">
      <c r="A95" s="22">
        <f>+'APPROVED SHUTDOWN'!A95</f>
        <v>0</v>
      </c>
      <c r="B95" s="23">
        <f>'APPROVED SHUTDOWN'!E95</f>
        <v>0</v>
      </c>
      <c r="C95" s="15">
        <f>+'APPROVED SHUTDOWN'!F95</f>
        <v>0</v>
      </c>
      <c r="D95" s="16">
        <f>+'APPROVED SHUTDOWN'!G95</f>
        <v>0</v>
      </c>
      <c r="E95" s="41"/>
      <c r="F95" s="38"/>
      <c r="G95" s="38"/>
      <c r="H95" s="18"/>
      <c r="I95" s="19">
        <f>A95</f>
        <v>0</v>
      </c>
      <c r="J95" s="20">
        <f>+'APPROVED SHUTDOWN'!H95</f>
        <v>0</v>
      </c>
      <c r="K95" s="36"/>
      <c r="M95" s="37"/>
      <c r="N95" s="345"/>
      <c r="O95" s="59"/>
      <c r="P95" s="59"/>
      <c r="Q95" s="58"/>
    </row>
    <row r="96" spans="1:17" ht="240" customHeight="1" x14ac:dyDescent="0.25">
      <c r="A96" s="22">
        <f>+'APPROVED SHUTDOWN'!A96</f>
        <v>0</v>
      </c>
      <c r="B96" s="23">
        <f>'APPROVED SHUTDOWN'!E96</f>
        <v>0</v>
      </c>
      <c r="C96" s="15">
        <f>+'APPROVED SHUTDOWN'!F96</f>
        <v>0</v>
      </c>
      <c r="D96" s="16">
        <f>+'APPROVED SHUTDOWN'!G96</f>
        <v>0</v>
      </c>
      <c r="E96" s="41"/>
      <c r="F96" s="38"/>
      <c r="G96" s="38"/>
      <c r="H96" s="18"/>
      <c r="I96" s="19">
        <f>A96</f>
        <v>0</v>
      </c>
      <c r="J96" s="20">
        <f>+'APPROVED SHUTDOWN'!H96</f>
        <v>0</v>
      </c>
      <c r="K96" s="36"/>
      <c r="M96" s="37"/>
      <c r="N96" s="343"/>
      <c r="O96" s="49"/>
      <c r="P96" s="49"/>
      <c r="Q96" s="58"/>
    </row>
    <row r="97" spans="2:16" x14ac:dyDescent="0.25">
      <c r="B97" s="23">
        <f>'APPROVED SHUTDOWN'!E97</f>
        <v>0</v>
      </c>
      <c r="C97" s="15">
        <f>+'APPROVED SHUTDOWN'!F97</f>
        <v>0</v>
      </c>
      <c r="D97" s="16">
        <f>+'APPROVED SHUTDOWN'!G97</f>
        <v>0</v>
      </c>
      <c r="E97" s="41"/>
      <c r="F97" s="38"/>
      <c r="G97" s="38"/>
      <c r="H97" s="18"/>
      <c r="I97" s="19">
        <f>A97</f>
        <v>0</v>
      </c>
      <c r="J97" s="20">
        <f>+'APPROVED SHUTDOWN'!H97</f>
        <v>0</v>
      </c>
      <c r="K97" s="36"/>
      <c r="M97" s="37"/>
      <c r="N97" s="346"/>
      <c r="O97" s="60"/>
      <c r="P97" s="60"/>
    </row>
    <row r="98" spans="2:16" x14ac:dyDescent="0.25">
      <c r="B98" s="23">
        <f>'APPROVED SHUTDOWN'!E98</f>
        <v>0</v>
      </c>
      <c r="C98" s="15">
        <f>+'APPROVED SHUTDOWN'!F98</f>
        <v>0</v>
      </c>
      <c r="D98" s="16">
        <f>+'APPROVED SHUTDOWN'!G98</f>
        <v>0</v>
      </c>
      <c r="E98" s="41"/>
      <c r="F98" s="38"/>
      <c r="G98" s="38"/>
      <c r="H98" s="18"/>
      <c r="I98" s="19">
        <f>A98</f>
        <v>0</v>
      </c>
      <c r="J98" s="20">
        <f>+'APPROVED SHUTDOWN'!H98</f>
        <v>0</v>
      </c>
      <c r="K98" s="36"/>
      <c r="M98" s="37"/>
      <c r="N98" s="346"/>
      <c r="O98" s="60"/>
      <c r="P98" s="60"/>
    </row>
    <row r="99" spans="2:16" x14ac:dyDescent="0.25">
      <c r="B99" s="23">
        <f>'APPROVED SHUTDOWN'!E99</f>
        <v>0</v>
      </c>
      <c r="C99" s="15">
        <f>+'APPROVED SHUTDOWN'!F99</f>
        <v>0</v>
      </c>
      <c r="D99" s="16">
        <f>+'APPROVED SHUTDOWN'!G99</f>
        <v>0</v>
      </c>
      <c r="E99" s="41"/>
      <c r="F99" s="38"/>
      <c r="G99" s="38"/>
      <c r="H99" s="18"/>
      <c r="I99" s="19">
        <f>A99</f>
        <v>0</v>
      </c>
      <c r="J99" s="20">
        <f>+'APPROVED SHUTDOWN'!H99</f>
        <v>0</v>
      </c>
      <c r="K99" s="36"/>
      <c r="M99" s="37"/>
      <c r="N99" s="346"/>
      <c r="O99" s="60"/>
      <c r="P99" s="60"/>
    </row>
    <row r="100" spans="2:16" x14ac:dyDescent="0.25">
      <c r="B100" s="23">
        <f>'APPROVED SHUTDOWN'!E100</f>
        <v>0</v>
      </c>
      <c r="C100" s="15">
        <f>+'APPROVED SHUTDOWN'!F100</f>
        <v>0</v>
      </c>
      <c r="D100" s="16">
        <f>+'APPROVED SHUTDOWN'!G100</f>
        <v>0</v>
      </c>
      <c r="E100" s="41"/>
      <c r="F100" s="38"/>
      <c r="G100" s="38"/>
      <c r="H100" s="18"/>
      <c r="I100" s="19">
        <f>A100</f>
        <v>0</v>
      </c>
      <c r="J100" s="20">
        <f>+'APPROVED SHUTDOWN'!H100</f>
        <v>0</v>
      </c>
      <c r="K100" s="36"/>
      <c r="M100" s="37"/>
      <c r="N100" s="346"/>
      <c r="O100" s="60"/>
      <c r="P100" s="60"/>
    </row>
    <row r="101" spans="2:16" x14ac:dyDescent="0.25">
      <c r="B101" s="23">
        <f>'APPROVED SHUTDOWN'!E101</f>
        <v>0</v>
      </c>
      <c r="C101" s="15">
        <f>+'APPROVED SHUTDOWN'!F101</f>
        <v>0</v>
      </c>
      <c r="D101" s="16">
        <f>+'APPROVED SHUTDOWN'!G101</f>
        <v>0</v>
      </c>
      <c r="E101" s="41"/>
      <c r="F101" s="38"/>
      <c r="G101" s="38"/>
      <c r="H101" s="18"/>
      <c r="I101" s="19">
        <f>A101</f>
        <v>0</v>
      </c>
      <c r="J101" s="20">
        <f>+'APPROVED SHUTDOWN'!H101</f>
        <v>0</v>
      </c>
      <c r="K101" s="36"/>
      <c r="M101" s="37"/>
      <c r="N101" s="346"/>
      <c r="O101" s="60"/>
      <c r="P101" s="60"/>
    </row>
    <row r="102" spans="2:16" x14ac:dyDescent="0.25">
      <c r="B102" s="23">
        <f>'APPROVED SHUTDOWN'!E102</f>
        <v>0</v>
      </c>
      <c r="C102" s="15">
        <f>+'APPROVED SHUTDOWN'!F102</f>
        <v>0</v>
      </c>
      <c r="D102" s="16">
        <f>+'APPROVED SHUTDOWN'!G102</f>
        <v>0</v>
      </c>
      <c r="E102" s="41"/>
      <c r="F102" s="38"/>
      <c r="G102" s="38"/>
      <c r="H102" s="18"/>
      <c r="I102" s="19">
        <f>A102</f>
        <v>0</v>
      </c>
      <c r="J102" s="20">
        <f>+'APPROVED SHUTDOWN'!H102</f>
        <v>0</v>
      </c>
      <c r="K102" s="36"/>
      <c r="M102" s="37"/>
      <c r="N102" s="346"/>
      <c r="O102" s="60"/>
      <c r="P102" s="60"/>
    </row>
    <row r="103" spans="2:16" x14ac:dyDescent="0.25">
      <c r="B103" s="23">
        <f>'APPROVED SHUTDOWN'!E103</f>
        <v>0</v>
      </c>
      <c r="C103" s="15">
        <f>+'APPROVED SHUTDOWN'!F103</f>
        <v>0</v>
      </c>
      <c r="D103" s="16">
        <f>+'APPROVED SHUTDOWN'!G103</f>
        <v>0</v>
      </c>
      <c r="E103" s="41"/>
      <c r="F103" s="38"/>
      <c r="G103" s="38"/>
      <c r="H103" s="18"/>
      <c r="I103" s="19">
        <f>A103</f>
        <v>0</v>
      </c>
      <c r="J103" s="20">
        <f>+'APPROVED SHUTDOWN'!H103</f>
        <v>0</v>
      </c>
      <c r="K103" s="36"/>
      <c r="M103" s="37"/>
      <c r="N103" s="346"/>
      <c r="O103" s="60"/>
      <c r="P103" s="60"/>
    </row>
    <row r="104" spans="2:16" x14ac:dyDescent="0.25">
      <c r="B104" s="23">
        <f>'APPROVED SHUTDOWN'!E104</f>
        <v>0</v>
      </c>
      <c r="C104" s="15">
        <f>+'APPROVED SHUTDOWN'!F104</f>
        <v>0</v>
      </c>
      <c r="D104" s="16">
        <f>+'APPROVED SHUTDOWN'!G104</f>
        <v>0</v>
      </c>
      <c r="E104" s="41"/>
      <c r="F104" s="38"/>
      <c r="G104" s="38"/>
      <c r="H104" s="18"/>
      <c r="I104" s="19">
        <f>A104</f>
        <v>0</v>
      </c>
      <c r="J104" s="20">
        <f>+'APPROVED SHUTDOWN'!H104</f>
        <v>0</v>
      </c>
      <c r="K104" s="36"/>
      <c r="M104" s="37"/>
      <c r="N104" s="346"/>
      <c r="O104" s="60"/>
      <c r="P104" s="60"/>
    </row>
    <row r="105" spans="2:16" x14ac:dyDescent="0.25">
      <c r="B105" s="23">
        <f>'APPROVED SHUTDOWN'!E105</f>
        <v>0</v>
      </c>
      <c r="C105" s="15">
        <f>+'APPROVED SHUTDOWN'!F105</f>
        <v>0</v>
      </c>
      <c r="D105" s="16">
        <f>+'APPROVED SHUTDOWN'!G105</f>
        <v>0</v>
      </c>
      <c r="E105" s="41"/>
      <c r="F105" s="38"/>
      <c r="G105" s="38"/>
      <c r="H105" s="18"/>
      <c r="I105" s="19">
        <f>A105</f>
        <v>0</v>
      </c>
      <c r="J105" s="20">
        <f>+'APPROVED SHUTDOWN'!H105</f>
        <v>0</v>
      </c>
      <c r="K105" s="36"/>
      <c r="M105" s="37"/>
      <c r="N105" s="346"/>
      <c r="O105" s="60"/>
      <c r="P105" s="60"/>
    </row>
    <row r="106" spans="2:16" x14ac:dyDescent="0.25">
      <c r="B106" s="23">
        <f>'APPROVED SHUTDOWN'!E106</f>
        <v>0</v>
      </c>
      <c r="C106" s="15">
        <f>+'APPROVED SHUTDOWN'!F106</f>
        <v>0</v>
      </c>
      <c r="D106" s="16">
        <f>+'APPROVED SHUTDOWN'!G106</f>
        <v>0</v>
      </c>
      <c r="E106" s="41"/>
      <c r="F106" s="38"/>
      <c r="G106" s="38"/>
      <c r="H106" s="18"/>
      <c r="I106" s="19">
        <f>A106</f>
        <v>0</v>
      </c>
      <c r="J106" s="20">
        <f>+'APPROVED SHUTDOWN'!H106</f>
        <v>0</v>
      </c>
      <c r="K106" s="36"/>
      <c r="M106" s="37"/>
      <c r="N106" s="346"/>
      <c r="O106" s="60"/>
      <c r="P106" s="60"/>
    </row>
    <row r="107" spans="2:16" x14ac:dyDescent="0.25">
      <c r="B107" s="23">
        <f>'APPROVED SHUTDOWN'!E107</f>
        <v>0</v>
      </c>
      <c r="C107" s="15">
        <f>+'APPROVED SHUTDOWN'!F107</f>
        <v>0</v>
      </c>
      <c r="D107" s="16">
        <f>+'APPROVED SHUTDOWN'!G107</f>
        <v>0</v>
      </c>
      <c r="E107" s="41"/>
      <c r="F107" s="38"/>
      <c r="G107" s="38"/>
      <c r="H107" s="18"/>
      <c r="I107" s="19">
        <f>A107</f>
        <v>0</v>
      </c>
      <c r="J107" s="20">
        <f>+'APPROVED SHUTDOWN'!H107</f>
        <v>0</v>
      </c>
      <c r="K107" s="36"/>
      <c r="M107" s="37"/>
      <c r="N107" s="346"/>
      <c r="O107" s="60"/>
      <c r="P107" s="60"/>
    </row>
    <row r="108" spans="2:16" x14ac:dyDescent="0.25">
      <c r="B108" s="23">
        <f>'APPROVED SHUTDOWN'!E108</f>
        <v>0</v>
      </c>
      <c r="C108" s="15">
        <f>+'APPROVED SHUTDOWN'!F108</f>
        <v>0</v>
      </c>
      <c r="D108" s="16">
        <f>+'APPROVED SHUTDOWN'!G108</f>
        <v>0</v>
      </c>
      <c r="E108" s="41"/>
      <c r="F108" s="38"/>
      <c r="G108" s="38"/>
      <c r="H108" s="18"/>
      <c r="I108" s="19">
        <f>A108</f>
        <v>0</v>
      </c>
      <c r="J108" s="20">
        <f>+'APPROVED SHUTDOWN'!H108</f>
        <v>0</v>
      </c>
      <c r="K108" s="36"/>
      <c r="M108" s="37"/>
      <c r="N108" s="346"/>
      <c r="O108" s="60"/>
      <c r="P108" s="60"/>
    </row>
    <row r="109" spans="2:16" x14ac:dyDescent="0.25">
      <c r="B109" s="23">
        <f>'APPROVED SHUTDOWN'!E109</f>
        <v>0</v>
      </c>
      <c r="C109" s="15">
        <f>+'APPROVED SHUTDOWN'!F109</f>
        <v>0</v>
      </c>
      <c r="D109" s="16">
        <f>+'APPROVED SHUTDOWN'!G109</f>
        <v>0</v>
      </c>
      <c r="E109" s="41"/>
      <c r="F109" s="38"/>
      <c r="G109" s="38"/>
      <c r="H109" s="18"/>
      <c r="I109" s="19">
        <f>A109</f>
        <v>0</v>
      </c>
      <c r="J109" s="20">
        <f>+'APPROVED SHUTDOWN'!H109</f>
        <v>0</v>
      </c>
      <c r="K109" s="36"/>
      <c r="M109" s="37"/>
      <c r="N109" s="346"/>
      <c r="O109" s="60"/>
      <c r="P109" s="60"/>
    </row>
    <row r="110" spans="2:16" x14ac:dyDescent="0.25">
      <c r="B110" s="23">
        <f>'APPROVED SHUTDOWN'!E110</f>
        <v>0</v>
      </c>
      <c r="C110" s="15">
        <f>+'APPROVED SHUTDOWN'!F110</f>
        <v>0</v>
      </c>
      <c r="D110" s="16">
        <f>+'APPROVED SHUTDOWN'!G110</f>
        <v>0</v>
      </c>
      <c r="E110" s="41"/>
      <c r="F110" s="38"/>
      <c r="G110" s="38"/>
      <c r="H110" s="18"/>
      <c r="I110" s="19">
        <f>A110</f>
        <v>0</v>
      </c>
      <c r="J110" s="20">
        <f>+'APPROVED SHUTDOWN'!H110</f>
        <v>0</v>
      </c>
      <c r="K110" s="36"/>
      <c r="M110" s="37"/>
      <c r="N110" s="346"/>
      <c r="O110" s="60"/>
      <c r="P110" s="60"/>
    </row>
    <row r="111" spans="2:16" x14ac:dyDescent="0.25">
      <c r="B111" s="23">
        <f>'APPROVED SHUTDOWN'!E111</f>
        <v>0</v>
      </c>
      <c r="C111" s="15">
        <f>+'APPROVED SHUTDOWN'!F111</f>
        <v>0</v>
      </c>
      <c r="D111" s="16">
        <f>+'APPROVED SHUTDOWN'!G111</f>
        <v>0</v>
      </c>
      <c r="E111" s="41"/>
      <c r="F111" s="38"/>
      <c r="G111" s="38"/>
      <c r="H111" s="18"/>
      <c r="I111" s="19">
        <f>A111</f>
        <v>0</v>
      </c>
      <c r="J111" s="20">
        <f>+'APPROVED SHUTDOWN'!H111</f>
        <v>0</v>
      </c>
      <c r="K111" s="36"/>
      <c r="M111" s="37"/>
      <c r="N111" s="346"/>
      <c r="O111" s="60"/>
      <c r="P111" s="60"/>
    </row>
    <row r="112" spans="2:16" x14ac:dyDescent="0.25">
      <c r="B112" s="23">
        <f>'APPROVED SHUTDOWN'!E112</f>
        <v>0</v>
      </c>
      <c r="C112" s="15">
        <f>+'APPROVED SHUTDOWN'!F112</f>
        <v>0</v>
      </c>
      <c r="D112" s="16">
        <f>+'APPROVED SHUTDOWN'!G112</f>
        <v>0</v>
      </c>
      <c r="E112" s="41"/>
      <c r="F112" s="38"/>
      <c r="G112" s="38"/>
      <c r="H112" s="18"/>
      <c r="I112" s="19">
        <f>A112</f>
        <v>0</v>
      </c>
      <c r="J112" s="20">
        <f>+'APPROVED SHUTDOWN'!H112</f>
        <v>0</v>
      </c>
      <c r="K112" s="36"/>
      <c r="M112" s="37"/>
      <c r="N112" s="346"/>
      <c r="O112" s="60"/>
      <c r="P112" s="60"/>
    </row>
    <row r="113" spans="2:16" x14ac:dyDescent="0.25">
      <c r="B113" s="23">
        <f>'APPROVED SHUTDOWN'!E113</f>
        <v>0</v>
      </c>
      <c r="C113" s="15">
        <f>+'APPROVED SHUTDOWN'!F113</f>
        <v>0</v>
      </c>
      <c r="D113" s="16">
        <f>+'APPROVED SHUTDOWN'!G113</f>
        <v>0</v>
      </c>
      <c r="E113" s="41"/>
      <c r="F113" s="38"/>
      <c r="G113" s="38"/>
      <c r="H113" s="18"/>
      <c r="I113" s="19">
        <f>A113</f>
        <v>0</v>
      </c>
      <c r="J113" s="20">
        <f>+'APPROVED SHUTDOWN'!H113</f>
        <v>0</v>
      </c>
      <c r="K113" s="36"/>
      <c r="M113" s="37"/>
      <c r="N113" s="346"/>
      <c r="O113" s="60"/>
      <c r="P113" s="60"/>
    </row>
    <row r="114" spans="2:16" x14ac:dyDescent="0.25">
      <c r="B114" s="23">
        <f>'APPROVED SHUTDOWN'!E114</f>
        <v>0</v>
      </c>
      <c r="C114" s="15">
        <f>+'APPROVED SHUTDOWN'!F114</f>
        <v>0</v>
      </c>
      <c r="D114" s="16">
        <f>+'APPROVED SHUTDOWN'!G114</f>
        <v>0</v>
      </c>
      <c r="E114" s="41"/>
      <c r="F114" s="38"/>
      <c r="G114" s="38"/>
      <c r="H114" s="18"/>
      <c r="I114" s="19">
        <f>A114</f>
        <v>0</v>
      </c>
      <c r="J114" s="20">
        <f>+'APPROVED SHUTDOWN'!H114</f>
        <v>0</v>
      </c>
      <c r="K114" s="36"/>
      <c r="M114" s="37"/>
      <c r="N114" s="346"/>
      <c r="O114" s="60"/>
      <c r="P114" s="60"/>
    </row>
    <row r="115" spans="2:16" x14ac:dyDescent="0.25">
      <c r="B115" s="23">
        <f>'APPROVED SHUTDOWN'!E115</f>
        <v>0</v>
      </c>
      <c r="C115" s="15">
        <f>+'APPROVED SHUTDOWN'!F115</f>
        <v>0</v>
      </c>
      <c r="D115" s="16">
        <f>+'APPROVED SHUTDOWN'!G115</f>
        <v>0</v>
      </c>
      <c r="E115" s="41"/>
      <c r="F115" s="38"/>
      <c r="G115" s="38"/>
      <c r="H115" s="18"/>
      <c r="I115" s="19">
        <f>A115</f>
        <v>0</v>
      </c>
      <c r="J115" s="20">
        <f>+'APPROVED SHUTDOWN'!H115</f>
        <v>0</v>
      </c>
      <c r="K115" s="36"/>
      <c r="M115" s="37"/>
      <c r="N115" s="346"/>
      <c r="O115" s="60"/>
      <c r="P115" s="60"/>
    </row>
    <row r="116" spans="2:16" x14ac:dyDescent="0.25">
      <c r="B116" s="23">
        <f>'APPROVED SHUTDOWN'!E116</f>
        <v>0</v>
      </c>
      <c r="C116" s="15">
        <f>+'APPROVED SHUTDOWN'!F116</f>
        <v>0</v>
      </c>
      <c r="D116" s="16">
        <f>+'APPROVED SHUTDOWN'!G116</f>
        <v>0</v>
      </c>
      <c r="E116" s="41"/>
      <c r="F116" s="38"/>
      <c r="G116" s="38"/>
      <c r="H116" s="18"/>
      <c r="I116" s="19">
        <f>A116</f>
        <v>0</v>
      </c>
      <c r="J116" s="20">
        <f>+'APPROVED SHUTDOWN'!H116</f>
        <v>0</v>
      </c>
      <c r="K116" s="36"/>
      <c r="M116" s="37"/>
      <c r="N116" s="346"/>
      <c r="O116" s="60"/>
      <c r="P116" s="60"/>
    </row>
    <row r="117" spans="2:16" x14ac:dyDescent="0.25">
      <c r="B117" s="23">
        <f>'APPROVED SHUTDOWN'!E117</f>
        <v>0</v>
      </c>
      <c r="C117" s="15">
        <f>+'APPROVED SHUTDOWN'!F117</f>
        <v>0</v>
      </c>
      <c r="D117" s="16">
        <f>+'APPROVED SHUTDOWN'!G117</f>
        <v>0</v>
      </c>
      <c r="E117" s="41"/>
      <c r="F117" s="38"/>
      <c r="G117" s="38"/>
      <c r="H117" s="18"/>
      <c r="I117" s="19">
        <f>A117</f>
        <v>0</v>
      </c>
      <c r="J117" s="20">
        <f>+'APPROVED SHUTDOWN'!H117</f>
        <v>0</v>
      </c>
      <c r="K117" s="36"/>
      <c r="M117" s="37"/>
      <c r="N117" s="346"/>
      <c r="O117" s="60"/>
      <c r="P117" s="60"/>
    </row>
    <row r="118" spans="2:16" x14ac:dyDescent="0.25">
      <c r="B118" s="23">
        <f>'APPROVED SHUTDOWN'!E118</f>
        <v>0</v>
      </c>
      <c r="C118" s="15">
        <f>+'APPROVED SHUTDOWN'!F118</f>
        <v>0</v>
      </c>
      <c r="D118" s="16">
        <f>+'APPROVED SHUTDOWN'!G118</f>
        <v>0</v>
      </c>
      <c r="E118" s="41"/>
      <c r="F118" s="38"/>
      <c r="G118" s="38"/>
      <c r="H118" s="18"/>
      <c r="I118" s="19">
        <f>A118</f>
        <v>0</v>
      </c>
      <c r="J118" s="20">
        <f>+'APPROVED SHUTDOWN'!H118</f>
        <v>0</v>
      </c>
      <c r="K118" s="36"/>
      <c r="M118" s="37"/>
      <c r="N118" s="346"/>
      <c r="O118" s="60"/>
      <c r="P118" s="60"/>
    </row>
    <row r="119" spans="2:16" x14ac:dyDescent="0.25">
      <c r="B119" s="23">
        <f>'APPROVED SHUTDOWN'!E119</f>
        <v>0</v>
      </c>
      <c r="C119" s="15">
        <f>+'APPROVED SHUTDOWN'!F119</f>
        <v>0</v>
      </c>
      <c r="D119" s="16">
        <f>+'APPROVED SHUTDOWN'!G119</f>
        <v>0</v>
      </c>
      <c r="E119" s="41"/>
      <c r="F119" s="38"/>
      <c r="G119" s="38"/>
      <c r="H119" s="18"/>
      <c r="I119" s="19">
        <f>A119</f>
        <v>0</v>
      </c>
      <c r="J119" s="20">
        <f>+'APPROVED SHUTDOWN'!H119</f>
        <v>0</v>
      </c>
      <c r="K119" s="36"/>
      <c r="M119" s="37"/>
      <c r="N119" s="346"/>
      <c r="O119" s="60"/>
      <c r="P119" s="60"/>
    </row>
    <row r="120" spans="2:16" x14ac:dyDescent="0.25">
      <c r="B120" s="23">
        <f>'APPROVED SHUTDOWN'!E120</f>
        <v>0</v>
      </c>
      <c r="C120" s="15">
        <f>+'APPROVED SHUTDOWN'!F120</f>
        <v>0</v>
      </c>
      <c r="D120" s="16">
        <f>+'APPROVED SHUTDOWN'!G120</f>
        <v>0</v>
      </c>
      <c r="E120" s="41"/>
      <c r="F120" s="38"/>
      <c r="G120" s="38"/>
      <c r="H120" s="18"/>
      <c r="I120" s="19">
        <f>A120</f>
        <v>0</v>
      </c>
      <c r="J120" s="20">
        <f>+'APPROVED SHUTDOWN'!H120</f>
        <v>0</v>
      </c>
      <c r="K120" s="36"/>
      <c r="M120" s="37"/>
      <c r="N120" s="346"/>
      <c r="O120" s="60"/>
      <c r="P120" s="60"/>
    </row>
    <row r="121" spans="2:16" x14ac:dyDescent="0.25">
      <c r="B121" s="23">
        <f>'APPROVED SHUTDOWN'!E121</f>
        <v>0</v>
      </c>
      <c r="C121" s="15">
        <f>+'APPROVED SHUTDOWN'!F121</f>
        <v>0</v>
      </c>
      <c r="D121" s="16">
        <f>+'APPROVED SHUTDOWN'!G121</f>
        <v>0</v>
      </c>
      <c r="E121" s="41"/>
      <c r="F121" s="38"/>
      <c r="G121" s="38"/>
      <c r="H121" s="18"/>
      <c r="I121" s="19">
        <f>A121</f>
        <v>0</v>
      </c>
      <c r="J121" s="20">
        <f>+'APPROVED SHUTDOWN'!H121</f>
        <v>0</v>
      </c>
      <c r="K121" s="36"/>
      <c r="M121" s="37"/>
      <c r="N121" s="346"/>
      <c r="O121" s="60"/>
      <c r="P121" s="60"/>
    </row>
    <row r="122" spans="2:16" x14ac:dyDescent="0.25">
      <c r="B122" s="23">
        <f>'APPROVED SHUTDOWN'!E122</f>
        <v>0</v>
      </c>
      <c r="C122" s="15">
        <f>+'APPROVED SHUTDOWN'!F122</f>
        <v>0</v>
      </c>
      <c r="D122" s="16">
        <f>+'APPROVED SHUTDOWN'!G122</f>
        <v>0</v>
      </c>
      <c r="E122" s="41"/>
      <c r="F122" s="38"/>
      <c r="G122" s="38"/>
      <c r="H122" s="18"/>
      <c r="I122" s="19">
        <f>A122</f>
        <v>0</v>
      </c>
      <c r="J122" s="20">
        <f>+'APPROVED SHUTDOWN'!H122</f>
        <v>0</v>
      </c>
      <c r="K122" s="36"/>
      <c r="M122" s="37"/>
      <c r="N122" s="346"/>
      <c r="O122" s="60"/>
      <c r="P122" s="60"/>
    </row>
    <row r="123" spans="2:16" x14ac:dyDescent="0.25">
      <c r="B123" s="23">
        <f>'APPROVED SHUTDOWN'!E123</f>
        <v>0</v>
      </c>
      <c r="C123" s="15">
        <f>+'APPROVED SHUTDOWN'!F123</f>
        <v>0</v>
      </c>
      <c r="D123" s="16">
        <f>+'APPROVED SHUTDOWN'!G123</f>
        <v>0</v>
      </c>
      <c r="E123" s="41"/>
      <c r="F123" s="38"/>
      <c r="G123" s="38"/>
      <c r="H123" s="18"/>
      <c r="I123" s="19">
        <f>A123</f>
        <v>0</v>
      </c>
      <c r="J123" s="20">
        <f>+'APPROVED SHUTDOWN'!H123</f>
        <v>0</v>
      </c>
      <c r="K123" s="36"/>
      <c r="M123" s="37"/>
      <c r="N123" s="346"/>
      <c r="O123" s="60"/>
      <c r="P123" s="60"/>
    </row>
    <row r="124" spans="2:16" x14ac:dyDescent="0.25">
      <c r="B124" s="23">
        <f>'APPROVED SHUTDOWN'!E124</f>
        <v>0</v>
      </c>
      <c r="C124" s="15">
        <f>+'APPROVED SHUTDOWN'!F124</f>
        <v>0</v>
      </c>
      <c r="D124" s="16">
        <f>+'APPROVED SHUTDOWN'!G124</f>
        <v>0</v>
      </c>
      <c r="E124" s="41"/>
      <c r="F124" s="38"/>
      <c r="G124" s="38"/>
      <c r="H124" s="18"/>
      <c r="I124" s="19">
        <f>A124</f>
        <v>0</v>
      </c>
      <c r="J124" s="20">
        <f>+'APPROVED SHUTDOWN'!H124</f>
        <v>0</v>
      </c>
      <c r="K124" s="36"/>
      <c r="M124" s="37"/>
      <c r="N124" s="346"/>
      <c r="O124" s="60"/>
      <c r="P124" s="60"/>
    </row>
    <row r="125" spans="2:16" x14ac:dyDescent="0.25">
      <c r="B125" s="23">
        <f>'APPROVED SHUTDOWN'!E125</f>
        <v>0</v>
      </c>
      <c r="C125" s="15">
        <f>+'APPROVED SHUTDOWN'!F125</f>
        <v>0</v>
      </c>
      <c r="D125" s="16">
        <f>+'APPROVED SHUTDOWN'!G125</f>
        <v>0</v>
      </c>
      <c r="E125" s="41"/>
      <c r="F125" s="38"/>
      <c r="G125" s="38"/>
      <c r="H125" s="18"/>
      <c r="I125" s="19">
        <f>A125</f>
        <v>0</v>
      </c>
      <c r="J125" s="20">
        <f>+'APPROVED SHUTDOWN'!H125</f>
        <v>0</v>
      </c>
      <c r="K125" s="36"/>
      <c r="M125" s="37"/>
      <c r="N125" s="346"/>
      <c r="O125" s="60"/>
      <c r="P125" s="60"/>
    </row>
    <row r="126" spans="2:16" x14ac:dyDescent="0.25">
      <c r="B126" s="23">
        <f>'APPROVED SHUTDOWN'!E126</f>
        <v>0</v>
      </c>
      <c r="C126" s="15">
        <f>+'APPROVED SHUTDOWN'!F126</f>
        <v>0</v>
      </c>
      <c r="D126" s="16">
        <f>+'APPROVED SHUTDOWN'!G126</f>
        <v>0</v>
      </c>
      <c r="E126" s="41"/>
      <c r="F126" s="38"/>
      <c r="G126" s="38"/>
      <c r="H126" s="18"/>
      <c r="I126" s="19">
        <f>A126</f>
        <v>0</v>
      </c>
      <c r="J126" s="20">
        <f>+'APPROVED SHUTDOWN'!H126</f>
        <v>0</v>
      </c>
      <c r="K126" s="36"/>
      <c r="M126" s="37"/>
      <c r="N126" s="346"/>
      <c r="O126" s="60"/>
      <c r="P126" s="60"/>
    </row>
    <row r="127" spans="2:16" x14ac:dyDescent="0.25">
      <c r="B127" s="23">
        <f>'APPROVED SHUTDOWN'!E127</f>
        <v>0</v>
      </c>
      <c r="C127" s="15">
        <f>+'APPROVED SHUTDOWN'!F127</f>
        <v>0</v>
      </c>
      <c r="D127" s="16">
        <f>+'APPROVED SHUTDOWN'!G127</f>
        <v>0</v>
      </c>
      <c r="E127" s="41"/>
      <c r="F127" s="38"/>
      <c r="G127" s="38"/>
      <c r="H127" s="18"/>
      <c r="I127" s="19">
        <f>A127</f>
        <v>0</v>
      </c>
      <c r="J127" s="20">
        <f>+'APPROVED SHUTDOWN'!H127</f>
        <v>0</v>
      </c>
      <c r="K127" s="36"/>
      <c r="M127" s="37"/>
      <c r="N127" s="346"/>
      <c r="O127" s="60"/>
      <c r="P127" s="60"/>
    </row>
    <row r="128" spans="2:16" x14ac:dyDescent="0.25">
      <c r="B128" s="23">
        <f>'APPROVED SHUTDOWN'!E128</f>
        <v>0</v>
      </c>
      <c r="C128" s="15">
        <f>+'APPROVED SHUTDOWN'!F128</f>
        <v>0</v>
      </c>
      <c r="D128" s="16">
        <f>+'APPROVED SHUTDOWN'!G128</f>
        <v>0</v>
      </c>
      <c r="E128" s="41"/>
      <c r="F128" s="38"/>
      <c r="G128" s="38"/>
      <c r="H128" s="18"/>
      <c r="I128" s="19">
        <f>A128</f>
        <v>0</v>
      </c>
      <c r="J128" s="20">
        <f>+'APPROVED SHUTDOWN'!H128</f>
        <v>0</v>
      </c>
      <c r="K128" s="36"/>
      <c r="M128" s="37"/>
      <c r="N128" s="346"/>
      <c r="O128" s="60"/>
      <c r="P128" s="60"/>
    </row>
    <row r="129" spans="2:16" x14ac:dyDescent="0.25">
      <c r="B129" s="23">
        <f>'APPROVED SHUTDOWN'!E129</f>
        <v>0</v>
      </c>
      <c r="C129" s="15">
        <f>+'APPROVED SHUTDOWN'!F129</f>
        <v>0</v>
      </c>
      <c r="D129" s="16">
        <f>+'APPROVED SHUTDOWN'!G129</f>
        <v>0</v>
      </c>
      <c r="E129" s="41"/>
      <c r="F129" s="38"/>
      <c r="G129" s="38"/>
      <c r="H129" s="18"/>
      <c r="I129" s="19">
        <f>A129</f>
        <v>0</v>
      </c>
      <c r="J129" s="20">
        <f>+'APPROVED SHUTDOWN'!H129</f>
        <v>0</v>
      </c>
      <c r="K129" s="36"/>
      <c r="M129" s="37"/>
      <c r="N129" s="346"/>
      <c r="O129" s="60"/>
      <c r="P129" s="60"/>
    </row>
    <row r="130" spans="2:16" x14ac:dyDescent="0.25">
      <c r="B130" s="23">
        <f>'APPROVED SHUTDOWN'!E130</f>
        <v>0</v>
      </c>
      <c r="C130" s="15">
        <f>+'APPROVED SHUTDOWN'!F130</f>
        <v>0</v>
      </c>
      <c r="D130" s="16">
        <f>+'APPROVED SHUTDOWN'!G130</f>
        <v>0</v>
      </c>
      <c r="E130" s="41"/>
      <c r="F130" s="38"/>
      <c r="G130" s="38"/>
      <c r="H130" s="18"/>
      <c r="I130" s="19">
        <f>A130</f>
        <v>0</v>
      </c>
      <c r="J130" s="20">
        <f>+'APPROVED SHUTDOWN'!H130</f>
        <v>0</v>
      </c>
      <c r="K130" s="36"/>
      <c r="M130" s="37"/>
      <c r="N130" s="346"/>
      <c r="O130" s="60"/>
      <c r="P130" s="60"/>
    </row>
    <row r="131" spans="2:16" x14ac:dyDescent="0.25">
      <c r="B131" s="23">
        <f>'APPROVED SHUTDOWN'!E131</f>
        <v>0</v>
      </c>
      <c r="C131" s="15">
        <f>+'APPROVED SHUTDOWN'!F131</f>
        <v>0</v>
      </c>
      <c r="D131" s="16">
        <f>+'APPROVED SHUTDOWN'!G131</f>
        <v>0</v>
      </c>
      <c r="E131" s="41"/>
      <c r="F131" s="38"/>
      <c r="G131" s="38"/>
      <c r="H131" s="18"/>
      <c r="I131" s="19">
        <f>A131</f>
        <v>0</v>
      </c>
      <c r="J131" s="20">
        <f>+'APPROVED SHUTDOWN'!H131</f>
        <v>0</v>
      </c>
      <c r="K131" s="36"/>
      <c r="M131" s="37"/>
      <c r="N131" s="346"/>
      <c r="O131" s="60"/>
      <c r="P131" s="60"/>
    </row>
    <row r="132" spans="2:16" x14ac:dyDescent="0.25">
      <c r="B132" s="23">
        <f>'APPROVED SHUTDOWN'!E132</f>
        <v>0</v>
      </c>
      <c r="C132" s="15">
        <f>+'APPROVED SHUTDOWN'!F132</f>
        <v>0</v>
      </c>
      <c r="D132" s="16">
        <f>+'APPROVED SHUTDOWN'!G132</f>
        <v>0</v>
      </c>
      <c r="E132" s="41"/>
      <c r="F132" s="38"/>
      <c r="G132" s="38"/>
      <c r="H132" s="18"/>
      <c r="I132" s="19">
        <f>A132</f>
        <v>0</v>
      </c>
      <c r="J132" s="20">
        <f>+'APPROVED SHUTDOWN'!H132</f>
        <v>0</v>
      </c>
      <c r="K132" s="36"/>
      <c r="M132" s="37"/>
      <c r="N132" s="346"/>
      <c r="O132" s="60"/>
      <c r="P132" s="60"/>
    </row>
    <row r="133" spans="2:16" x14ac:dyDescent="0.25">
      <c r="B133" s="23">
        <f>'APPROVED SHUTDOWN'!E133</f>
        <v>0</v>
      </c>
      <c r="C133" s="15">
        <f>+'APPROVED SHUTDOWN'!F133</f>
        <v>0</v>
      </c>
      <c r="D133" s="16">
        <f>+'APPROVED SHUTDOWN'!G133</f>
        <v>0</v>
      </c>
      <c r="E133" s="41"/>
      <c r="F133" s="38"/>
      <c r="G133" s="38"/>
      <c r="H133" s="18"/>
      <c r="I133" s="19">
        <f>A133</f>
        <v>0</v>
      </c>
      <c r="J133" s="20">
        <f>+'APPROVED SHUTDOWN'!H133</f>
        <v>0</v>
      </c>
      <c r="K133" s="36"/>
      <c r="M133" s="37"/>
      <c r="N133" s="346"/>
      <c r="O133" s="60"/>
      <c r="P133" s="60"/>
    </row>
    <row r="134" spans="2:16" x14ac:dyDescent="0.25">
      <c r="B134" s="23">
        <f>'APPROVED SHUTDOWN'!E134</f>
        <v>0</v>
      </c>
      <c r="C134" s="15">
        <f>+'APPROVED SHUTDOWN'!F134</f>
        <v>0</v>
      </c>
      <c r="D134" s="16">
        <f>+'APPROVED SHUTDOWN'!G134</f>
        <v>0</v>
      </c>
      <c r="E134" s="41"/>
      <c r="F134" s="38"/>
      <c r="G134" s="38"/>
      <c r="H134" s="18"/>
      <c r="I134" s="19">
        <f>A134</f>
        <v>0</v>
      </c>
      <c r="J134" s="20">
        <f>+'APPROVED SHUTDOWN'!H134</f>
        <v>0</v>
      </c>
      <c r="K134" s="36"/>
      <c r="M134" s="37"/>
      <c r="N134" s="346"/>
      <c r="O134" s="60"/>
      <c r="P134" s="60"/>
    </row>
    <row r="135" spans="2:16" x14ac:dyDescent="0.25">
      <c r="B135" s="23">
        <f>'APPROVED SHUTDOWN'!E135</f>
        <v>0</v>
      </c>
      <c r="C135" s="15">
        <f>+'APPROVED SHUTDOWN'!F135</f>
        <v>0</v>
      </c>
      <c r="D135" s="16">
        <f>+'APPROVED SHUTDOWN'!G135</f>
        <v>0</v>
      </c>
      <c r="E135" s="41"/>
      <c r="F135" s="38"/>
      <c r="G135" s="38"/>
      <c r="H135" s="18"/>
      <c r="I135" s="19">
        <f>A135</f>
        <v>0</v>
      </c>
      <c r="J135" s="20">
        <f>+'APPROVED SHUTDOWN'!H135</f>
        <v>0</v>
      </c>
      <c r="K135" s="36"/>
      <c r="M135" s="37"/>
      <c r="N135" s="346"/>
      <c r="O135" s="60"/>
      <c r="P135" s="60"/>
    </row>
    <row r="136" spans="2:16" x14ac:dyDescent="0.25">
      <c r="B136" s="23">
        <f>'APPROVED SHUTDOWN'!E136</f>
        <v>0</v>
      </c>
      <c r="C136" s="15">
        <f>+'APPROVED SHUTDOWN'!F136</f>
        <v>0</v>
      </c>
      <c r="D136" s="16">
        <f>+'APPROVED SHUTDOWN'!G136</f>
        <v>0</v>
      </c>
      <c r="E136" s="41"/>
      <c r="F136" s="38"/>
      <c r="G136" s="38"/>
      <c r="H136" s="18"/>
      <c r="I136" s="19">
        <f>A136</f>
        <v>0</v>
      </c>
      <c r="J136" s="20">
        <f>+'APPROVED SHUTDOWN'!H136</f>
        <v>0</v>
      </c>
      <c r="K136" s="36"/>
      <c r="M136" s="37"/>
      <c r="N136" s="346"/>
      <c r="O136" s="60"/>
      <c r="P136" s="60"/>
    </row>
    <row r="137" spans="2:16" x14ac:dyDescent="0.25">
      <c r="B137" s="14"/>
      <c r="C137" s="51"/>
      <c r="D137" s="52"/>
      <c r="E137" s="42"/>
      <c r="F137" s="53"/>
      <c r="G137" s="40"/>
      <c r="H137" s="40"/>
      <c r="I137" s="54"/>
      <c r="J137" s="55"/>
      <c r="K137" s="55"/>
      <c r="L137" s="56"/>
      <c r="M137" s="57"/>
      <c r="N137" s="346"/>
      <c r="O137" s="60"/>
      <c r="P137" s="60"/>
    </row>
    <row r="138" spans="2:16" x14ac:dyDescent="0.25">
      <c r="B138" s="14"/>
      <c r="C138" s="51"/>
      <c r="D138" s="52"/>
      <c r="E138" s="42"/>
      <c r="F138" s="53"/>
      <c r="G138" s="40"/>
      <c r="H138" s="40"/>
      <c r="I138" s="54"/>
      <c r="J138" s="55"/>
      <c r="K138" s="55"/>
      <c r="L138" s="56"/>
      <c r="M138" s="57"/>
      <c r="N138" s="346"/>
      <c r="O138" s="60"/>
      <c r="P138" s="60"/>
    </row>
    <row r="139" spans="2:16" x14ac:dyDescent="0.25">
      <c r="B139" s="14"/>
      <c r="C139" s="51"/>
      <c r="D139" s="52"/>
      <c r="E139" s="42"/>
      <c r="F139" s="53"/>
      <c r="G139" s="40"/>
      <c r="H139" s="40"/>
      <c r="I139" s="54"/>
      <c r="J139" s="55"/>
      <c r="K139" s="55"/>
      <c r="L139" s="56"/>
      <c r="M139" s="57"/>
      <c r="N139" s="346"/>
      <c r="O139" s="60"/>
      <c r="P139" s="60"/>
    </row>
    <row r="140" spans="2:16" x14ac:dyDescent="0.25">
      <c r="B140" s="14"/>
      <c r="C140" s="51"/>
      <c r="D140" s="52"/>
      <c r="E140" s="42"/>
      <c r="F140" s="53"/>
      <c r="G140" s="40"/>
      <c r="H140" s="40"/>
      <c r="I140" s="54"/>
      <c r="J140" s="55"/>
      <c r="K140" s="55"/>
      <c r="L140" s="56"/>
      <c r="M140" s="57"/>
      <c r="N140" s="346"/>
      <c r="O140" s="60"/>
      <c r="P140" s="60"/>
    </row>
    <row r="141" spans="2:16" x14ac:dyDescent="0.25">
      <c r="B141" s="14"/>
      <c r="C141" s="51"/>
      <c r="D141" s="52"/>
      <c r="E141" s="42"/>
      <c r="F141" s="53"/>
      <c r="G141" s="40"/>
      <c r="H141" s="40"/>
      <c r="I141" s="54"/>
      <c r="J141" s="55"/>
      <c r="K141" s="55"/>
      <c r="L141" s="56"/>
      <c r="M141" s="57"/>
      <c r="N141" s="346"/>
      <c r="O141" s="60"/>
      <c r="P141" s="60"/>
    </row>
    <row r="142" spans="2:16" x14ac:dyDescent="0.25">
      <c r="B142" s="14"/>
      <c r="C142" s="51"/>
      <c r="D142" s="52"/>
      <c r="E142" s="42"/>
      <c r="F142" s="53"/>
      <c r="G142" s="40"/>
      <c r="H142" s="40"/>
      <c r="I142" s="54"/>
      <c r="J142" s="55"/>
      <c r="K142" s="55"/>
      <c r="L142" s="56"/>
      <c r="M142" s="57"/>
      <c r="N142" s="346"/>
      <c r="O142" s="60"/>
      <c r="P142" s="60"/>
    </row>
    <row r="143" spans="2:16" x14ac:dyDescent="0.25">
      <c r="B143" s="14"/>
      <c r="C143" s="51"/>
      <c r="D143" s="52"/>
      <c r="E143" s="42"/>
      <c r="F143" s="53"/>
      <c r="G143" s="40"/>
      <c r="H143" s="40"/>
      <c r="I143" s="54"/>
      <c r="J143" s="55"/>
      <c r="K143" s="55"/>
      <c r="L143" s="56"/>
      <c r="M143" s="57"/>
      <c r="N143" s="346"/>
      <c r="O143" s="60"/>
      <c r="P143" s="60"/>
    </row>
    <row r="144" spans="2:16" x14ac:dyDescent="0.25">
      <c r="B144" s="14"/>
      <c r="C144" s="51"/>
      <c r="D144" s="52"/>
      <c r="E144" s="42"/>
      <c r="F144" s="53"/>
      <c r="G144" s="40"/>
      <c r="H144" s="40"/>
      <c r="I144" s="54"/>
      <c r="J144" s="55"/>
      <c r="K144" s="55"/>
      <c r="L144" s="56"/>
      <c r="M144" s="57"/>
      <c r="N144" s="346"/>
      <c r="O144" s="60"/>
      <c r="P144" s="60"/>
    </row>
    <row r="145" spans="2:16" x14ac:dyDescent="0.25">
      <c r="B145" s="14"/>
      <c r="C145" s="51"/>
      <c r="D145" s="52"/>
      <c r="E145" s="42"/>
      <c r="F145" s="53"/>
      <c r="G145" s="40"/>
      <c r="H145" s="40"/>
      <c r="I145" s="54"/>
      <c r="J145" s="55"/>
      <c r="K145" s="55"/>
      <c r="L145" s="56"/>
      <c r="M145" s="57"/>
      <c r="N145" s="346"/>
      <c r="O145" s="60"/>
      <c r="P145" s="60"/>
    </row>
    <row r="146" spans="2:16" x14ac:dyDescent="0.25">
      <c r="B146" s="14"/>
      <c r="C146" s="51"/>
      <c r="D146" s="52"/>
      <c r="E146" s="42"/>
      <c r="F146" s="53"/>
      <c r="G146" s="40"/>
      <c r="H146" s="40"/>
      <c r="I146" s="54"/>
      <c r="J146" s="55"/>
      <c r="K146" s="55"/>
      <c r="L146" s="56"/>
      <c r="M146" s="57"/>
      <c r="N146" s="346"/>
      <c r="O146" s="60"/>
      <c r="P146" s="60"/>
    </row>
    <row r="147" spans="2:16" x14ac:dyDescent="0.25">
      <c r="B147" s="14"/>
      <c r="C147" s="51"/>
      <c r="D147" s="52"/>
      <c r="E147" s="42"/>
      <c r="F147" s="53"/>
      <c r="G147" s="40"/>
      <c r="H147" s="40"/>
      <c r="I147" s="54"/>
      <c r="J147" s="55"/>
      <c r="K147" s="55"/>
      <c r="L147" s="56"/>
      <c r="M147" s="57"/>
      <c r="N147" s="346"/>
      <c r="O147" s="60"/>
      <c r="P147" s="60"/>
    </row>
    <row r="148" spans="2:16" x14ac:dyDescent="0.25">
      <c r="B148" s="14"/>
      <c r="C148" s="51"/>
      <c r="D148" s="52"/>
      <c r="E148" s="42"/>
      <c r="F148" s="53"/>
      <c r="G148" s="40"/>
      <c r="H148" s="40"/>
      <c r="I148" s="54"/>
      <c r="J148" s="55"/>
      <c r="K148" s="55"/>
      <c r="L148" s="56"/>
      <c r="M148" s="57"/>
      <c r="N148" s="346"/>
      <c r="O148" s="60"/>
      <c r="P148" s="60"/>
    </row>
    <row r="149" spans="2:16" x14ac:dyDescent="0.25">
      <c r="B149" s="14"/>
      <c r="C149" s="51"/>
      <c r="D149" s="52"/>
      <c r="E149" s="42"/>
      <c r="F149" s="53"/>
      <c r="G149" s="40"/>
      <c r="H149" s="40"/>
      <c r="I149" s="54"/>
      <c r="J149" s="55"/>
      <c r="K149" s="55"/>
      <c r="L149" s="56"/>
      <c r="M149" s="57"/>
      <c r="N149" s="346"/>
      <c r="O149" s="60"/>
      <c r="P149" s="60"/>
    </row>
    <row r="150" spans="2:16" x14ac:dyDescent="0.25">
      <c r="B150" s="14"/>
      <c r="C150" s="51"/>
      <c r="D150" s="52"/>
      <c r="E150" s="42"/>
      <c r="F150" s="53"/>
      <c r="G150" s="40"/>
      <c r="H150" s="40"/>
      <c r="I150" s="54"/>
      <c r="J150" s="55"/>
      <c r="K150" s="55"/>
      <c r="L150" s="56"/>
      <c r="M150" s="57"/>
      <c r="N150" s="346"/>
      <c r="O150" s="60"/>
      <c r="P150" s="60"/>
    </row>
    <row r="151" spans="2:16" x14ac:dyDescent="0.25">
      <c r="B151" s="14"/>
      <c r="C151" s="51"/>
      <c r="D151" s="52"/>
      <c r="E151" s="42"/>
      <c r="F151" s="53"/>
      <c r="G151" s="40"/>
      <c r="H151" s="40"/>
      <c r="I151" s="54"/>
      <c r="J151" s="55"/>
      <c r="K151" s="55"/>
      <c r="L151" s="56"/>
      <c r="M151" s="57"/>
      <c r="N151" s="346"/>
      <c r="O151" s="60"/>
      <c r="P151" s="60"/>
    </row>
    <row r="152" spans="2:16" x14ac:dyDescent="0.25">
      <c r="B152" s="14"/>
      <c r="C152" s="51"/>
      <c r="D152" s="52"/>
      <c r="E152" s="42"/>
      <c r="F152" s="53"/>
      <c r="G152" s="40"/>
      <c r="H152" s="40"/>
      <c r="I152" s="54"/>
      <c r="J152" s="55"/>
      <c r="K152" s="55"/>
      <c r="L152" s="56"/>
      <c r="M152" s="57"/>
      <c r="N152" s="346"/>
      <c r="O152" s="60"/>
      <c r="P152" s="60"/>
    </row>
    <row r="153" spans="2:16" x14ac:dyDescent="0.25">
      <c r="B153" s="14"/>
      <c r="C153" s="51"/>
      <c r="D153" s="52"/>
      <c r="E153" s="42"/>
      <c r="F153" s="53"/>
      <c r="G153" s="40"/>
      <c r="H153" s="40"/>
      <c r="I153" s="54"/>
      <c r="J153" s="55"/>
      <c r="K153" s="55"/>
      <c r="L153" s="56"/>
      <c r="M153" s="57"/>
      <c r="N153" s="346"/>
      <c r="O153" s="60"/>
      <c r="P153" s="60"/>
    </row>
    <row r="154" spans="2:16" x14ac:dyDescent="0.25">
      <c r="B154" s="14"/>
      <c r="C154" s="51"/>
      <c r="D154" s="52"/>
      <c r="E154" s="42"/>
      <c r="F154" s="53"/>
      <c r="G154" s="40"/>
      <c r="H154" s="40"/>
      <c r="I154" s="54"/>
      <c r="J154" s="55"/>
      <c r="K154" s="55"/>
      <c r="L154" s="56"/>
      <c r="M154" s="57"/>
      <c r="N154" s="346"/>
    </row>
    <row r="155" spans="2:16" x14ac:dyDescent="0.25">
      <c r="B155" s="14"/>
      <c r="C155" s="51"/>
      <c r="D155" s="52"/>
      <c r="E155" s="42"/>
      <c r="F155" s="53"/>
      <c r="G155" s="40"/>
      <c r="H155" s="40"/>
      <c r="I155" s="54"/>
      <c r="J155" s="55"/>
      <c r="K155" s="55"/>
      <c r="L155" s="56"/>
      <c r="M155" s="57"/>
      <c r="N155" s="346"/>
    </row>
    <row r="156" spans="2:16" x14ac:dyDescent="0.25">
      <c r="B156" s="14"/>
      <c r="C156" s="51"/>
      <c r="D156" s="52"/>
      <c r="E156" s="42"/>
      <c r="F156" s="53"/>
      <c r="G156" s="40"/>
      <c r="H156" s="40"/>
      <c r="I156" s="54"/>
      <c r="J156" s="55"/>
      <c r="K156" s="55"/>
      <c r="L156" s="56"/>
      <c r="M156" s="57"/>
      <c r="N156" s="346"/>
    </row>
    <row r="157" spans="2:16" x14ac:dyDescent="0.25">
      <c r="B157" s="14"/>
      <c r="C157" s="51"/>
      <c r="D157" s="52"/>
      <c r="E157" s="42"/>
      <c r="F157" s="53"/>
      <c r="G157" s="40"/>
      <c r="H157" s="40"/>
      <c r="I157" s="54"/>
      <c r="J157" s="55"/>
      <c r="K157" s="55"/>
      <c r="L157" s="56"/>
      <c r="M157" s="57"/>
      <c r="N157" s="346"/>
    </row>
    <row r="158" spans="2:16" x14ac:dyDescent="0.25">
      <c r="B158" s="14"/>
      <c r="C158" s="51"/>
      <c r="D158" s="52"/>
      <c r="E158" s="42"/>
      <c r="F158" s="53"/>
      <c r="G158" s="40"/>
      <c r="H158" s="40"/>
      <c r="I158" s="54"/>
      <c r="J158" s="55"/>
      <c r="K158" s="55"/>
      <c r="L158" s="56"/>
      <c r="M158" s="57"/>
      <c r="N158" s="346"/>
    </row>
    <row r="159" spans="2:16" x14ac:dyDescent="0.25">
      <c r="B159" s="14"/>
      <c r="C159" s="51"/>
      <c r="D159" s="52"/>
      <c r="E159" s="42"/>
      <c r="F159" s="53"/>
      <c r="G159" s="40"/>
      <c r="H159" s="40"/>
      <c r="I159" s="54"/>
      <c r="J159" s="55"/>
      <c r="K159" s="55"/>
      <c r="L159" s="56"/>
      <c r="M159" s="57"/>
      <c r="N159" s="346"/>
    </row>
    <row r="160" spans="2:16" x14ac:dyDescent="0.25">
      <c r="B160" s="14"/>
      <c r="C160" s="51"/>
      <c r="D160" s="52"/>
      <c r="E160" s="42"/>
      <c r="F160" s="53"/>
      <c r="G160" s="40"/>
      <c r="H160" s="40"/>
      <c r="I160" s="54"/>
      <c r="J160" s="55"/>
      <c r="K160" s="55"/>
      <c r="L160" s="56"/>
      <c r="M160" s="57"/>
      <c r="N160" s="346"/>
    </row>
    <row r="161" spans="2:14" x14ac:dyDescent="0.25">
      <c r="B161" s="14"/>
      <c r="C161" s="51"/>
      <c r="D161" s="52"/>
      <c r="E161" s="42"/>
      <c r="F161" s="53"/>
      <c r="G161" s="40"/>
      <c r="H161" s="40"/>
      <c r="I161" s="54"/>
      <c r="J161" s="55"/>
      <c r="K161" s="55"/>
      <c r="L161" s="56"/>
      <c r="M161" s="57"/>
      <c r="N161" s="346"/>
    </row>
    <row r="162" spans="2:14" x14ac:dyDescent="0.25">
      <c r="B162" s="14"/>
      <c r="C162" s="51"/>
      <c r="D162" s="52"/>
      <c r="E162" s="42"/>
      <c r="F162" s="53"/>
      <c r="G162" s="40"/>
      <c r="H162" s="40"/>
      <c r="I162" s="54"/>
      <c r="J162" s="55"/>
      <c r="K162" s="55"/>
      <c r="L162" s="56"/>
      <c r="M162" s="57"/>
      <c r="N162" s="346"/>
    </row>
    <row r="163" spans="2:14" x14ac:dyDescent="0.25">
      <c r="B163" s="14"/>
      <c r="C163" s="51"/>
      <c r="D163" s="52"/>
      <c r="E163" s="42"/>
      <c r="F163" s="53"/>
      <c r="G163" s="40"/>
      <c r="H163" s="40"/>
      <c r="I163" s="54"/>
      <c r="J163" s="55"/>
      <c r="K163" s="55"/>
      <c r="L163" s="56"/>
      <c r="M163" s="57"/>
      <c r="N163" s="346"/>
    </row>
    <row r="164" spans="2:14" x14ac:dyDescent="0.25">
      <c r="B164" s="14"/>
      <c r="C164" s="51"/>
      <c r="D164" s="52"/>
      <c r="E164" s="42"/>
      <c r="F164" s="53"/>
      <c r="G164" s="40"/>
      <c r="H164" s="40"/>
      <c r="I164" s="54"/>
      <c r="J164" s="55"/>
      <c r="K164" s="55"/>
      <c r="L164" s="56"/>
      <c r="M164" s="57"/>
      <c r="N164" s="346"/>
    </row>
    <row r="165" spans="2:14" x14ac:dyDescent="0.25">
      <c r="B165" s="14"/>
      <c r="C165" s="51"/>
      <c r="D165" s="52"/>
      <c r="E165" s="42"/>
      <c r="F165" s="53"/>
      <c r="G165" s="40"/>
      <c r="H165" s="40"/>
      <c r="I165" s="54"/>
      <c r="J165" s="55"/>
      <c r="K165" s="55"/>
      <c r="L165" s="56"/>
      <c r="M165" s="57"/>
      <c r="N165" s="346"/>
    </row>
    <row r="166" spans="2:14" x14ac:dyDescent="0.25">
      <c r="B166" s="14"/>
      <c r="C166" s="51"/>
      <c r="D166" s="52"/>
      <c r="E166" s="42"/>
      <c r="F166" s="53"/>
      <c r="G166" s="40"/>
      <c r="H166" s="40"/>
      <c r="I166" s="54"/>
      <c r="J166" s="55"/>
      <c r="K166" s="55"/>
      <c r="L166" s="56"/>
      <c r="M166" s="57"/>
      <c r="N166" s="346"/>
    </row>
    <row r="167" spans="2:14" x14ac:dyDescent="0.25">
      <c r="B167" s="14"/>
      <c r="C167" s="51"/>
      <c r="D167" s="52"/>
      <c r="E167" s="42"/>
      <c r="F167" s="53"/>
      <c r="G167" s="40"/>
      <c r="H167" s="40"/>
      <c r="I167" s="54"/>
      <c r="J167" s="55"/>
      <c r="K167" s="55"/>
      <c r="L167" s="56"/>
      <c r="M167" s="57"/>
      <c r="N167" s="346"/>
    </row>
    <row r="168" spans="2:14" x14ac:dyDescent="0.25">
      <c r="B168" s="14"/>
      <c r="C168" s="51"/>
      <c r="D168" s="52"/>
      <c r="E168" s="42"/>
      <c r="F168" s="53"/>
      <c r="G168" s="40"/>
      <c r="H168" s="40"/>
      <c r="I168" s="54"/>
      <c r="J168" s="55"/>
      <c r="K168" s="55"/>
      <c r="L168" s="56"/>
      <c r="M168" s="57"/>
      <c r="N168" s="346"/>
    </row>
    <row r="169" spans="2:14" x14ac:dyDescent="0.25">
      <c r="B169" s="14"/>
      <c r="C169" s="51"/>
      <c r="D169" s="52"/>
      <c r="E169" s="42"/>
      <c r="F169" s="53"/>
      <c r="G169" s="40"/>
      <c r="H169" s="40"/>
      <c r="I169" s="54"/>
      <c r="J169" s="55"/>
      <c r="K169" s="55"/>
      <c r="L169" s="56"/>
      <c r="M169" s="57"/>
      <c r="N169" s="346"/>
    </row>
    <row r="170" spans="2:14" x14ac:dyDescent="0.25">
      <c r="B170" s="14"/>
      <c r="C170" s="51"/>
      <c r="D170" s="52"/>
      <c r="E170" s="42"/>
      <c r="F170" s="53"/>
      <c r="G170" s="40"/>
      <c r="H170" s="40"/>
      <c r="I170" s="54"/>
      <c r="J170" s="55"/>
      <c r="K170" s="55"/>
      <c r="L170" s="56"/>
      <c r="M170" s="57"/>
      <c r="N170" s="346"/>
    </row>
    <row r="171" spans="2:14" x14ac:dyDescent="0.25">
      <c r="B171" s="14"/>
      <c r="C171" s="51"/>
      <c r="D171" s="52"/>
      <c r="E171" s="42"/>
      <c r="F171" s="53"/>
      <c r="G171" s="40"/>
      <c r="H171" s="40"/>
      <c r="I171" s="54"/>
      <c r="J171" s="55"/>
      <c r="K171" s="55"/>
      <c r="L171" s="56"/>
      <c r="M171" s="57"/>
      <c r="N171" s="346"/>
    </row>
    <row r="172" spans="2:14" x14ac:dyDescent="0.25">
      <c r="B172" s="14"/>
      <c r="C172" s="51"/>
      <c r="D172" s="52"/>
      <c r="E172" s="42"/>
      <c r="F172" s="53"/>
      <c r="G172" s="40"/>
      <c r="H172" s="40"/>
      <c r="I172" s="54"/>
      <c r="J172" s="55"/>
      <c r="K172" s="55"/>
      <c r="L172" s="56"/>
      <c r="M172" s="57"/>
      <c r="N172" s="346"/>
    </row>
    <row r="173" spans="2:14" x14ac:dyDescent="0.25">
      <c r="B173" s="14"/>
      <c r="C173" s="51"/>
      <c r="D173" s="52"/>
      <c r="E173" s="42"/>
      <c r="F173" s="53"/>
      <c r="G173" s="40"/>
      <c r="H173" s="40"/>
      <c r="I173" s="54"/>
      <c r="J173" s="55"/>
      <c r="K173" s="55"/>
      <c r="L173" s="56"/>
      <c r="M173" s="57"/>
      <c r="N173" s="346"/>
    </row>
    <row r="174" spans="2:14" x14ac:dyDescent="0.25">
      <c r="B174" s="14"/>
      <c r="C174" s="51"/>
      <c r="D174" s="52"/>
      <c r="E174" s="42"/>
      <c r="F174" s="53"/>
      <c r="G174" s="40"/>
      <c r="H174" s="40"/>
      <c r="I174" s="54"/>
      <c r="J174" s="55"/>
      <c r="K174" s="55"/>
      <c r="L174" s="56"/>
      <c r="M174" s="57"/>
      <c r="N174" s="346"/>
    </row>
    <row r="175" spans="2:14" x14ac:dyDescent="0.25">
      <c r="B175" s="14"/>
      <c r="C175" s="51"/>
      <c r="D175" s="52"/>
      <c r="E175" s="42"/>
      <c r="F175" s="53"/>
      <c r="G175" s="40"/>
      <c r="H175" s="40"/>
      <c r="I175" s="54"/>
      <c r="J175" s="55"/>
      <c r="K175" s="55"/>
      <c r="L175" s="56"/>
      <c r="M175" s="57"/>
      <c r="N175" s="346"/>
    </row>
    <row r="176" spans="2:14" x14ac:dyDescent="0.25">
      <c r="B176" s="14"/>
      <c r="C176" s="51"/>
      <c r="D176" s="52"/>
      <c r="E176" s="42"/>
      <c r="F176" s="53"/>
      <c r="G176" s="40"/>
      <c r="H176" s="40"/>
      <c r="I176" s="54"/>
      <c r="J176" s="55"/>
      <c r="K176" s="55"/>
      <c r="L176" s="56"/>
      <c r="M176" s="57"/>
      <c r="N176" s="346"/>
    </row>
    <row r="177" spans="2:14" x14ac:dyDescent="0.25">
      <c r="B177" s="14"/>
      <c r="C177" s="51"/>
      <c r="D177" s="52"/>
      <c r="E177" s="42"/>
      <c r="F177" s="53"/>
      <c r="G177" s="40"/>
      <c r="H177" s="40"/>
      <c r="I177" s="54"/>
      <c r="J177" s="55"/>
      <c r="K177" s="55"/>
      <c r="L177" s="56"/>
      <c r="M177" s="57"/>
      <c r="N177" s="346"/>
    </row>
    <row r="178" spans="2:14" x14ac:dyDescent="0.25">
      <c r="B178" s="14"/>
      <c r="C178" s="51"/>
      <c r="D178" s="52"/>
      <c r="E178" s="42"/>
      <c r="F178" s="53"/>
      <c r="G178" s="40"/>
      <c r="H178" s="40"/>
      <c r="I178" s="54"/>
      <c r="J178" s="55"/>
      <c r="K178" s="55"/>
      <c r="L178" s="56"/>
      <c r="M178" s="57"/>
      <c r="N178" s="346"/>
    </row>
    <row r="179" spans="2:14" x14ac:dyDescent="0.25">
      <c r="B179" s="14"/>
      <c r="C179" s="51"/>
      <c r="D179" s="52"/>
      <c r="E179" s="42"/>
      <c r="F179" s="53"/>
      <c r="G179" s="40"/>
      <c r="H179" s="40"/>
      <c r="I179" s="54"/>
      <c r="J179" s="55"/>
      <c r="K179" s="55"/>
      <c r="L179" s="56"/>
      <c r="M179" s="57"/>
      <c r="N179" s="346"/>
    </row>
    <row r="180" spans="2:14" x14ac:dyDescent="0.25">
      <c r="B180" s="14"/>
      <c r="C180" s="51"/>
      <c r="D180" s="52"/>
      <c r="E180" s="42"/>
      <c r="F180" s="53"/>
      <c r="G180" s="40"/>
      <c r="H180" s="40"/>
      <c r="I180" s="54"/>
      <c r="J180" s="55"/>
      <c r="K180" s="55"/>
      <c r="L180" s="56"/>
      <c r="M180" s="57"/>
      <c r="N180" s="346"/>
    </row>
    <row r="181" spans="2:14" x14ac:dyDescent="0.25">
      <c r="B181" s="14"/>
      <c r="C181" s="51"/>
      <c r="D181" s="52"/>
      <c r="E181" s="42"/>
      <c r="F181" s="53"/>
      <c r="G181" s="40"/>
      <c r="H181" s="40"/>
      <c r="I181" s="54"/>
      <c r="J181" s="55"/>
      <c r="K181" s="55"/>
      <c r="L181" s="56"/>
      <c r="M181" s="57"/>
      <c r="N181" s="346"/>
    </row>
    <row r="182" spans="2:14" x14ac:dyDescent="0.25">
      <c r="B182" s="14"/>
      <c r="C182" s="51"/>
      <c r="D182" s="52"/>
      <c r="E182" s="42"/>
      <c r="F182" s="53"/>
      <c r="G182" s="40"/>
      <c r="H182" s="40"/>
      <c r="I182" s="54"/>
      <c r="J182" s="55"/>
      <c r="K182" s="55"/>
      <c r="L182" s="56"/>
      <c r="M182" s="57"/>
      <c r="N182" s="346"/>
    </row>
    <row r="183" spans="2:14" x14ac:dyDescent="0.25">
      <c r="B183" s="14"/>
      <c r="C183" s="51"/>
      <c r="D183" s="52"/>
      <c r="E183" s="42"/>
      <c r="F183" s="53"/>
      <c r="G183" s="40"/>
      <c r="H183" s="40"/>
      <c r="I183" s="54"/>
      <c r="J183" s="55"/>
      <c r="K183" s="55"/>
      <c r="L183" s="56"/>
      <c r="M183" s="57"/>
      <c r="N183" s="346"/>
    </row>
    <row r="184" spans="2:14" x14ac:dyDescent="0.25">
      <c r="B184" s="14"/>
      <c r="C184" s="51"/>
      <c r="D184" s="52"/>
      <c r="E184" s="42"/>
      <c r="F184" s="53"/>
      <c r="G184" s="40"/>
      <c r="H184" s="40"/>
      <c r="I184" s="54"/>
      <c r="J184" s="55"/>
      <c r="K184" s="55"/>
      <c r="L184" s="56"/>
      <c r="M184" s="57"/>
      <c r="N184" s="346"/>
    </row>
    <row r="185" spans="2:14" x14ac:dyDescent="0.25">
      <c r="B185" s="14"/>
      <c r="C185" s="51"/>
      <c r="D185" s="52"/>
      <c r="E185" s="42"/>
      <c r="F185" s="53"/>
      <c r="G185" s="40"/>
      <c r="H185" s="40"/>
      <c r="I185" s="54"/>
      <c r="J185" s="55"/>
      <c r="K185" s="55"/>
      <c r="L185" s="56"/>
      <c r="M185" s="57"/>
      <c r="N185" s="346"/>
    </row>
    <row r="186" spans="2:14" x14ac:dyDescent="0.25">
      <c r="B186" s="14"/>
      <c r="C186" s="51"/>
      <c r="D186" s="52"/>
      <c r="E186" s="42"/>
      <c r="F186" s="53"/>
      <c r="G186" s="40"/>
      <c r="H186" s="40"/>
      <c r="I186" s="54"/>
      <c r="J186" s="55"/>
      <c r="K186" s="55"/>
      <c r="L186" s="56"/>
      <c r="M186" s="57"/>
      <c r="N186" s="346"/>
    </row>
    <row r="187" spans="2:14" x14ac:dyDescent="0.25">
      <c r="B187" s="14"/>
      <c r="C187" s="51"/>
      <c r="D187" s="52"/>
      <c r="E187" s="42"/>
      <c r="F187" s="53"/>
      <c r="G187" s="40"/>
      <c r="H187" s="40"/>
      <c r="I187" s="54"/>
      <c r="J187" s="55"/>
      <c r="K187" s="55"/>
      <c r="L187" s="56"/>
      <c r="M187" s="57"/>
      <c r="N187" s="346"/>
    </row>
    <row r="188" spans="2:14" x14ac:dyDescent="0.25">
      <c r="B188" s="14"/>
      <c r="C188" s="51"/>
      <c r="D188" s="52"/>
      <c r="E188" s="42"/>
      <c r="F188" s="53"/>
      <c r="G188" s="40"/>
      <c r="H188" s="40"/>
      <c r="I188" s="54"/>
      <c r="J188" s="55"/>
      <c r="K188" s="55"/>
      <c r="L188" s="56"/>
      <c r="M188" s="57"/>
      <c r="N188" s="346"/>
    </row>
    <row r="189" spans="2:14" x14ac:dyDescent="0.25">
      <c r="B189" s="14"/>
      <c r="C189" s="51"/>
      <c r="D189" s="52"/>
      <c r="E189" s="42"/>
      <c r="F189" s="53"/>
      <c r="G189" s="40"/>
      <c r="H189" s="40"/>
      <c r="I189" s="54"/>
      <c r="J189" s="55"/>
      <c r="K189" s="55"/>
      <c r="L189" s="56"/>
      <c r="M189" s="57"/>
      <c r="N189" s="346"/>
    </row>
    <row r="190" spans="2:14" x14ac:dyDescent="0.25">
      <c r="B190" s="14"/>
      <c r="C190" s="51"/>
      <c r="D190" s="52"/>
      <c r="E190" s="42"/>
      <c r="F190" s="53"/>
      <c r="G190" s="40"/>
      <c r="H190" s="40"/>
      <c r="I190" s="54"/>
      <c r="J190" s="55"/>
      <c r="K190" s="55"/>
      <c r="L190" s="56"/>
      <c r="M190" s="57"/>
      <c r="N190" s="346"/>
    </row>
    <row r="191" spans="2:14" x14ac:dyDescent="0.25">
      <c r="B191" s="14"/>
      <c r="C191" s="51"/>
      <c r="D191" s="52"/>
      <c r="E191" s="42"/>
      <c r="F191" s="53"/>
      <c r="G191" s="40"/>
      <c r="H191" s="40"/>
      <c r="I191" s="54"/>
      <c r="J191" s="55"/>
      <c r="K191" s="55"/>
      <c r="L191" s="56"/>
      <c r="M191" s="57"/>
      <c r="N191" s="346"/>
    </row>
    <row r="192" spans="2:14" x14ac:dyDescent="0.25">
      <c r="B192" s="14"/>
      <c r="C192" s="51"/>
      <c r="D192" s="52"/>
      <c r="E192" s="42"/>
      <c r="F192" s="53"/>
      <c r="G192" s="40"/>
      <c r="H192" s="40"/>
      <c r="I192" s="54"/>
      <c r="J192" s="55"/>
      <c r="K192" s="55"/>
      <c r="L192" s="56"/>
      <c r="M192" s="57"/>
      <c r="N192" s="346"/>
    </row>
    <row r="193" spans="2:14" x14ac:dyDescent="0.25">
      <c r="B193" s="14"/>
      <c r="C193" s="51"/>
      <c r="D193" s="52"/>
      <c r="E193" s="42"/>
      <c r="F193" s="53"/>
      <c r="G193" s="40"/>
      <c r="H193" s="40"/>
      <c r="I193" s="54"/>
      <c r="J193" s="55"/>
      <c r="K193" s="55"/>
      <c r="L193" s="56"/>
      <c r="M193" s="57"/>
      <c r="N193" s="346"/>
    </row>
    <row r="194" spans="2:14" x14ac:dyDescent="0.25">
      <c r="B194" s="14"/>
      <c r="C194" s="51"/>
      <c r="D194" s="52"/>
      <c r="E194" s="42"/>
      <c r="F194" s="53"/>
      <c r="G194" s="40"/>
      <c r="H194" s="40"/>
      <c r="I194" s="54"/>
      <c r="J194" s="55"/>
      <c r="K194" s="55"/>
      <c r="L194" s="56"/>
      <c r="M194" s="57"/>
      <c r="N194" s="346"/>
    </row>
    <row r="195" spans="2:14" x14ac:dyDescent="0.25">
      <c r="B195" s="14"/>
      <c r="C195" s="51"/>
      <c r="D195" s="52"/>
      <c r="E195" s="42"/>
      <c r="F195" s="53"/>
      <c r="G195" s="40"/>
      <c r="H195" s="40"/>
      <c r="I195" s="54"/>
      <c r="J195" s="55"/>
      <c r="K195" s="55"/>
      <c r="L195" s="56"/>
      <c r="M195" s="57"/>
      <c r="N195" s="346"/>
    </row>
    <row r="196" spans="2:14" x14ac:dyDescent="0.25">
      <c r="B196" s="14"/>
      <c r="C196" s="51"/>
      <c r="D196" s="52"/>
      <c r="E196" s="42"/>
      <c r="F196" s="53"/>
      <c r="G196" s="40"/>
      <c r="H196" s="40"/>
      <c r="I196" s="54"/>
      <c r="J196" s="55"/>
      <c r="K196" s="55"/>
      <c r="L196" s="56"/>
      <c r="M196" s="57"/>
      <c r="N196" s="346"/>
    </row>
    <row r="197" spans="2:14" x14ac:dyDescent="0.25">
      <c r="B197" s="14"/>
      <c r="C197" s="51"/>
      <c r="D197" s="52"/>
      <c r="E197" s="42"/>
      <c r="F197" s="53"/>
      <c r="G197" s="40"/>
      <c r="H197" s="40"/>
      <c r="I197" s="54"/>
      <c r="J197" s="55"/>
      <c r="K197" s="55"/>
      <c r="L197" s="56"/>
      <c r="M197" s="57"/>
      <c r="N197" s="346"/>
    </row>
    <row r="198" spans="2:14" x14ac:dyDescent="0.25">
      <c r="B198" s="14"/>
      <c r="C198" s="51"/>
      <c r="D198" s="52"/>
      <c r="E198" s="42"/>
      <c r="F198" s="53"/>
      <c r="G198" s="40"/>
      <c r="H198" s="40"/>
      <c r="I198" s="54"/>
      <c r="J198" s="55"/>
      <c r="K198" s="55"/>
      <c r="L198" s="56"/>
      <c r="M198" s="57"/>
      <c r="N198" s="346"/>
    </row>
    <row r="199" spans="2:14" x14ac:dyDescent="0.25">
      <c r="B199" s="14"/>
      <c r="C199" s="51"/>
      <c r="D199" s="52"/>
      <c r="E199" s="42"/>
      <c r="F199" s="53"/>
      <c r="G199" s="40"/>
      <c r="H199" s="40"/>
      <c r="I199" s="54"/>
      <c r="J199" s="55"/>
      <c r="K199" s="55"/>
      <c r="L199" s="56"/>
      <c r="M199" s="57"/>
      <c r="N199" s="346"/>
    </row>
    <row r="200" spans="2:14" x14ac:dyDescent="0.25">
      <c r="B200" s="14"/>
      <c r="C200" s="51"/>
      <c r="D200" s="52"/>
      <c r="E200" s="42"/>
      <c r="F200" s="53"/>
      <c r="G200" s="40"/>
      <c r="H200" s="40"/>
      <c r="I200" s="54"/>
      <c r="J200" s="55"/>
      <c r="K200" s="55"/>
      <c r="L200" s="56"/>
      <c r="M200" s="57"/>
      <c r="N200" s="346"/>
    </row>
    <row r="201" spans="2:14" x14ac:dyDescent="0.25">
      <c r="B201" s="14"/>
      <c r="C201" s="51"/>
      <c r="D201" s="52"/>
      <c r="E201" s="42"/>
      <c r="F201" s="53"/>
      <c r="G201" s="40"/>
      <c r="H201" s="40"/>
      <c r="I201" s="54"/>
      <c r="J201" s="55"/>
      <c r="K201" s="55"/>
      <c r="L201" s="56"/>
      <c r="M201" s="57"/>
      <c r="N201" s="346"/>
    </row>
    <row r="202" spans="2:14" x14ac:dyDescent="0.25">
      <c r="B202" s="14"/>
      <c r="C202" s="51"/>
      <c r="D202" s="52"/>
      <c r="E202" s="42"/>
      <c r="F202" s="53"/>
      <c r="G202" s="40"/>
      <c r="H202" s="40"/>
      <c r="I202" s="54"/>
      <c r="J202" s="55"/>
      <c r="K202" s="55"/>
      <c r="L202" s="56"/>
      <c r="M202" s="57"/>
      <c r="N202" s="346"/>
    </row>
    <row r="203" spans="2:14" x14ac:dyDescent="0.25">
      <c r="B203" s="14"/>
      <c r="C203" s="51"/>
      <c r="D203" s="52"/>
      <c r="E203" s="42"/>
      <c r="F203" s="53"/>
      <c r="G203" s="40"/>
      <c r="H203" s="40"/>
      <c r="I203" s="54"/>
      <c r="J203" s="55"/>
      <c r="K203" s="55"/>
      <c r="L203" s="56"/>
      <c r="M203" s="57"/>
      <c r="N203" s="346"/>
    </row>
    <row r="204" spans="2:14" x14ac:dyDescent="0.25">
      <c r="B204" s="14"/>
      <c r="C204" s="51"/>
      <c r="D204" s="52"/>
      <c r="E204" s="42"/>
      <c r="F204" s="53"/>
      <c r="G204" s="40"/>
      <c r="H204" s="40"/>
      <c r="I204" s="54"/>
      <c r="J204" s="55"/>
      <c r="K204" s="55"/>
      <c r="L204" s="56"/>
      <c r="M204" s="57"/>
      <c r="N204" s="346"/>
    </row>
    <row r="205" spans="2:14" x14ac:dyDescent="0.25">
      <c r="B205" s="14"/>
      <c r="C205" s="51"/>
      <c r="D205" s="52"/>
      <c r="E205" s="42"/>
      <c r="F205" s="53"/>
      <c r="G205" s="40"/>
      <c r="H205" s="40"/>
      <c r="I205" s="54"/>
      <c r="J205" s="55"/>
      <c r="K205" s="55"/>
      <c r="L205" s="56"/>
      <c r="M205" s="57"/>
      <c r="N205" s="346"/>
    </row>
    <row r="206" spans="2:14" x14ac:dyDescent="0.25">
      <c r="B206" s="14"/>
      <c r="C206" s="51"/>
      <c r="D206" s="52"/>
      <c r="E206" s="42"/>
      <c r="F206" s="53"/>
      <c r="G206" s="40"/>
      <c r="H206" s="40"/>
      <c r="I206" s="54"/>
      <c r="J206" s="55"/>
      <c r="K206" s="55"/>
      <c r="L206" s="56"/>
      <c r="M206" s="57"/>
      <c r="N206" s="346"/>
    </row>
    <row r="207" spans="2:14" x14ac:dyDescent="0.25">
      <c r="B207" s="14"/>
      <c r="C207" s="51"/>
      <c r="D207" s="52"/>
      <c r="E207" s="42"/>
      <c r="F207" s="53"/>
      <c r="G207" s="40"/>
      <c r="H207" s="40"/>
      <c r="I207" s="54"/>
      <c r="J207" s="55"/>
      <c r="K207" s="55"/>
      <c r="L207" s="56"/>
      <c r="M207" s="57"/>
      <c r="N207" s="346"/>
    </row>
    <row r="208" spans="2:14" x14ac:dyDescent="0.25">
      <c r="B208" s="14"/>
      <c r="C208" s="51"/>
      <c r="D208" s="52"/>
      <c r="E208" s="42"/>
      <c r="F208" s="53"/>
      <c r="G208" s="40"/>
      <c r="H208" s="40"/>
      <c r="I208" s="54"/>
      <c r="J208" s="55"/>
      <c r="K208" s="55"/>
      <c r="L208" s="56"/>
      <c r="M208" s="57"/>
      <c r="N208" s="346"/>
    </row>
    <row r="209" spans="2:14" x14ac:dyDescent="0.25">
      <c r="B209" s="14"/>
      <c r="C209" s="51"/>
      <c r="D209" s="52"/>
      <c r="E209" s="42"/>
      <c r="F209" s="53"/>
      <c r="G209" s="40"/>
      <c r="H209" s="40"/>
      <c r="I209" s="54"/>
      <c r="J209" s="55"/>
      <c r="K209" s="55"/>
      <c r="L209" s="56"/>
      <c r="M209" s="57"/>
      <c r="N209" s="346"/>
    </row>
    <row r="210" spans="2:14" x14ac:dyDescent="0.25">
      <c r="B210" s="14"/>
      <c r="C210" s="51"/>
      <c r="D210" s="52"/>
      <c r="E210" s="42"/>
      <c r="F210" s="53"/>
      <c r="G210" s="40"/>
      <c r="H210" s="40"/>
      <c r="I210" s="54"/>
      <c r="J210" s="55"/>
      <c r="K210" s="55"/>
      <c r="L210" s="56"/>
      <c r="M210" s="57"/>
      <c r="N210" s="346"/>
    </row>
    <row r="211" spans="2:14" x14ac:dyDescent="0.25">
      <c r="B211" s="14"/>
      <c r="C211" s="51"/>
      <c r="D211" s="52"/>
      <c r="E211" s="42"/>
      <c r="F211" s="53"/>
      <c r="G211" s="40"/>
      <c r="H211" s="40"/>
      <c r="I211" s="54"/>
      <c r="J211" s="55"/>
      <c r="K211" s="55"/>
      <c r="L211" s="56"/>
      <c r="M211" s="57"/>
      <c r="N211" s="346"/>
    </row>
    <row r="212" spans="2:14" x14ac:dyDescent="0.25">
      <c r="B212" s="14"/>
      <c r="C212" s="51"/>
      <c r="D212" s="52"/>
      <c r="E212" s="42"/>
      <c r="F212" s="53"/>
      <c r="G212" s="40"/>
      <c r="H212" s="40"/>
      <c r="I212" s="54"/>
      <c r="J212" s="55"/>
      <c r="K212" s="55"/>
      <c r="L212" s="56"/>
      <c r="M212" s="57"/>
      <c r="N212" s="346"/>
    </row>
    <row r="213" spans="2:14" x14ac:dyDescent="0.25">
      <c r="B213" s="14"/>
      <c r="C213" s="51"/>
      <c r="D213" s="52"/>
      <c r="E213" s="42"/>
      <c r="F213" s="53"/>
      <c r="G213" s="40"/>
      <c r="H213" s="40"/>
      <c r="I213" s="54"/>
      <c r="J213" s="55"/>
      <c r="K213" s="55"/>
      <c r="L213" s="56"/>
      <c r="M213" s="57"/>
      <c r="N213" s="346"/>
    </row>
    <row r="214" spans="2:14" x14ac:dyDescent="0.25">
      <c r="B214" s="14"/>
      <c r="C214" s="51"/>
      <c r="D214" s="52"/>
      <c r="E214" s="42"/>
      <c r="F214" s="53"/>
      <c r="G214" s="40"/>
      <c r="H214" s="40"/>
      <c r="I214" s="54"/>
      <c r="J214" s="55"/>
      <c r="K214" s="55"/>
      <c r="L214" s="56"/>
      <c r="M214" s="57"/>
      <c r="N214" s="346"/>
    </row>
    <row r="215" spans="2:14" x14ac:dyDescent="0.25">
      <c r="B215" s="14"/>
      <c r="C215" s="51"/>
      <c r="D215" s="52"/>
      <c r="E215" s="42"/>
      <c r="F215" s="53"/>
      <c r="G215" s="40"/>
      <c r="H215" s="40"/>
      <c r="I215" s="54"/>
      <c r="J215" s="55"/>
      <c r="K215" s="55"/>
      <c r="L215" s="56"/>
      <c r="M215" s="57"/>
      <c r="N215" s="346"/>
    </row>
    <row r="216" spans="2:14" x14ac:dyDescent="0.25">
      <c r="B216" s="14"/>
      <c r="C216" s="51"/>
      <c r="D216" s="52"/>
      <c r="E216" s="42"/>
      <c r="F216" s="53"/>
      <c r="G216" s="40"/>
      <c r="H216" s="40"/>
      <c r="I216" s="54"/>
      <c r="J216" s="55"/>
      <c r="K216" s="55"/>
      <c r="L216" s="56"/>
      <c r="M216" s="57"/>
      <c r="N216" s="346"/>
    </row>
    <row r="217" spans="2:14" x14ac:dyDescent="0.25">
      <c r="B217" s="14"/>
      <c r="C217" s="51"/>
      <c r="D217" s="52"/>
      <c r="E217" s="42"/>
      <c r="F217" s="53"/>
      <c r="G217" s="40"/>
      <c r="H217" s="40"/>
      <c r="I217" s="54"/>
      <c r="J217" s="55"/>
      <c r="K217" s="55"/>
      <c r="L217" s="56"/>
      <c r="M217" s="57"/>
      <c r="N217" s="346"/>
    </row>
    <row r="218" spans="2:14" x14ac:dyDescent="0.25">
      <c r="B218" s="14"/>
      <c r="C218" s="51"/>
      <c r="D218" s="52"/>
      <c r="E218" s="42"/>
      <c r="F218" s="53"/>
      <c r="G218" s="40"/>
      <c r="H218" s="40"/>
      <c r="I218" s="54"/>
      <c r="J218" s="55"/>
      <c r="K218" s="55"/>
      <c r="L218" s="56"/>
      <c r="M218" s="57"/>
      <c r="N218" s="346"/>
    </row>
    <row r="219" spans="2:14" x14ac:dyDescent="0.25">
      <c r="B219" s="14"/>
      <c r="C219" s="51"/>
      <c r="D219" s="52"/>
      <c r="E219" s="42"/>
      <c r="F219" s="53"/>
      <c r="G219" s="40"/>
      <c r="H219" s="40"/>
      <c r="I219" s="54"/>
      <c r="J219" s="55"/>
      <c r="K219" s="55"/>
      <c r="L219" s="56"/>
      <c r="M219" s="57"/>
      <c r="N219" s="346"/>
    </row>
    <row r="220" spans="2:14" x14ac:dyDescent="0.25">
      <c r="B220" s="14"/>
      <c r="C220" s="51"/>
      <c r="D220" s="52"/>
      <c r="E220" s="42"/>
      <c r="F220" s="53"/>
      <c r="G220" s="40"/>
      <c r="H220" s="40"/>
      <c r="I220" s="54"/>
      <c r="J220" s="55"/>
      <c r="K220" s="55"/>
      <c r="L220" s="56"/>
      <c r="M220" s="57"/>
      <c r="N220" s="346"/>
    </row>
    <row r="221" spans="2:14" x14ac:dyDescent="0.25">
      <c r="B221" s="14"/>
      <c r="C221" s="51"/>
      <c r="D221" s="52"/>
      <c r="E221" s="42"/>
      <c r="F221" s="53"/>
      <c r="G221" s="40"/>
      <c r="H221" s="40"/>
      <c r="I221" s="54"/>
      <c r="J221" s="55"/>
      <c r="K221" s="55"/>
      <c r="L221" s="56"/>
      <c r="M221" s="57"/>
      <c r="N221" s="346"/>
    </row>
    <row r="222" spans="2:14" x14ac:dyDescent="0.25">
      <c r="B222" s="14"/>
      <c r="C222" s="51"/>
      <c r="D222" s="52"/>
      <c r="E222" s="42"/>
      <c r="F222" s="53"/>
      <c r="G222" s="40"/>
      <c r="H222" s="40"/>
      <c r="I222" s="54"/>
      <c r="J222" s="55"/>
      <c r="K222" s="55"/>
      <c r="L222" s="56"/>
      <c r="M222" s="57"/>
      <c r="N222" s="346"/>
    </row>
    <row r="223" spans="2:14" x14ac:dyDescent="0.25">
      <c r="B223" s="14"/>
      <c r="C223" s="51"/>
      <c r="D223" s="52"/>
      <c r="E223" s="42"/>
      <c r="F223" s="53"/>
      <c r="G223" s="40"/>
      <c r="H223" s="40"/>
      <c r="I223" s="54"/>
      <c r="J223" s="55"/>
      <c r="K223" s="55"/>
      <c r="L223" s="56"/>
      <c r="M223" s="57"/>
      <c r="N223" s="346"/>
    </row>
    <row r="224" spans="2:14" x14ac:dyDescent="0.25">
      <c r="B224" s="14"/>
      <c r="C224" s="51"/>
      <c r="D224" s="52"/>
      <c r="E224" s="42"/>
      <c r="F224" s="53"/>
      <c r="G224" s="40"/>
      <c r="H224" s="40"/>
      <c r="I224" s="54"/>
      <c r="J224" s="55"/>
      <c r="K224" s="55"/>
      <c r="L224" s="56"/>
      <c r="M224" s="57"/>
      <c r="N224" s="346"/>
    </row>
    <row r="225" spans="2:14" x14ac:dyDescent="0.25">
      <c r="B225" s="14"/>
      <c r="C225" s="51"/>
      <c r="D225" s="52"/>
      <c r="E225" s="42"/>
      <c r="F225" s="53"/>
      <c r="G225" s="40"/>
      <c r="H225" s="40"/>
      <c r="I225" s="54"/>
      <c r="J225" s="55"/>
      <c r="K225" s="55"/>
      <c r="L225" s="56"/>
      <c r="M225" s="57"/>
      <c r="N225" s="346"/>
    </row>
    <row r="226" spans="2:14" x14ac:dyDescent="0.25">
      <c r="B226" s="14"/>
      <c r="C226" s="51"/>
      <c r="D226" s="52"/>
      <c r="E226" s="42"/>
      <c r="F226" s="53"/>
      <c r="G226" s="40"/>
      <c r="H226" s="40"/>
      <c r="I226" s="54"/>
      <c r="J226" s="55"/>
      <c r="K226" s="55"/>
      <c r="L226" s="56"/>
      <c r="M226" s="57"/>
      <c r="N226" s="346"/>
    </row>
    <row r="227" spans="2:14" x14ac:dyDescent="0.25">
      <c r="B227" s="14"/>
      <c r="C227" s="51"/>
      <c r="D227" s="52"/>
      <c r="E227" s="42"/>
      <c r="F227" s="53"/>
      <c r="G227" s="40"/>
      <c r="H227" s="40"/>
      <c r="I227" s="54"/>
      <c r="J227" s="55"/>
      <c r="K227" s="55"/>
      <c r="L227" s="56"/>
      <c r="M227" s="57"/>
      <c r="N227" s="346"/>
    </row>
    <row r="228" spans="2:14" x14ac:dyDescent="0.25">
      <c r="B228" s="14"/>
      <c r="C228" s="51"/>
      <c r="D228" s="52"/>
      <c r="E228" s="42"/>
      <c r="F228" s="53"/>
      <c r="G228" s="40"/>
      <c r="H228" s="40"/>
      <c r="I228" s="54"/>
      <c r="J228" s="55"/>
      <c r="K228" s="55"/>
      <c r="L228" s="56"/>
      <c r="M228" s="57"/>
      <c r="N228" s="346"/>
    </row>
    <row r="229" spans="2:14" x14ac:dyDescent="0.25">
      <c r="B229" s="14"/>
      <c r="C229" s="51"/>
      <c r="D229" s="52"/>
      <c r="E229" s="42"/>
      <c r="F229" s="53"/>
      <c r="G229" s="40"/>
      <c r="H229" s="40"/>
      <c r="I229" s="54"/>
      <c r="J229" s="55"/>
      <c r="K229" s="55"/>
      <c r="L229" s="56"/>
      <c r="M229" s="57"/>
      <c r="N229" s="346"/>
    </row>
    <row r="230" spans="2:14" x14ac:dyDescent="0.25">
      <c r="B230" s="14"/>
      <c r="C230" s="51"/>
      <c r="D230" s="52"/>
      <c r="E230" s="42"/>
      <c r="F230" s="53"/>
      <c r="G230" s="40"/>
      <c r="H230" s="40"/>
      <c r="I230" s="54"/>
      <c r="J230" s="55"/>
      <c r="K230" s="55"/>
      <c r="L230" s="56"/>
      <c r="M230" s="57"/>
      <c r="N230" s="346"/>
    </row>
    <row r="231" spans="2:14" x14ac:dyDescent="0.25">
      <c r="B231" s="14"/>
      <c r="C231" s="51"/>
      <c r="D231" s="52"/>
      <c r="E231" s="42"/>
      <c r="F231" s="53"/>
      <c r="G231" s="40"/>
      <c r="H231" s="40"/>
      <c r="I231" s="54"/>
      <c r="J231" s="55"/>
      <c r="K231" s="55"/>
      <c r="L231" s="56"/>
      <c r="M231" s="57"/>
      <c r="N231" s="346"/>
    </row>
    <row r="232" spans="2:14" x14ac:dyDescent="0.25">
      <c r="B232" s="14"/>
      <c r="C232" s="51"/>
      <c r="D232" s="52"/>
      <c r="E232" s="42"/>
      <c r="F232" s="53"/>
      <c r="G232" s="40"/>
      <c r="H232" s="40"/>
      <c r="I232" s="54"/>
      <c r="J232" s="55"/>
      <c r="K232" s="55"/>
      <c r="L232" s="56"/>
      <c r="M232" s="57"/>
      <c r="N232" s="346"/>
    </row>
    <row r="233" spans="2:14" x14ac:dyDescent="0.25">
      <c r="B233" s="14"/>
      <c r="C233" s="51"/>
      <c r="D233" s="52"/>
      <c r="E233" s="42"/>
      <c r="F233" s="53"/>
      <c r="G233" s="40"/>
      <c r="H233" s="40"/>
      <c r="I233" s="54"/>
      <c r="J233" s="55"/>
      <c r="K233" s="55"/>
      <c r="L233" s="56"/>
      <c r="M233" s="57"/>
      <c r="N233" s="346"/>
    </row>
    <row r="234" spans="2:14" x14ac:dyDescent="0.25">
      <c r="B234" s="14"/>
      <c r="C234" s="51"/>
      <c r="D234" s="52"/>
      <c r="E234" s="42"/>
      <c r="F234" s="53"/>
      <c r="G234" s="40"/>
      <c r="H234" s="40"/>
      <c r="I234" s="54"/>
      <c r="J234" s="55"/>
      <c r="K234" s="55"/>
      <c r="L234" s="56"/>
      <c r="M234" s="57"/>
      <c r="N234" s="346"/>
    </row>
    <row r="235" spans="2:14" x14ac:dyDescent="0.25">
      <c r="B235" s="14"/>
      <c r="C235" s="51"/>
      <c r="D235" s="52"/>
      <c r="E235" s="42"/>
      <c r="F235" s="53"/>
      <c r="G235" s="40"/>
      <c r="H235" s="40"/>
      <c r="I235" s="54"/>
      <c r="J235" s="55"/>
      <c r="K235" s="55"/>
      <c r="L235" s="56"/>
      <c r="M235" s="57"/>
      <c r="N235" s="346"/>
    </row>
    <row r="236" spans="2:14" x14ac:dyDescent="0.25">
      <c r="B236" s="14"/>
      <c r="C236" s="51"/>
      <c r="D236" s="52"/>
      <c r="E236" s="42"/>
      <c r="F236" s="53"/>
      <c r="G236" s="40"/>
      <c r="H236" s="40"/>
      <c r="I236" s="54"/>
      <c r="J236" s="55"/>
      <c r="K236" s="55"/>
      <c r="L236" s="56"/>
      <c r="M236" s="57"/>
      <c r="N236" s="346"/>
    </row>
    <row r="237" spans="2:14" x14ac:dyDescent="0.25">
      <c r="B237" s="14"/>
      <c r="C237" s="51"/>
      <c r="D237" s="52"/>
      <c r="E237" s="42"/>
      <c r="F237" s="53"/>
      <c r="G237" s="40"/>
      <c r="H237" s="40"/>
      <c r="I237" s="54"/>
      <c r="J237" s="55"/>
      <c r="K237" s="55"/>
      <c r="L237" s="56"/>
      <c r="M237" s="57"/>
      <c r="N237" s="346"/>
    </row>
    <row r="238" spans="2:14" x14ac:dyDescent="0.25">
      <c r="B238" s="14"/>
      <c r="C238" s="51"/>
      <c r="D238" s="52"/>
      <c r="E238" s="42"/>
      <c r="F238" s="53"/>
      <c r="G238" s="40"/>
      <c r="H238" s="40"/>
      <c r="I238" s="54"/>
      <c r="J238" s="55"/>
      <c r="K238" s="55"/>
      <c r="L238" s="56"/>
      <c r="M238" s="57"/>
      <c r="N238" s="346"/>
    </row>
    <row r="239" spans="2:14" x14ac:dyDescent="0.25">
      <c r="B239" s="14"/>
      <c r="C239" s="51"/>
      <c r="D239" s="52"/>
      <c r="E239" s="42"/>
      <c r="F239" s="53"/>
      <c r="G239" s="40"/>
      <c r="H239" s="40"/>
      <c r="I239" s="54"/>
      <c r="J239" s="55"/>
      <c r="K239" s="55"/>
      <c r="L239" s="56"/>
      <c r="M239" s="57"/>
      <c r="N239" s="346"/>
    </row>
    <row r="240" spans="2:14" x14ac:dyDescent="0.25">
      <c r="B240" s="14"/>
      <c r="C240" s="51"/>
      <c r="D240" s="52"/>
      <c r="E240" s="42"/>
      <c r="F240" s="53"/>
      <c r="G240" s="40"/>
      <c r="H240" s="40"/>
      <c r="I240" s="54"/>
      <c r="J240" s="55"/>
      <c r="K240" s="55"/>
      <c r="L240" s="56"/>
      <c r="M240" s="57"/>
      <c r="N240" s="346"/>
    </row>
    <row r="241" spans="2:14" x14ac:dyDescent="0.25">
      <c r="B241" s="14"/>
      <c r="C241" s="51"/>
      <c r="D241" s="52"/>
      <c r="E241" s="42"/>
      <c r="F241" s="53"/>
      <c r="G241" s="40"/>
      <c r="H241" s="40"/>
      <c r="I241" s="54"/>
      <c r="J241" s="55"/>
      <c r="K241" s="55"/>
      <c r="L241" s="56"/>
      <c r="M241" s="57"/>
      <c r="N241" s="346"/>
    </row>
    <row r="242" spans="2:14" x14ac:dyDescent="0.25">
      <c r="B242" s="14"/>
      <c r="C242" s="51"/>
      <c r="D242" s="52"/>
      <c r="E242" s="42"/>
      <c r="F242" s="53"/>
      <c r="G242" s="40"/>
      <c r="H242" s="40"/>
      <c r="I242" s="54"/>
      <c r="J242" s="55"/>
      <c r="K242" s="55"/>
      <c r="L242" s="56"/>
      <c r="M242" s="57"/>
      <c r="N242" s="346"/>
    </row>
    <row r="243" spans="2:14" x14ac:dyDescent="0.25">
      <c r="B243" s="14"/>
      <c r="C243" s="51"/>
      <c r="D243" s="52"/>
      <c r="E243" s="42"/>
      <c r="F243" s="53"/>
      <c r="G243" s="40"/>
      <c r="H243" s="40"/>
      <c r="I243" s="54"/>
      <c r="J243" s="55"/>
      <c r="K243" s="55"/>
      <c r="L243" s="56"/>
      <c r="M243" s="57"/>
      <c r="N243" s="346"/>
    </row>
    <row r="244" spans="2:14" x14ac:dyDescent="0.25">
      <c r="B244" s="14"/>
      <c r="C244" s="51"/>
      <c r="D244" s="52"/>
      <c r="E244" s="42"/>
      <c r="F244" s="53"/>
      <c r="G244" s="40"/>
      <c r="H244" s="40"/>
      <c r="I244" s="54"/>
      <c r="J244" s="55"/>
      <c r="K244" s="55"/>
      <c r="L244" s="56"/>
      <c r="M244" s="57"/>
      <c r="N244" s="346"/>
    </row>
    <row r="245" spans="2:14" x14ac:dyDescent="0.25">
      <c r="B245" s="14"/>
      <c r="C245" s="51"/>
      <c r="D245" s="52"/>
      <c r="E245" s="42"/>
      <c r="F245" s="53"/>
      <c r="G245" s="40"/>
      <c r="H245" s="40"/>
      <c r="I245" s="54"/>
      <c r="J245" s="55"/>
      <c r="K245" s="55"/>
      <c r="L245" s="56"/>
      <c r="M245" s="57"/>
      <c r="N245" s="346"/>
    </row>
    <row r="246" spans="2:14" x14ac:dyDescent="0.25">
      <c r="B246" s="14"/>
      <c r="C246" s="51"/>
      <c r="D246" s="52"/>
      <c r="E246" s="42"/>
      <c r="F246" s="53"/>
      <c r="G246" s="40"/>
      <c r="H246" s="40"/>
      <c r="I246" s="54"/>
      <c r="J246" s="55"/>
      <c r="K246" s="55"/>
      <c r="L246" s="56"/>
      <c r="M246" s="57"/>
      <c r="N246" s="346"/>
    </row>
    <row r="247" spans="2:14" x14ac:dyDescent="0.25">
      <c r="B247" s="14"/>
      <c r="C247" s="51"/>
      <c r="D247" s="52"/>
      <c r="E247" s="42"/>
      <c r="F247" s="53"/>
      <c r="G247" s="40"/>
      <c r="H247" s="40"/>
      <c r="I247" s="54"/>
      <c r="J247" s="55"/>
      <c r="K247" s="55"/>
      <c r="L247" s="56"/>
      <c r="M247" s="57"/>
      <c r="N247" s="346"/>
    </row>
    <row r="248" spans="2:14" x14ac:dyDescent="0.25">
      <c r="B248" s="14"/>
      <c r="C248" s="51"/>
      <c r="D248" s="52"/>
      <c r="E248" s="42"/>
      <c r="F248" s="53"/>
      <c r="G248" s="40"/>
      <c r="H248" s="40"/>
      <c r="I248" s="54"/>
      <c r="J248" s="55"/>
      <c r="K248" s="55"/>
      <c r="L248" s="56"/>
      <c r="M248" s="57"/>
      <c r="N248" s="346"/>
    </row>
    <row r="249" spans="2:14" x14ac:dyDescent="0.25">
      <c r="B249" s="14"/>
      <c r="C249" s="51"/>
      <c r="D249" s="52"/>
      <c r="E249" s="42"/>
      <c r="F249" s="53"/>
      <c r="G249" s="40"/>
      <c r="H249" s="40"/>
      <c r="I249" s="54"/>
      <c r="J249" s="55"/>
      <c r="K249" s="55"/>
      <c r="L249" s="56"/>
      <c r="M249" s="57"/>
      <c r="N249" s="346"/>
    </row>
    <row r="250" spans="2:14" x14ac:dyDescent="0.25">
      <c r="B250" s="14"/>
      <c r="C250" s="51"/>
      <c r="D250" s="52"/>
      <c r="E250" s="42"/>
      <c r="F250" s="53"/>
      <c r="G250" s="40"/>
      <c r="H250" s="40"/>
      <c r="I250" s="54"/>
      <c r="J250" s="55"/>
      <c r="K250" s="55"/>
      <c r="L250" s="56"/>
      <c r="M250" s="57"/>
      <c r="N250" s="346"/>
    </row>
    <row r="251" spans="2:14" x14ac:dyDescent="0.25">
      <c r="B251" s="14"/>
      <c r="C251" s="51"/>
      <c r="D251" s="52"/>
      <c r="E251" s="42"/>
      <c r="F251" s="53"/>
      <c r="G251" s="40"/>
      <c r="H251" s="40"/>
      <c r="I251" s="54"/>
      <c r="J251" s="55"/>
      <c r="K251" s="55"/>
      <c r="L251" s="56"/>
      <c r="M251" s="57"/>
      <c r="N251" s="346"/>
    </row>
    <row r="252" spans="2:14" x14ac:dyDescent="0.25">
      <c r="B252" s="14"/>
      <c r="C252" s="51"/>
      <c r="D252" s="52"/>
      <c r="E252" s="42"/>
      <c r="F252" s="53"/>
      <c r="G252" s="40"/>
      <c r="H252" s="40"/>
      <c r="I252" s="54"/>
      <c r="J252" s="55"/>
      <c r="K252" s="55"/>
      <c r="L252" s="56"/>
      <c r="M252" s="57"/>
      <c r="N252" s="346"/>
    </row>
    <row r="253" spans="2:14" x14ac:dyDescent="0.25">
      <c r="B253" s="14"/>
      <c r="C253" s="51"/>
      <c r="D253" s="52"/>
      <c r="E253" s="42"/>
      <c r="F253" s="53"/>
      <c r="G253" s="40"/>
      <c r="H253" s="40"/>
      <c r="I253" s="54"/>
      <c r="J253" s="55"/>
      <c r="K253" s="55"/>
      <c r="L253" s="56"/>
      <c r="M253" s="57"/>
      <c r="N253" s="346"/>
    </row>
    <row r="254" spans="2:14" x14ac:dyDescent="0.25">
      <c r="B254" s="14"/>
      <c r="C254" s="51"/>
      <c r="D254" s="52"/>
      <c r="E254" s="42"/>
      <c r="F254" s="53"/>
      <c r="G254" s="40"/>
      <c r="H254" s="40"/>
      <c r="I254" s="54"/>
      <c r="J254" s="55"/>
      <c r="K254" s="55"/>
      <c r="L254" s="56"/>
      <c r="M254" s="57"/>
      <c r="N254" s="346"/>
    </row>
    <row r="255" spans="2:14" x14ac:dyDescent="0.25">
      <c r="B255" s="14"/>
      <c r="C255" s="51"/>
      <c r="D255" s="52"/>
      <c r="E255" s="42"/>
      <c r="F255" s="53"/>
      <c r="G255" s="40"/>
      <c r="H255" s="40"/>
      <c r="I255" s="54"/>
      <c r="J255" s="55"/>
      <c r="K255" s="55"/>
      <c r="L255" s="56"/>
      <c r="M255" s="57"/>
      <c r="N255" s="346"/>
    </row>
    <row r="256" spans="2:14" x14ac:dyDescent="0.25">
      <c r="B256" s="14"/>
      <c r="C256" s="51"/>
      <c r="D256" s="52"/>
      <c r="E256" s="42"/>
      <c r="F256" s="53"/>
      <c r="G256" s="40"/>
      <c r="H256" s="40"/>
      <c r="I256" s="54"/>
      <c r="J256" s="55"/>
      <c r="K256" s="55"/>
      <c r="L256" s="56"/>
      <c r="M256" s="57"/>
      <c r="N256" s="346"/>
    </row>
    <row r="257" spans="2:14" x14ac:dyDescent="0.25">
      <c r="B257" s="14"/>
      <c r="C257" s="51"/>
      <c r="D257" s="52"/>
      <c r="E257" s="42"/>
      <c r="F257" s="53"/>
      <c r="G257" s="40"/>
      <c r="H257" s="40"/>
      <c r="I257" s="54"/>
      <c r="J257" s="55"/>
      <c r="K257" s="55"/>
      <c r="L257" s="56"/>
      <c r="M257" s="57"/>
      <c r="N257" s="346"/>
    </row>
    <row r="258" spans="2:14" x14ac:dyDescent="0.25">
      <c r="B258" s="14"/>
      <c r="C258" s="51"/>
      <c r="D258" s="52"/>
      <c r="E258" s="42"/>
      <c r="F258" s="53"/>
      <c r="G258" s="40"/>
      <c r="H258" s="40"/>
      <c r="I258" s="54"/>
      <c r="J258" s="55"/>
      <c r="K258" s="55"/>
      <c r="L258" s="56"/>
      <c r="M258" s="57"/>
      <c r="N258" s="346"/>
    </row>
    <row r="259" spans="2:14" x14ac:dyDescent="0.25">
      <c r="B259" s="14"/>
      <c r="C259" s="51"/>
      <c r="D259" s="52"/>
      <c r="E259" s="42"/>
      <c r="F259" s="53"/>
      <c r="G259" s="40"/>
      <c r="H259" s="40"/>
      <c r="I259" s="54"/>
      <c r="J259" s="55"/>
      <c r="K259" s="55"/>
      <c r="L259" s="56"/>
      <c r="M259" s="57"/>
      <c r="N259" s="346"/>
    </row>
    <row r="260" spans="2:14" x14ac:dyDescent="0.25">
      <c r="B260" s="14"/>
      <c r="C260" s="51"/>
      <c r="D260" s="52"/>
      <c r="E260" s="42"/>
      <c r="F260" s="53"/>
      <c r="G260" s="40"/>
      <c r="H260" s="40"/>
      <c r="I260" s="54"/>
      <c r="J260" s="55"/>
      <c r="K260" s="55"/>
      <c r="L260" s="56"/>
      <c r="M260" s="57"/>
      <c r="N260" s="346"/>
    </row>
    <row r="261" spans="2:14" x14ac:dyDescent="0.25">
      <c r="B261" s="14"/>
      <c r="C261" s="51"/>
      <c r="D261" s="52"/>
      <c r="E261" s="42"/>
      <c r="F261" s="53"/>
      <c r="G261" s="40"/>
      <c r="H261" s="40"/>
      <c r="I261" s="54"/>
      <c r="J261" s="55"/>
      <c r="K261" s="55"/>
      <c r="L261" s="56"/>
      <c r="M261" s="57"/>
      <c r="N261" s="346"/>
    </row>
    <row r="262" spans="2:14" x14ac:dyDescent="0.25">
      <c r="B262" s="14"/>
      <c r="C262" s="51"/>
      <c r="D262" s="52"/>
      <c r="E262" s="42"/>
      <c r="F262" s="53"/>
      <c r="G262" s="40"/>
      <c r="H262" s="40"/>
      <c r="I262" s="54"/>
      <c r="J262" s="55"/>
      <c r="K262" s="55"/>
      <c r="L262" s="56"/>
      <c r="M262" s="57"/>
      <c r="N262" s="346"/>
    </row>
    <row r="263" spans="2:14" x14ac:dyDescent="0.25">
      <c r="B263" s="14"/>
      <c r="C263" s="51"/>
      <c r="D263" s="52"/>
      <c r="E263" s="42"/>
      <c r="F263" s="53"/>
      <c r="G263" s="40"/>
      <c r="H263" s="40"/>
      <c r="I263" s="54"/>
      <c r="J263" s="55"/>
      <c r="K263" s="55"/>
      <c r="L263" s="56"/>
      <c r="M263" s="57"/>
      <c r="N263" s="346"/>
    </row>
    <row r="264" spans="2:14" x14ac:dyDescent="0.25">
      <c r="B264" s="14"/>
      <c r="C264" s="51"/>
      <c r="D264" s="52"/>
      <c r="E264" s="42"/>
      <c r="F264" s="53"/>
      <c r="G264" s="40"/>
      <c r="H264" s="40"/>
      <c r="I264" s="54"/>
      <c r="J264" s="55"/>
      <c r="K264" s="55"/>
      <c r="L264" s="56"/>
      <c r="M264" s="57"/>
      <c r="N264" s="346"/>
    </row>
    <row r="265" spans="2:14" x14ac:dyDescent="0.25">
      <c r="B265" s="14"/>
      <c r="C265" s="51"/>
      <c r="D265" s="52"/>
      <c r="E265" s="42"/>
      <c r="F265" s="53"/>
      <c r="G265" s="40"/>
      <c r="H265" s="40"/>
      <c r="I265" s="54"/>
      <c r="J265" s="55"/>
      <c r="K265" s="55"/>
      <c r="L265" s="56"/>
      <c r="M265" s="57"/>
      <c r="N265" s="346"/>
    </row>
    <row r="266" spans="2:14" x14ac:dyDescent="0.25">
      <c r="B266" s="14"/>
      <c r="C266" s="51"/>
      <c r="D266" s="52"/>
      <c r="E266" s="42"/>
      <c r="F266" s="53"/>
      <c r="G266" s="40"/>
      <c r="H266" s="40"/>
      <c r="I266" s="54"/>
      <c r="J266" s="55"/>
      <c r="K266" s="55"/>
      <c r="L266" s="56"/>
      <c r="M266" s="57"/>
      <c r="N266" s="346"/>
    </row>
    <row r="267" spans="2:14" x14ac:dyDescent="0.25">
      <c r="B267" s="14"/>
      <c r="C267" s="51"/>
      <c r="D267" s="52"/>
      <c r="E267" s="42"/>
      <c r="F267" s="53"/>
      <c r="G267" s="40"/>
      <c r="H267" s="40"/>
      <c r="I267" s="54"/>
      <c r="J267" s="55"/>
      <c r="K267" s="55"/>
      <c r="L267" s="56"/>
      <c r="M267" s="57"/>
      <c r="N267" s="346"/>
    </row>
    <row r="268" spans="2:14" x14ac:dyDescent="0.25">
      <c r="B268" s="14"/>
      <c r="C268" s="51"/>
      <c r="D268" s="52"/>
      <c r="E268" s="42"/>
      <c r="F268" s="53"/>
      <c r="G268" s="40"/>
      <c r="H268" s="40"/>
      <c r="I268" s="54"/>
      <c r="J268" s="55"/>
      <c r="K268" s="55"/>
      <c r="L268" s="56"/>
      <c r="M268" s="57"/>
      <c r="N268" s="346"/>
    </row>
    <row r="269" spans="2:14" x14ac:dyDescent="0.25">
      <c r="B269" s="14"/>
      <c r="C269" s="51"/>
      <c r="D269" s="52"/>
      <c r="E269" s="42"/>
      <c r="F269" s="53"/>
      <c r="G269" s="40"/>
      <c r="H269" s="40"/>
      <c r="I269" s="54"/>
      <c r="J269" s="55"/>
      <c r="K269" s="55"/>
      <c r="L269" s="56"/>
      <c r="M269" s="57"/>
      <c r="N269" s="346"/>
    </row>
    <row r="270" spans="2:14" x14ac:dyDescent="0.25">
      <c r="B270" s="14"/>
      <c r="C270" s="51"/>
      <c r="D270" s="52"/>
      <c r="E270" s="42"/>
      <c r="F270" s="53"/>
      <c r="G270" s="40"/>
      <c r="H270" s="40"/>
      <c r="I270" s="54"/>
      <c r="J270" s="55"/>
      <c r="K270" s="55"/>
      <c r="L270" s="56"/>
      <c r="M270" s="57"/>
      <c r="N270" s="346"/>
    </row>
    <row r="271" spans="2:14" x14ac:dyDescent="0.25">
      <c r="B271" s="14"/>
      <c r="C271" s="51"/>
      <c r="D271" s="52"/>
      <c r="E271" s="42"/>
      <c r="F271" s="53"/>
      <c r="G271" s="40"/>
      <c r="H271" s="40"/>
      <c r="I271" s="54"/>
      <c r="J271" s="55"/>
      <c r="K271" s="55"/>
      <c r="L271" s="56"/>
      <c r="M271" s="57"/>
      <c r="N271" s="346"/>
    </row>
    <row r="272" spans="2:14" x14ac:dyDescent="0.25">
      <c r="B272" s="14"/>
      <c r="C272" s="51"/>
      <c r="D272" s="52"/>
      <c r="E272" s="42"/>
      <c r="F272" s="53"/>
      <c r="G272" s="40"/>
      <c r="H272" s="40"/>
      <c r="I272" s="54"/>
      <c r="J272" s="55"/>
      <c r="K272" s="55"/>
      <c r="L272" s="56"/>
      <c r="M272" s="57"/>
      <c r="N272" s="346"/>
    </row>
    <row r="273" spans="2:14" x14ac:dyDescent="0.25">
      <c r="B273" s="14"/>
      <c r="C273" s="51"/>
      <c r="D273" s="52"/>
      <c r="E273" s="42"/>
      <c r="F273" s="53"/>
      <c r="G273" s="40"/>
      <c r="H273" s="40"/>
      <c r="I273" s="54"/>
      <c r="J273" s="55"/>
      <c r="K273" s="55"/>
      <c r="L273" s="56"/>
      <c r="M273" s="57"/>
      <c r="N273" s="346"/>
    </row>
    <row r="274" spans="2:14" x14ac:dyDescent="0.25">
      <c r="B274" s="14"/>
      <c r="C274" s="51"/>
      <c r="D274" s="52"/>
      <c r="E274" s="42"/>
      <c r="F274" s="53"/>
      <c r="G274" s="40"/>
      <c r="H274" s="40"/>
      <c r="I274" s="54"/>
      <c r="J274" s="55"/>
      <c r="K274" s="55"/>
      <c r="L274" s="56"/>
      <c r="M274" s="57"/>
      <c r="N274" s="346"/>
    </row>
    <row r="275" spans="2:14" x14ac:dyDescent="0.25">
      <c r="B275" s="14"/>
      <c r="C275" s="51"/>
      <c r="D275" s="52"/>
      <c r="E275" s="42"/>
      <c r="F275" s="53"/>
      <c r="G275" s="40"/>
      <c r="H275" s="40"/>
      <c r="I275" s="54"/>
      <c r="J275" s="55"/>
      <c r="K275" s="55"/>
      <c r="L275" s="56"/>
      <c r="M275" s="57"/>
      <c r="N275" s="346"/>
    </row>
    <row r="276" spans="2:14" x14ac:dyDescent="0.25">
      <c r="B276" s="14"/>
      <c r="C276" s="51"/>
      <c r="D276" s="52"/>
      <c r="E276" s="42"/>
      <c r="F276" s="53"/>
      <c r="G276" s="40"/>
      <c r="H276" s="40"/>
      <c r="I276" s="54"/>
      <c r="J276" s="55"/>
      <c r="K276" s="55"/>
      <c r="L276" s="56"/>
      <c r="M276" s="57"/>
      <c r="N276" s="346"/>
    </row>
    <row r="277" spans="2:14" x14ac:dyDescent="0.25">
      <c r="B277" s="14"/>
      <c r="C277" s="51"/>
      <c r="D277" s="52"/>
      <c r="E277" s="42"/>
      <c r="F277" s="53"/>
      <c r="G277" s="40"/>
      <c r="H277" s="40"/>
      <c r="I277" s="54"/>
      <c r="J277" s="55"/>
      <c r="K277" s="55"/>
      <c r="L277" s="56"/>
      <c r="M277" s="57"/>
      <c r="N277" s="346"/>
    </row>
    <row r="278" spans="2:14" x14ac:dyDescent="0.25">
      <c r="B278" s="14"/>
      <c r="C278" s="51"/>
      <c r="D278" s="52"/>
      <c r="E278" s="42"/>
      <c r="F278" s="53"/>
      <c r="G278" s="40"/>
      <c r="H278" s="40"/>
      <c r="I278" s="54"/>
      <c r="J278" s="55"/>
      <c r="K278" s="55"/>
      <c r="L278" s="56"/>
      <c r="M278" s="57"/>
      <c r="N278" s="346"/>
    </row>
    <row r="279" spans="2:14" x14ac:dyDescent="0.25">
      <c r="B279" s="14"/>
      <c r="C279" s="51"/>
      <c r="D279" s="52"/>
      <c r="E279" s="42"/>
      <c r="F279" s="53"/>
      <c r="G279" s="40"/>
      <c r="H279" s="40"/>
      <c r="I279" s="54"/>
      <c r="J279" s="55"/>
      <c r="K279" s="55"/>
      <c r="L279" s="56"/>
      <c r="M279" s="57"/>
      <c r="N279" s="346"/>
    </row>
    <row r="280" spans="2:14" x14ac:dyDescent="0.25">
      <c r="B280" s="14"/>
      <c r="C280" s="51"/>
      <c r="D280" s="52"/>
      <c r="E280" s="42"/>
      <c r="F280" s="53"/>
      <c r="G280" s="40"/>
      <c r="H280" s="40"/>
      <c r="I280" s="54"/>
      <c r="J280" s="55"/>
      <c r="K280" s="55"/>
      <c r="L280" s="56"/>
      <c r="M280" s="57"/>
      <c r="N280" s="346"/>
    </row>
    <row r="281" spans="2:14" x14ac:dyDescent="0.25">
      <c r="B281" s="14"/>
      <c r="C281" s="51"/>
      <c r="D281" s="52"/>
      <c r="E281" s="42"/>
      <c r="F281" s="53"/>
      <c r="G281" s="40"/>
      <c r="H281" s="40"/>
      <c r="I281" s="54"/>
      <c r="J281" s="55"/>
      <c r="K281" s="55"/>
      <c r="L281" s="56"/>
      <c r="M281" s="57"/>
      <c r="N281" s="346"/>
    </row>
    <row r="282" spans="2:14" x14ac:dyDescent="0.25">
      <c r="B282" s="14"/>
      <c r="C282" s="51"/>
      <c r="D282" s="52"/>
      <c r="E282" s="42"/>
      <c r="F282" s="53"/>
      <c r="G282" s="40"/>
      <c r="H282" s="40"/>
      <c r="I282" s="54"/>
      <c r="J282" s="55"/>
      <c r="K282" s="55"/>
      <c r="L282" s="56"/>
      <c r="M282" s="57"/>
      <c r="N282" s="346"/>
    </row>
    <row r="283" spans="2:14" x14ac:dyDescent="0.25">
      <c r="B283" s="14"/>
      <c r="C283" s="51"/>
      <c r="D283" s="52"/>
      <c r="E283" s="42"/>
      <c r="F283" s="53"/>
      <c r="G283" s="40"/>
      <c r="H283" s="40"/>
      <c r="I283" s="54"/>
      <c r="J283" s="55"/>
      <c r="K283" s="55"/>
      <c r="L283" s="56"/>
      <c r="M283" s="57"/>
      <c r="N283" s="346"/>
    </row>
    <row r="284" spans="2:14" x14ac:dyDescent="0.25">
      <c r="B284" s="14"/>
      <c r="C284" s="51"/>
      <c r="D284" s="52"/>
      <c r="E284" s="42"/>
      <c r="F284" s="53"/>
      <c r="G284" s="40"/>
      <c r="H284" s="40"/>
      <c r="I284" s="54"/>
      <c r="J284" s="55"/>
      <c r="K284" s="55"/>
      <c r="L284" s="56"/>
      <c r="M284" s="57"/>
      <c r="N284" s="346"/>
    </row>
    <row r="285" spans="2:14" x14ac:dyDescent="0.25">
      <c r="B285" s="14"/>
      <c r="C285" s="51"/>
      <c r="D285" s="52"/>
      <c r="E285" s="42"/>
      <c r="F285" s="53"/>
      <c r="G285" s="40"/>
      <c r="H285" s="40"/>
      <c r="I285" s="54"/>
      <c r="J285" s="55"/>
      <c r="K285" s="55"/>
      <c r="L285" s="56"/>
      <c r="M285" s="57"/>
      <c r="N285" s="346"/>
    </row>
    <row r="286" spans="2:14" x14ac:dyDescent="0.25">
      <c r="B286" s="14"/>
      <c r="C286" s="51"/>
      <c r="D286" s="52"/>
      <c r="E286" s="42"/>
      <c r="F286" s="53"/>
      <c r="G286" s="40"/>
      <c r="H286" s="40"/>
      <c r="I286" s="54"/>
      <c r="J286" s="55"/>
      <c r="K286" s="55"/>
      <c r="L286" s="56"/>
      <c r="M286" s="57"/>
      <c r="N286" s="346"/>
    </row>
    <row r="287" spans="2:14" x14ac:dyDescent="0.25">
      <c r="B287" s="14"/>
      <c r="C287" s="51"/>
      <c r="D287" s="52"/>
      <c r="E287" s="42"/>
      <c r="F287" s="53"/>
      <c r="G287" s="40"/>
      <c r="H287" s="40"/>
      <c r="I287" s="54"/>
      <c r="J287" s="55"/>
      <c r="K287" s="55"/>
      <c r="L287" s="56"/>
      <c r="M287" s="57"/>
      <c r="N287" s="346"/>
    </row>
    <row r="288" spans="2:14" x14ac:dyDescent="0.25">
      <c r="B288" s="14"/>
      <c r="C288" s="51"/>
      <c r="D288" s="52"/>
      <c r="E288" s="42"/>
      <c r="F288" s="53"/>
      <c r="G288" s="40"/>
      <c r="H288" s="40"/>
      <c r="I288" s="54"/>
      <c r="J288" s="55"/>
      <c r="K288" s="55"/>
      <c r="L288" s="56"/>
      <c r="M288" s="57"/>
      <c r="N288" s="346"/>
    </row>
    <row r="289" spans="2:14" x14ac:dyDescent="0.25">
      <c r="B289" s="14"/>
      <c r="C289" s="51"/>
      <c r="D289" s="52"/>
      <c r="E289" s="42"/>
      <c r="F289" s="53"/>
      <c r="G289" s="40"/>
      <c r="H289" s="40"/>
      <c r="I289" s="54"/>
      <c r="J289" s="55"/>
      <c r="K289" s="55"/>
      <c r="L289" s="56"/>
      <c r="M289" s="57"/>
      <c r="N289" s="346"/>
    </row>
    <row r="290" spans="2:14" x14ac:dyDescent="0.25">
      <c r="B290" s="14"/>
      <c r="C290" s="51"/>
      <c r="D290" s="52"/>
      <c r="E290" s="42"/>
      <c r="F290" s="53"/>
      <c r="G290" s="40"/>
      <c r="H290" s="40"/>
      <c r="I290" s="54"/>
      <c r="J290" s="55"/>
      <c r="K290" s="55"/>
      <c r="L290" s="56"/>
      <c r="M290" s="57"/>
      <c r="N290" s="346"/>
    </row>
    <row r="291" spans="2:14" x14ac:dyDescent="0.25">
      <c r="B291" s="14"/>
      <c r="C291" s="51"/>
      <c r="D291" s="52"/>
      <c r="E291" s="42"/>
      <c r="F291" s="53"/>
      <c r="G291" s="40"/>
      <c r="H291" s="40"/>
      <c r="I291" s="54"/>
      <c r="J291" s="55"/>
      <c r="K291" s="55"/>
      <c r="L291" s="56"/>
      <c r="M291" s="57"/>
      <c r="N291" s="346"/>
    </row>
    <row r="292" spans="2:14" x14ac:dyDescent="0.25">
      <c r="B292" s="14"/>
      <c r="C292" s="51"/>
      <c r="D292" s="52"/>
      <c r="E292" s="42"/>
      <c r="F292" s="53"/>
      <c r="G292" s="40"/>
      <c r="H292" s="40"/>
      <c r="I292" s="54"/>
      <c r="J292" s="55"/>
      <c r="K292" s="55"/>
      <c r="L292" s="56"/>
      <c r="M292" s="57"/>
      <c r="N292" s="346"/>
    </row>
    <row r="293" spans="2:14" x14ac:dyDescent="0.25">
      <c r="B293" s="14"/>
      <c r="C293" s="51"/>
      <c r="D293" s="52"/>
      <c r="E293" s="42"/>
      <c r="F293" s="53"/>
      <c r="G293" s="40"/>
      <c r="H293" s="40"/>
      <c r="I293" s="54"/>
      <c r="J293" s="55"/>
      <c r="K293" s="55"/>
      <c r="L293" s="56"/>
      <c r="M293" s="57"/>
      <c r="N293" s="346"/>
    </row>
    <row r="294" spans="2:14" x14ac:dyDescent="0.25">
      <c r="B294" s="14"/>
      <c r="C294" s="51"/>
      <c r="D294" s="52"/>
      <c r="E294" s="42"/>
      <c r="F294" s="53"/>
      <c r="G294" s="40"/>
      <c r="H294" s="40"/>
      <c r="I294" s="54"/>
      <c r="J294" s="55"/>
      <c r="K294" s="55"/>
      <c r="L294" s="56"/>
      <c r="M294" s="57"/>
      <c r="N294" s="346"/>
    </row>
    <row r="295" spans="2:14" x14ac:dyDescent="0.25">
      <c r="B295" s="14"/>
      <c r="C295" s="51"/>
      <c r="D295" s="52"/>
      <c r="E295" s="42"/>
      <c r="F295" s="53"/>
      <c r="G295" s="40"/>
      <c r="H295" s="40"/>
      <c r="I295" s="54"/>
      <c r="J295" s="55"/>
      <c r="K295" s="55"/>
      <c r="L295" s="56"/>
      <c r="M295" s="57"/>
      <c r="N295" s="346"/>
    </row>
    <row r="296" spans="2:14" x14ac:dyDescent="0.25">
      <c r="B296" s="14"/>
      <c r="C296" s="51"/>
      <c r="D296" s="52"/>
      <c r="E296" s="42"/>
      <c r="F296" s="53"/>
      <c r="G296" s="40"/>
      <c r="H296" s="40"/>
      <c r="I296" s="54"/>
      <c r="J296" s="55"/>
      <c r="K296" s="55"/>
      <c r="L296" s="56"/>
      <c r="M296" s="57"/>
      <c r="N296" s="346"/>
    </row>
    <row r="297" spans="2:14" x14ac:dyDescent="0.25">
      <c r="B297" s="14"/>
      <c r="C297" s="51"/>
      <c r="D297" s="52"/>
      <c r="E297" s="42"/>
      <c r="F297" s="53"/>
      <c r="G297" s="40"/>
      <c r="H297" s="40"/>
      <c r="I297" s="54"/>
      <c r="J297" s="55"/>
      <c r="K297" s="55"/>
      <c r="L297" s="56"/>
      <c r="M297" s="57"/>
      <c r="N297" s="346"/>
    </row>
    <row r="298" spans="2:14" x14ac:dyDescent="0.25">
      <c r="B298" s="14"/>
      <c r="C298" s="51"/>
      <c r="D298" s="52"/>
      <c r="E298" s="42"/>
      <c r="F298" s="53"/>
      <c r="G298" s="40"/>
      <c r="H298" s="40"/>
      <c r="I298" s="54"/>
      <c r="J298" s="55"/>
      <c r="K298" s="55"/>
      <c r="L298" s="56"/>
      <c r="M298" s="57"/>
      <c r="N298" s="346"/>
    </row>
    <row r="299" spans="2:14" x14ac:dyDescent="0.25">
      <c r="B299" s="14"/>
      <c r="C299" s="51"/>
      <c r="D299" s="52"/>
      <c r="E299" s="42"/>
      <c r="F299" s="53"/>
      <c r="G299" s="40"/>
      <c r="H299" s="40"/>
      <c r="I299" s="54"/>
      <c r="J299" s="55"/>
      <c r="K299" s="55"/>
      <c r="L299" s="56"/>
      <c r="M299" s="57"/>
      <c r="N299" s="346"/>
    </row>
    <row r="300" spans="2:14" x14ac:dyDescent="0.25">
      <c r="B300" s="14"/>
      <c r="C300" s="51"/>
      <c r="D300" s="52"/>
      <c r="E300" s="42"/>
      <c r="F300" s="53"/>
      <c r="G300" s="40"/>
      <c r="H300" s="40"/>
      <c r="I300" s="54"/>
      <c r="J300" s="55"/>
      <c r="K300" s="55"/>
      <c r="L300" s="56"/>
      <c r="M300" s="57"/>
      <c r="N300" s="346"/>
    </row>
    <row r="301" spans="2:14" x14ac:dyDescent="0.25">
      <c r="B301" s="14"/>
      <c r="C301" s="51"/>
      <c r="D301" s="52"/>
      <c r="E301" s="42"/>
      <c r="F301" s="53"/>
      <c r="G301" s="40"/>
      <c r="H301" s="40"/>
      <c r="I301" s="54"/>
      <c r="J301" s="55"/>
      <c r="K301" s="55"/>
      <c r="L301" s="56"/>
      <c r="M301" s="57"/>
      <c r="N301" s="346"/>
    </row>
    <row r="302" spans="2:14" x14ac:dyDescent="0.25">
      <c r="B302" s="14"/>
      <c r="C302" s="51"/>
      <c r="D302" s="52"/>
      <c r="E302" s="42"/>
      <c r="F302" s="53"/>
      <c r="G302" s="40"/>
      <c r="H302" s="40"/>
      <c r="I302" s="54"/>
      <c r="J302" s="55"/>
      <c r="K302" s="55"/>
      <c r="L302" s="56"/>
      <c r="M302" s="57"/>
      <c r="N302" s="346"/>
    </row>
    <row r="303" spans="2:14" x14ac:dyDescent="0.25">
      <c r="B303" s="14"/>
      <c r="C303" s="51"/>
      <c r="D303" s="52"/>
      <c r="E303" s="42"/>
      <c r="F303" s="53"/>
      <c r="G303" s="40"/>
      <c r="H303" s="40"/>
      <c r="I303" s="54"/>
      <c r="J303" s="55"/>
      <c r="K303" s="55"/>
      <c r="L303" s="56"/>
      <c r="M303" s="57"/>
      <c r="N303" s="346"/>
    </row>
    <row r="304" spans="2:14" x14ac:dyDescent="0.25">
      <c r="B304" s="14"/>
      <c r="C304" s="51"/>
      <c r="D304" s="52"/>
      <c r="E304" s="42"/>
      <c r="F304" s="53"/>
      <c r="G304" s="40"/>
      <c r="H304" s="40"/>
      <c r="I304" s="54"/>
      <c r="J304" s="55"/>
      <c r="K304" s="55"/>
      <c r="L304" s="56"/>
      <c r="M304" s="57"/>
      <c r="N304" s="346"/>
    </row>
    <row r="305" spans="2:14" x14ac:dyDescent="0.25">
      <c r="B305" s="14"/>
      <c r="C305" s="51"/>
      <c r="D305" s="52"/>
      <c r="E305" s="42"/>
      <c r="F305" s="53"/>
      <c r="G305" s="40"/>
      <c r="H305" s="40"/>
      <c r="I305" s="54"/>
      <c r="J305" s="55"/>
      <c r="K305" s="55"/>
      <c r="L305" s="56"/>
      <c r="M305" s="57"/>
      <c r="N305" s="346"/>
    </row>
    <row r="306" spans="2:14" x14ac:dyDescent="0.25">
      <c r="B306" s="14"/>
      <c r="C306" s="51"/>
      <c r="D306" s="52"/>
      <c r="E306" s="42"/>
      <c r="F306" s="53"/>
      <c r="G306" s="40"/>
      <c r="H306" s="40"/>
      <c r="I306" s="54"/>
      <c r="J306" s="55"/>
      <c r="K306" s="55"/>
      <c r="L306" s="56"/>
      <c r="M306" s="57"/>
      <c r="N306" s="346"/>
    </row>
    <row r="307" spans="2:14" x14ac:dyDescent="0.25">
      <c r="B307" s="14"/>
      <c r="C307" s="51"/>
      <c r="D307" s="52"/>
      <c r="E307" s="42"/>
      <c r="F307" s="53"/>
      <c r="G307" s="40"/>
      <c r="H307" s="40"/>
      <c r="I307" s="54"/>
      <c r="J307" s="55"/>
      <c r="K307" s="55"/>
      <c r="L307" s="56"/>
      <c r="M307" s="57"/>
      <c r="N307" s="346"/>
    </row>
    <row r="308" spans="2:14" x14ac:dyDescent="0.25">
      <c r="B308" s="14"/>
      <c r="C308" s="51"/>
      <c r="D308" s="52"/>
      <c r="E308" s="42"/>
      <c r="F308" s="53"/>
      <c r="G308" s="40"/>
      <c r="H308" s="40"/>
      <c r="I308" s="54"/>
      <c r="J308" s="55"/>
      <c r="K308" s="55"/>
      <c r="L308" s="56"/>
      <c r="M308" s="57"/>
      <c r="N308" s="346"/>
    </row>
    <row r="309" spans="2:14" x14ac:dyDescent="0.25">
      <c r="B309" s="14"/>
      <c r="C309" s="51"/>
      <c r="D309" s="52"/>
      <c r="E309" s="42"/>
      <c r="F309" s="53"/>
      <c r="G309" s="40"/>
      <c r="H309" s="40"/>
      <c r="I309" s="54"/>
      <c r="J309" s="55"/>
      <c r="K309" s="55"/>
      <c r="L309" s="56"/>
      <c r="M309" s="57"/>
      <c r="N309" s="346"/>
    </row>
    <row r="310" spans="2:14" x14ac:dyDescent="0.25">
      <c r="B310" s="14"/>
      <c r="C310" s="51"/>
      <c r="D310" s="52"/>
      <c r="E310" s="42"/>
      <c r="F310" s="53"/>
      <c r="G310" s="40"/>
      <c r="H310" s="40"/>
      <c r="I310" s="54"/>
      <c r="J310" s="55"/>
      <c r="K310" s="55"/>
      <c r="L310" s="56"/>
      <c r="M310" s="57"/>
      <c r="N310" s="346"/>
    </row>
    <row r="311" spans="2:14" x14ac:dyDescent="0.25">
      <c r="B311" s="14"/>
      <c r="C311" s="51"/>
      <c r="D311" s="52"/>
      <c r="E311" s="42"/>
      <c r="F311" s="53"/>
      <c r="G311" s="40"/>
      <c r="H311" s="40"/>
      <c r="I311" s="54"/>
      <c r="J311" s="55"/>
      <c r="K311" s="55"/>
      <c r="L311" s="56"/>
      <c r="M311" s="57"/>
      <c r="N311" s="346"/>
    </row>
    <row r="312" spans="2:14" x14ac:dyDescent="0.25">
      <c r="B312" s="14"/>
      <c r="C312" s="51"/>
      <c r="D312" s="52"/>
      <c r="E312" s="42"/>
      <c r="F312" s="53"/>
      <c r="G312" s="40"/>
      <c r="H312" s="40"/>
      <c r="I312" s="54"/>
      <c r="J312" s="55"/>
      <c r="K312" s="55"/>
      <c r="L312" s="56"/>
      <c r="M312" s="57"/>
      <c r="N312" s="346"/>
    </row>
    <row r="313" spans="2:14" x14ac:dyDescent="0.25">
      <c r="B313" s="14"/>
      <c r="C313" s="51"/>
      <c r="D313" s="52"/>
      <c r="E313" s="42"/>
      <c r="F313" s="53"/>
      <c r="G313" s="40"/>
      <c r="H313" s="40"/>
      <c r="I313" s="54"/>
      <c r="J313" s="55"/>
      <c r="K313" s="55"/>
      <c r="L313" s="56"/>
      <c r="M313" s="57"/>
      <c r="N313" s="346"/>
    </row>
    <row r="314" spans="2:14" x14ac:dyDescent="0.25">
      <c r="B314" s="14"/>
      <c r="C314" s="51"/>
      <c r="D314" s="52"/>
      <c r="E314" s="42"/>
      <c r="F314" s="53"/>
      <c r="G314" s="40"/>
      <c r="H314" s="40"/>
      <c r="I314" s="54"/>
      <c r="J314" s="55"/>
      <c r="K314" s="55"/>
      <c r="L314" s="56"/>
      <c r="M314" s="57"/>
      <c r="N314" s="346"/>
    </row>
    <row r="315" spans="2:14" x14ac:dyDescent="0.25">
      <c r="B315" s="14"/>
      <c r="C315" s="51"/>
      <c r="D315" s="52"/>
      <c r="E315" s="42"/>
      <c r="F315" s="53"/>
      <c r="G315" s="40"/>
      <c r="H315" s="40"/>
      <c r="I315" s="54"/>
      <c r="J315" s="55"/>
      <c r="K315" s="55"/>
      <c r="L315" s="56"/>
      <c r="M315" s="57"/>
      <c r="N315" s="346"/>
    </row>
    <row r="316" spans="2:14" x14ac:dyDescent="0.25">
      <c r="B316" s="14"/>
      <c r="C316" s="51"/>
      <c r="D316" s="52"/>
      <c r="E316" s="42"/>
      <c r="F316" s="53"/>
      <c r="G316" s="40"/>
      <c r="H316" s="40"/>
      <c r="I316" s="54"/>
      <c r="J316" s="55"/>
      <c r="K316" s="55"/>
      <c r="L316" s="56"/>
      <c r="M316" s="57"/>
      <c r="N316" s="346"/>
    </row>
    <row r="317" spans="2:14" x14ac:dyDescent="0.25">
      <c r="B317" s="14"/>
      <c r="C317" s="51"/>
      <c r="D317" s="52"/>
      <c r="E317" s="42"/>
      <c r="F317" s="53"/>
      <c r="G317" s="40"/>
      <c r="H317" s="40"/>
      <c r="I317" s="54"/>
      <c r="J317" s="55"/>
      <c r="K317" s="55"/>
      <c r="L317" s="56"/>
      <c r="M317" s="57"/>
      <c r="N317" s="346"/>
    </row>
    <row r="318" spans="2:14" x14ac:dyDescent="0.25">
      <c r="B318" s="14"/>
      <c r="C318" s="51"/>
      <c r="D318" s="52"/>
      <c r="E318" s="42"/>
      <c r="F318" s="53"/>
      <c r="G318" s="40"/>
      <c r="H318" s="40"/>
      <c r="I318" s="54"/>
      <c r="J318" s="55"/>
      <c r="K318" s="55"/>
      <c r="L318" s="56"/>
      <c r="M318" s="57"/>
      <c r="N318" s="346"/>
    </row>
    <row r="319" spans="2:14" x14ac:dyDescent="0.25">
      <c r="B319" s="14"/>
      <c r="C319" s="51"/>
      <c r="D319" s="52"/>
      <c r="E319" s="42"/>
      <c r="F319" s="53"/>
      <c r="G319" s="40"/>
      <c r="H319" s="40"/>
      <c r="I319" s="54"/>
      <c r="J319" s="55"/>
      <c r="K319" s="55"/>
      <c r="L319" s="56"/>
      <c r="M319" s="57"/>
      <c r="N319" s="346"/>
    </row>
    <row r="320" spans="2:14" x14ac:dyDescent="0.25">
      <c r="B320" s="14"/>
      <c r="C320" s="51"/>
      <c r="D320" s="52"/>
      <c r="E320" s="42"/>
      <c r="F320" s="53"/>
      <c r="G320" s="40"/>
      <c r="H320" s="40"/>
      <c r="I320" s="54"/>
      <c r="J320" s="55"/>
      <c r="K320" s="55"/>
      <c r="L320" s="56"/>
      <c r="M320" s="57"/>
      <c r="N320" s="346"/>
    </row>
    <row r="321" spans="2:14" x14ac:dyDescent="0.25">
      <c r="B321" s="14"/>
      <c r="C321" s="51"/>
      <c r="D321" s="52"/>
      <c r="E321" s="42"/>
      <c r="F321" s="53"/>
      <c r="G321" s="40"/>
      <c r="H321" s="40"/>
      <c r="I321" s="54"/>
      <c r="J321" s="55"/>
      <c r="K321" s="55"/>
      <c r="L321" s="56"/>
      <c r="M321" s="57"/>
      <c r="N321" s="346"/>
    </row>
    <row r="322" spans="2:14" x14ac:dyDescent="0.25">
      <c r="B322" s="14"/>
      <c r="C322" s="51"/>
      <c r="D322" s="52"/>
      <c r="E322" s="42"/>
      <c r="F322" s="53"/>
      <c r="G322" s="40"/>
      <c r="H322" s="40"/>
      <c r="I322" s="54"/>
      <c r="J322" s="55"/>
      <c r="K322" s="55"/>
      <c r="L322" s="56"/>
      <c r="M322" s="57"/>
      <c r="N322" s="346"/>
    </row>
    <row r="323" spans="2:14" x14ac:dyDescent="0.25">
      <c r="B323" s="14"/>
      <c r="C323" s="51"/>
      <c r="D323" s="52"/>
      <c r="E323" s="42"/>
      <c r="F323" s="53"/>
      <c r="G323" s="40"/>
      <c r="H323" s="40"/>
      <c r="I323" s="54"/>
      <c r="J323" s="55"/>
      <c r="K323" s="55"/>
      <c r="L323" s="56"/>
      <c r="M323" s="57"/>
      <c r="N323" s="346"/>
    </row>
    <row r="324" spans="2:14" x14ac:dyDescent="0.25">
      <c r="B324" s="14"/>
      <c r="C324" s="51"/>
      <c r="D324" s="52"/>
      <c r="E324" s="42"/>
      <c r="F324" s="53"/>
      <c r="G324" s="40"/>
      <c r="H324" s="40"/>
      <c r="I324" s="54"/>
      <c r="J324" s="55"/>
      <c r="K324" s="55"/>
      <c r="L324" s="56"/>
      <c r="M324" s="57"/>
      <c r="N324" s="346"/>
    </row>
    <row r="325" spans="2:14" x14ac:dyDescent="0.25">
      <c r="B325" s="14"/>
      <c r="C325" s="51"/>
      <c r="D325" s="52"/>
      <c r="E325" s="42"/>
      <c r="F325" s="53"/>
      <c r="G325" s="40"/>
      <c r="H325" s="40"/>
      <c r="I325" s="54"/>
      <c r="J325" s="55"/>
      <c r="K325" s="55"/>
      <c r="L325" s="56"/>
      <c r="M325" s="57"/>
      <c r="N325" s="346"/>
    </row>
    <row r="326" spans="2:14" x14ac:dyDescent="0.25">
      <c r="B326" s="14"/>
      <c r="C326" s="51"/>
      <c r="D326" s="52"/>
      <c r="E326" s="42"/>
      <c r="F326" s="53"/>
      <c r="G326" s="40"/>
      <c r="H326" s="40"/>
      <c r="I326" s="54"/>
      <c r="J326" s="55"/>
      <c r="K326" s="55"/>
      <c r="L326" s="56"/>
      <c r="M326" s="57"/>
      <c r="N326" s="346"/>
    </row>
    <row r="327" spans="2:14" x14ac:dyDescent="0.25">
      <c r="B327" s="14"/>
      <c r="C327" s="51"/>
      <c r="D327" s="52"/>
      <c r="E327" s="42"/>
      <c r="F327" s="53"/>
      <c r="G327" s="40"/>
      <c r="H327" s="40"/>
      <c r="I327" s="54"/>
      <c r="J327" s="55"/>
      <c r="K327" s="55"/>
      <c r="L327" s="56"/>
      <c r="M327" s="57"/>
      <c r="N327" s="346"/>
    </row>
    <row r="328" spans="2:14" x14ac:dyDescent="0.25">
      <c r="B328" s="14"/>
      <c r="C328" s="51"/>
      <c r="D328" s="52"/>
      <c r="E328" s="42"/>
      <c r="F328" s="53"/>
      <c r="G328" s="40"/>
      <c r="H328" s="40"/>
      <c r="I328" s="54"/>
      <c r="J328" s="55"/>
      <c r="K328" s="55"/>
      <c r="L328" s="56"/>
      <c r="M328" s="57"/>
      <c r="N328" s="346"/>
    </row>
    <row r="329" spans="2:14" x14ac:dyDescent="0.25">
      <c r="B329" s="14"/>
      <c r="C329" s="51"/>
      <c r="D329" s="52"/>
      <c r="E329" s="42"/>
      <c r="F329" s="53"/>
      <c r="G329" s="40"/>
      <c r="H329" s="40"/>
      <c r="I329" s="54"/>
      <c r="J329" s="55"/>
      <c r="K329" s="55"/>
      <c r="L329" s="56"/>
      <c r="M329" s="57"/>
      <c r="N329" s="346"/>
    </row>
    <row r="330" spans="2:14" x14ac:dyDescent="0.25">
      <c r="B330" s="14"/>
      <c r="C330" s="51"/>
      <c r="D330" s="52"/>
      <c r="E330" s="42"/>
      <c r="F330" s="53"/>
      <c r="G330" s="40"/>
      <c r="H330" s="40"/>
      <c r="I330" s="54"/>
      <c r="J330" s="55"/>
      <c r="K330" s="55"/>
      <c r="L330" s="56"/>
      <c r="M330" s="57"/>
      <c r="N330" s="346"/>
    </row>
    <row r="331" spans="2:14" x14ac:dyDescent="0.25">
      <c r="B331" s="14"/>
      <c r="C331" s="51"/>
      <c r="D331" s="52"/>
      <c r="E331" s="42"/>
      <c r="F331" s="53"/>
      <c r="G331" s="40"/>
      <c r="H331" s="40"/>
      <c r="I331" s="54"/>
      <c r="J331" s="55"/>
      <c r="K331" s="55"/>
      <c r="L331" s="56"/>
      <c r="M331" s="57"/>
      <c r="N331" s="346"/>
    </row>
    <row r="332" spans="2:14" x14ac:dyDescent="0.25">
      <c r="B332" s="14"/>
      <c r="C332" s="51"/>
      <c r="D332" s="52"/>
      <c r="E332" s="42"/>
      <c r="F332" s="53"/>
      <c r="G332" s="40"/>
      <c r="H332" s="40"/>
      <c r="I332" s="54"/>
      <c r="J332" s="55"/>
      <c r="K332" s="55"/>
      <c r="L332" s="56"/>
      <c r="M332" s="57"/>
      <c r="N332" s="346"/>
    </row>
    <row r="333" spans="2:14" x14ac:dyDescent="0.25">
      <c r="B333" s="14"/>
      <c r="C333" s="51"/>
      <c r="D333" s="52"/>
      <c r="E333" s="42"/>
      <c r="F333" s="53"/>
      <c r="G333" s="40"/>
      <c r="H333" s="40"/>
      <c r="I333" s="54"/>
      <c r="J333" s="55"/>
      <c r="K333" s="55"/>
      <c r="L333" s="56"/>
      <c r="M333" s="57"/>
      <c r="N333" s="346"/>
    </row>
    <row r="334" spans="2:14" x14ac:dyDescent="0.25">
      <c r="B334" s="14"/>
      <c r="C334" s="51"/>
      <c r="D334" s="52"/>
      <c r="E334" s="42"/>
      <c r="F334" s="53"/>
      <c r="G334" s="40"/>
      <c r="H334" s="40"/>
      <c r="I334" s="54"/>
      <c r="J334" s="55"/>
      <c r="K334" s="55"/>
      <c r="L334" s="56"/>
      <c r="M334" s="57"/>
      <c r="N334" s="346"/>
    </row>
    <row r="335" spans="2:14" x14ac:dyDescent="0.25">
      <c r="B335" s="14"/>
      <c r="C335" s="51"/>
      <c r="D335" s="52"/>
      <c r="E335" s="42"/>
      <c r="F335" s="53"/>
      <c r="G335" s="40"/>
      <c r="H335" s="40"/>
      <c r="I335" s="54"/>
      <c r="J335" s="55"/>
      <c r="K335" s="55"/>
      <c r="L335" s="56"/>
      <c r="M335" s="57"/>
      <c r="N335" s="346"/>
    </row>
    <row r="336" spans="2:14" x14ac:dyDescent="0.25">
      <c r="B336" s="14"/>
      <c r="C336" s="51"/>
      <c r="D336" s="52"/>
      <c r="E336" s="42"/>
      <c r="F336" s="53"/>
      <c r="G336" s="40"/>
      <c r="H336" s="40"/>
      <c r="I336" s="54"/>
      <c r="J336" s="55"/>
      <c r="K336" s="55"/>
      <c r="L336" s="56"/>
      <c r="M336" s="57"/>
      <c r="N336" s="346"/>
    </row>
    <row r="337" spans="2:14" x14ac:dyDescent="0.25">
      <c r="B337" s="14"/>
      <c r="C337" s="51"/>
      <c r="D337" s="52"/>
      <c r="E337" s="42"/>
      <c r="F337" s="53"/>
      <c r="G337" s="40"/>
      <c r="H337" s="40"/>
      <c r="I337" s="54"/>
      <c r="J337" s="55"/>
      <c r="K337" s="55"/>
      <c r="L337" s="56"/>
      <c r="M337" s="57"/>
      <c r="N337" s="346"/>
    </row>
    <row r="338" spans="2:14" x14ac:dyDescent="0.25">
      <c r="B338" s="14"/>
      <c r="C338" s="51"/>
      <c r="D338" s="52"/>
      <c r="E338" s="42"/>
      <c r="F338" s="53"/>
      <c r="G338" s="40"/>
      <c r="H338" s="40"/>
      <c r="I338" s="54"/>
      <c r="J338" s="55"/>
      <c r="K338" s="55"/>
      <c r="L338" s="56"/>
      <c r="M338" s="57"/>
      <c r="N338" s="346"/>
    </row>
    <row r="339" spans="2:14" x14ac:dyDescent="0.25">
      <c r="B339" s="14"/>
      <c r="C339" s="51"/>
      <c r="D339" s="52"/>
      <c r="E339" s="42"/>
      <c r="F339" s="53"/>
      <c r="G339" s="40"/>
      <c r="H339" s="40"/>
      <c r="I339" s="54"/>
      <c r="J339" s="55"/>
      <c r="K339" s="55"/>
      <c r="L339" s="56"/>
      <c r="M339" s="57"/>
      <c r="N339" s="346"/>
    </row>
    <row r="340" spans="2:14" x14ac:dyDescent="0.25">
      <c r="B340" s="14"/>
      <c r="C340" s="51"/>
      <c r="D340" s="52"/>
      <c r="E340" s="42"/>
      <c r="F340" s="53"/>
      <c r="G340" s="40"/>
      <c r="H340" s="40"/>
      <c r="I340" s="54"/>
      <c r="J340" s="55"/>
      <c r="K340" s="55"/>
      <c r="L340" s="56"/>
      <c r="M340" s="57"/>
      <c r="N340" s="346"/>
    </row>
    <row r="341" spans="2:14" x14ac:dyDescent="0.25">
      <c r="B341" s="14"/>
      <c r="C341" s="51"/>
      <c r="D341" s="52"/>
      <c r="E341" s="42"/>
      <c r="F341" s="53"/>
      <c r="G341" s="40"/>
      <c r="H341" s="40"/>
      <c r="I341" s="54"/>
      <c r="J341" s="55"/>
      <c r="K341" s="55"/>
      <c r="L341" s="56"/>
      <c r="M341" s="57"/>
      <c r="N341" s="346"/>
    </row>
    <row r="342" spans="2:14" x14ac:dyDescent="0.25">
      <c r="B342" s="14"/>
      <c r="C342" s="51"/>
      <c r="D342" s="52"/>
      <c r="E342" s="42"/>
      <c r="F342" s="53"/>
      <c r="G342" s="40"/>
      <c r="H342" s="40"/>
      <c r="I342" s="54"/>
      <c r="J342" s="55"/>
      <c r="K342" s="55"/>
      <c r="L342" s="56"/>
      <c r="M342" s="57"/>
      <c r="N342" s="346"/>
    </row>
    <row r="343" spans="2:14" x14ac:dyDescent="0.25">
      <c r="B343" s="14"/>
      <c r="C343" s="51"/>
      <c r="D343" s="52"/>
      <c r="E343" s="42"/>
      <c r="F343" s="53"/>
      <c r="G343" s="40"/>
      <c r="H343" s="40"/>
      <c r="I343" s="54"/>
      <c r="J343" s="55"/>
      <c r="K343" s="55"/>
      <c r="L343" s="56"/>
      <c r="M343" s="57"/>
      <c r="N343" s="346"/>
    </row>
    <row r="344" spans="2:14" x14ac:dyDescent="0.25">
      <c r="B344" s="14"/>
      <c r="C344" s="51"/>
      <c r="D344" s="52"/>
      <c r="E344" s="42"/>
      <c r="F344" s="53"/>
      <c r="G344" s="40"/>
      <c r="H344" s="40"/>
      <c r="I344" s="54"/>
      <c r="J344" s="55"/>
      <c r="K344" s="55"/>
      <c r="L344" s="56"/>
      <c r="M344" s="57"/>
      <c r="N344" s="346"/>
    </row>
    <row r="345" spans="2:14" x14ac:dyDescent="0.25">
      <c r="B345" s="14"/>
      <c r="C345" s="51"/>
      <c r="D345" s="52"/>
      <c r="E345" s="42"/>
      <c r="F345" s="53"/>
      <c r="G345" s="40"/>
      <c r="H345" s="40"/>
      <c r="I345" s="54"/>
      <c r="J345" s="55"/>
      <c r="K345" s="55"/>
      <c r="L345" s="56"/>
      <c r="M345" s="57"/>
      <c r="N345" s="346"/>
    </row>
    <row r="346" spans="2:14" x14ac:dyDescent="0.25">
      <c r="B346" s="14"/>
      <c r="C346" s="51"/>
      <c r="D346" s="52"/>
      <c r="E346" s="42"/>
      <c r="F346" s="53"/>
      <c r="G346" s="40"/>
      <c r="H346" s="40"/>
      <c r="I346" s="54"/>
      <c r="J346" s="55"/>
      <c r="K346" s="55"/>
      <c r="L346" s="56"/>
      <c r="M346" s="57"/>
      <c r="N346" s="346"/>
    </row>
    <row r="347" spans="2:14" x14ac:dyDescent="0.25">
      <c r="B347" s="14"/>
      <c r="C347" s="51"/>
      <c r="D347" s="52"/>
      <c r="E347" s="42"/>
      <c r="F347" s="53"/>
      <c r="G347" s="40"/>
      <c r="H347" s="40"/>
      <c r="I347" s="54"/>
      <c r="J347" s="55"/>
      <c r="K347" s="55"/>
      <c r="L347" s="56"/>
      <c r="M347" s="57"/>
      <c r="N347" s="346"/>
    </row>
    <row r="348" spans="2:14" x14ac:dyDescent="0.25">
      <c r="B348" s="14"/>
      <c r="C348" s="51"/>
      <c r="D348" s="52"/>
      <c r="E348" s="42"/>
      <c r="F348" s="53"/>
      <c r="G348" s="40"/>
      <c r="H348" s="40"/>
      <c r="I348" s="54"/>
      <c r="J348" s="55"/>
      <c r="K348" s="55"/>
      <c r="L348" s="56"/>
      <c r="M348" s="57"/>
      <c r="N348" s="346"/>
    </row>
    <row r="349" spans="2:14" x14ac:dyDescent="0.25">
      <c r="B349" s="14"/>
      <c r="C349" s="51"/>
      <c r="D349" s="52"/>
      <c r="E349" s="42"/>
      <c r="F349" s="53"/>
      <c r="G349" s="40"/>
      <c r="H349" s="40"/>
      <c r="I349" s="54"/>
      <c r="J349" s="55"/>
      <c r="K349" s="55"/>
      <c r="L349" s="56"/>
      <c r="M349" s="57"/>
      <c r="N349" s="346"/>
    </row>
    <row r="350" spans="2:14" x14ac:dyDescent="0.25">
      <c r="B350" s="14"/>
      <c r="C350" s="51"/>
      <c r="D350" s="52"/>
      <c r="E350" s="42"/>
      <c r="F350" s="53"/>
      <c r="G350" s="40"/>
      <c r="H350" s="40"/>
      <c r="I350" s="54"/>
      <c r="J350" s="55"/>
      <c r="K350" s="55"/>
      <c r="L350" s="56"/>
      <c r="M350" s="57"/>
      <c r="N350" s="346"/>
    </row>
    <row r="351" spans="2:14" x14ac:dyDescent="0.25">
      <c r="B351" s="14"/>
      <c r="C351" s="51"/>
      <c r="D351" s="52"/>
      <c r="E351" s="42"/>
      <c r="F351" s="53"/>
      <c r="G351" s="40"/>
      <c r="H351" s="40"/>
      <c r="I351" s="54"/>
      <c r="J351" s="55"/>
      <c r="K351" s="55"/>
      <c r="L351" s="56"/>
      <c r="M351" s="57"/>
      <c r="N351" s="346"/>
    </row>
    <row r="352" spans="2:14" x14ac:dyDescent="0.25">
      <c r="B352" s="14"/>
      <c r="C352" s="51"/>
      <c r="D352" s="52"/>
      <c r="E352" s="42"/>
      <c r="F352" s="53"/>
      <c r="G352" s="40"/>
      <c r="H352" s="40"/>
      <c r="I352" s="54"/>
      <c r="J352" s="55"/>
      <c r="K352" s="55"/>
      <c r="L352" s="56"/>
      <c r="M352" s="57"/>
      <c r="N352" s="346"/>
    </row>
    <row r="353" spans="2:14" x14ac:dyDescent="0.25">
      <c r="B353" s="14"/>
      <c r="C353" s="51"/>
      <c r="D353" s="52"/>
      <c r="E353" s="42"/>
      <c r="F353" s="53"/>
      <c r="G353" s="40"/>
      <c r="H353" s="40"/>
      <c r="I353" s="54"/>
      <c r="J353" s="55"/>
      <c r="K353" s="55"/>
      <c r="L353" s="56"/>
      <c r="M353" s="57"/>
      <c r="N353" s="346"/>
    </row>
    <row r="354" spans="2:14" x14ac:dyDescent="0.25">
      <c r="B354" s="14"/>
      <c r="C354" s="51"/>
      <c r="D354" s="52"/>
      <c r="E354" s="42"/>
      <c r="F354" s="53"/>
      <c r="G354" s="40"/>
      <c r="H354" s="40"/>
      <c r="I354" s="54"/>
      <c r="J354" s="55"/>
      <c r="K354" s="55"/>
      <c r="L354" s="56"/>
      <c r="M354" s="57"/>
      <c r="N354" s="346"/>
    </row>
    <row r="355" spans="2:14" x14ac:dyDescent="0.25">
      <c r="B355" s="14"/>
      <c r="C355" s="51"/>
      <c r="D355" s="52"/>
      <c r="E355" s="42"/>
      <c r="F355" s="53"/>
      <c r="G355" s="40"/>
      <c r="H355" s="40"/>
      <c r="I355" s="54"/>
      <c r="J355" s="55"/>
      <c r="K355" s="55"/>
      <c r="L355" s="56"/>
      <c r="M355" s="57"/>
      <c r="N355" s="346"/>
    </row>
    <row r="356" spans="2:14" x14ac:dyDescent="0.25">
      <c r="B356" s="14"/>
      <c r="C356" s="51"/>
      <c r="D356" s="52"/>
      <c r="E356" s="42"/>
      <c r="F356" s="53"/>
      <c r="G356" s="40"/>
      <c r="H356" s="40"/>
      <c r="I356" s="54"/>
      <c r="J356" s="55"/>
      <c r="K356" s="55"/>
      <c r="L356" s="56"/>
      <c r="M356" s="57"/>
      <c r="N356" s="346"/>
    </row>
    <row r="357" spans="2:14" x14ac:dyDescent="0.25">
      <c r="B357" s="14"/>
      <c r="C357" s="51"/>
      <c r="D357" s="52"/>
      <c r="E357" s="42"/>
      <c r="F357" s="53"/>
      <c r="G357" s="40"/>
      <c r="H357" s="40"/>
      <c r="I357" s="54"/>
      <c r="J357" s="55"/>
      <c r="K357" s="55"/>
      <c r="L357" s="56"/>
      <c r="M357" s="57"/>
      <c r="N357" s="346"/>
    </row>
    <row r="358" spans="2:14" x14ac:dyDescent="0.25">
      <c r="B358" s="14"/>
      <c r="C358" s="51"/>
      <c r="D358" s="52"/>
      <c r="E358" s="42"/>
      <c r="F358" s="53"/>
      <c r="G358" s="40"/>
      <c r="H358" s="40"/>
      <c r="I358" s="54"/>
      <c r="J358" s="55"/>
      <c r="K358" s="55"/>
      <c r="L358" s="56"/>
      <c r="M358" s="57"/>
      <c r="N358" s="346"/>
    </row>
    <row r="359" spans="2:14" x14ac:dyDescent="0.25">
      <c r="B359" s="14"/>
      <c r="C359" s="51"/>
      <c r="D359" s="52"/>
      <c r="E359" s="42"/>
      <c r="F359" s="53"/>
      <c r="G359" s="40"/>
      <c r="H359" s="40"/>
      <c r="I359" s="54"/>
      <c r="J359" s="55"/>
      <c r="K359" s="55"/>
      <c r="L359" s="56"/>
      <c r="M359" s="57"/>
      <c r="N359" s="346"/>
    </row>
    <row r="360" spans="2:14" x14ac:dyDescent="0.25">
      <c r="B360" s="14"/>
      <c r="C360" s="51"/>
      <c r="D360" s="52"/>
      <c r="E360" s="42"/>
      <c r="F360" s="53"/>
      <c r="G360" s="40"/>
      <c r="H360" s="40"/>
      <c r="I360" s="54"/>
      <c r="J360" s="55"/>
      <c r="K360" s="55"/>
      <c r="L360" s="56"/>
      <c r="M360" s="57"/>
      <c r="N360" s="346"/>
    </row>
    <row r="361" spans="2:14" x14ac:dyDescent="0.25">
      <c r="B361" s="14"/>
      <c r="C361" s="51"/>
      <c r="D361" s="52"/>
      <c r="E361" s="42"/>
      <c r="F361" s="53"/>
      <c r="G361" s="40"/>
      <c r="H361" s="40"/>
      <c r="I361" s="54"/>
      <c r="J361" s="55"/>
      <c r="K361" s="55"/>
      <c r="L361" s="56"/>
      <c r="M361" s="57"/>
      <c r="N361" s="346"/>
    </row>
    <row r="362" spans="2:14" x14ac:dyDescent="0.25">
      <c r="B362" s="14"/>
      <c r="C362" s="51"/>
      <c r="D362" s="52"/>
      <c r="E362" s="42"/>
      <c r="F362" s="53"/>
      <c r="G362" s="40"/>
      <c r="H362" s="40"/>
      <c r="I362" s="54"/>
      <c r="J362" s="55"/>
      <c r="K362" s="55"/>
      <c r="L362" s="56"/>
      <c r="M362" s="57"/>
      <c r="N362" s="346"/>
    </row>
    <row r="363" spans="2:14" x14ac:dyDescent="0.25">
      <c r="B363" s="14"/>
      <c r="C363" s="51"/>
      <c r="D363" s="52"/>
      <c r="E363" s="42"/>
      <c r="F363" s="53"/>
      <c r="G363" s="40"/>
      <c r="H363" s="40"/>
      <c r="I363" s="54"/>
      <c r="J363" s="55"/>
      <c r="K363" s="55"/>
      <c r="L363" s="56"/>
      <c r="M363" s="57"/>
      <c r="N363" s="346"/>
    </row>
    <row r="364" spans="2:14" x14ac:dyDescent="0.25">
      <c r="B364" s="14"/>
      <c r="C364" s="51"/>
      <c r="D364" s="52"/>
      <c r="E364" s="42"/>
      <c r="F364" s="53"/>
      <c r="G364" s="40"/>
      <c r="H364" s="40"/>
      <c r="I364" s="54"/>
      <c r="J364" s="55"/>
      <c r="K364" s="55"/>
      <c r="L364" s="56"/>
      <c r="M364" s="57"/>
      <c r="N364" s="346"/>
    </row>
    <row r="365" spans="2:14" x14ac:dyDescent="0.25">
      <c r="B365" s="14"/>
      <c r="C365" s="51"/>
      <c r="D365" s="52"/>
      <c r="E365" s="42"/>
      <c r="F365" s="53"/>
      <c r="G365" s="40"/>
      <c r="H365" s="40"/>
      <c r="I365" s="54"/>
      <c r="J365" s="55"/>
      <c r="K365" s="55"/>
      <c r="L365" s="56"/>
      <c r="M365" s="57"/>
      <c r="N365" s="346"/>
    </row>
    <row r="366" spans="2:14" x14ac:dyDescent="0.25">
      <c r="B366" s="14"/>
      <c r="C366" s="51"/>
      <c r="D366" s="52"/>
      <c r="E366" s="42"/>
      <c r="F366" s="53"/>
      <c r="G366" s="40"/>
      <c r="H366" s="40"/>
      <c r="I366" s="54"/>
      <c r="J366" s="55"/>
      <c r="K366" s="55"/>
      <c r="L366" s="56"/>
      <c r="M366" s="57"/>
      <c r="N366" s="346"/>
    </row>
    <row r="367" spans="2:14" x14ac:dyDescent="0.25">
      <c r="B367" s="14"/>
      <c r="C367" s="51"/>
      <c r="D367" s="52"/>
      <c r="E367" s="42"/>
      <c r="F367" s="53"/>
      <c r="G367" s="40"/>
      <c r="H367" s="40"/>
      <c r="I367" s="54"/>
      <c r="J367" s="55"/>
      <c r="K367" s="55"/>
      <c r="L367" s="56"/>
      <c r="M367" s="57"/>
      <c r="N367" s="346"/>
    </row>
    <row r="368" spans="2:14" x14ac:dyDescent="0.25">
      <c r="B368" s="14"/>
      <c r="C368" s="51"/>
      <c r="D368" s="52"/>
      <c r="E368" s="42"/>
      <c r="F368" s="53"/>
      <c r="G368" s="40"/>
      <c r="H368" s="40"/>
      <c r="I368" s="54"/>
      <c r="J368" s="55"/>
      <c r="K368" s="55"/>
      <c r="L368" s="56"/>
      <c r="M368" s="57"/>
      <c r="N368" s="346"/>
    </row>
    <row r="369" spans="2:14" x14ac:dyDescent="0.25">
      <c r="B369" s="14"/>
      <c r="C369" s="51"/>
      <c r="D369" s="52"/>
      <c r="E369" s="42"/>
      <c r="F369" s="53"/>
      <c r="G369" s="40"/>
      <c r="H369" s="40"/>
      <c r="I369" s="54"/>
      <c r="J369" s="55"/>
      <c r="K369" s="55"/>
      <c r="L369" s="56"/>
      <c r="M369" s="57"/>
      <c r="N369" s="346"/>
    </row>
    <row r="370" spans="2:14" x14ac:dyDescent="0.25">
      <c r="B370" s="14"/>
      <c r="C370" s="51"/>
      <c r="D370" s="52"/>
      <c r="E370" s="42"/>
      <c r="F370" s="53"/>
      <c r="G370" s="40"/>
      <c r="H370" s="40"/>
      <c r="I370" s="54"/>
      <c r="J370" s="55"/>
      <c r="K370" s="55"/>
      <c r="L370" s="56"/>
      <c r="M370" s="57"/>
      <c r="N370" s="346"/>
    </row>
    <row r="371" spans="2:14" x14ac:dyDescent="0.25">
      <c r="B371" s="14"/>
      <c r="C371" s="51"/>
      <c r="D371" s="52"/>
      <c r="E371" s="42"/>
      <c r="F371" s="53"/>
      <c r="G371" s="40"/>
      <c r="H371" s="40"/>
      <c r="I371" s="54"/>
      <c r="J371" s="55"/>
      <c r="K371" s="55"/>
      <c r="L371" s="56"/>
      <c r="M371" s="57"/>
      <c r="N371" s="346"/>
    </row>
    <row r="372" spans="2:14" x14ac:dyDescent="0.25">
      <c r="B372" s="14"/>
      <c r="C372" s="51"/>
      <c r="D372" s="52"/>
      <c r="E372" s="42"/>
      <c r="F372" s="53"/>
      <c r="G372" s="40"/>
      <c r="H372" s="40"/>
      <c r="I372" s="54"/>
      <c r="J372" s="55"/>
      <c r="K372" s="55"/>
      <c r="L372" s="56"/>
      <c r="M372" s="57"/>
      <c r="N372" s="346"/>
    </row>
    <row r="373" spans="2:14" x14ac:dyDescent="0.25">
      <c r="B373" s="14"/>
      <c r="C373" s="51"/>
      <c r="D373" s="52"/>
      <c r="E373" s="42"/>
      <c r="F373" s="53"/>
      <c r="G373" s="40"/>
      <c r="H373" s="40"/>
      <c r="I373" s="54"/>
      <c r="J373" s="55"/>
      <c r="K373" s="55"/>
      <c r="L373" s="56"/>
      <c r="M373" s="57"/>
      <c r="N373" s="346"/>
    </row>
    <row r="374" spans="2:14" x14ac:dyDescent="0.25">
      <c r="B374" s="14"/>
      <c r="C374" s="51"/>
      <c r="D374" s="52"/>
      <c r="E374" s="42"/>
      <c r="F374" s="53"/>
      <c r="G374" s="40"/>
      <c r="H374" s="40"/>
      <c r="I374" s="54"/>
      <c r="J374" s="55"/>
      <c r="K374" s="55"/>
      <c r="L374" s="56"/>
      <c r="M374" s="57"/>
      <c r="N374" s="346"/>
    </row>
    <row r="375" spans="2:14" x14ac:dyDescent="0.25">
      <c r="B375" s="14"/>
      <c r="C375" s="51"/>
      <c r="D375" s="52"/>
      <c r="E375" s="42"/>
      <c r="F375" s="53"/>
      <c r="G375" s="40"/>
      <c r="H375" s="40"/>
      <c r="I375" s="54"/>
      <c r="J375" s="55"/>
      <c r="K375" s="55"/>
      <c r="L375" s="56"/>
      <c r="M375" s="57"/>
      <c r="N375" s="346"/>
    </row>
    <row r="376" spans="2:14" x14ac:dyDescent="0.25">
      <c r="B376" s="14"/>
      <c r="C376" s="51"/>
      <c r="D376" s="52"/>
      <c r="E376" s="42"/>
      <c r="F376" s="53"/>
      <c r="G376" s="40"/>
      <c r="H376" s="40"/>
      <c r="I376" s="54"/>
      <c r="J376" s="55"/>
      <c r="K376" s="55"/>
      <c r="L376" s="56"/>
      <c r="M376" s="57"/>
      <c r="N376" s="346"/>
    </row>
    <row r="377" spans="2:14" x14ac:dyDescent="0.25">
      <c r="B377" s="14"/>
      <c r="C377" s="51"/>
      <c r="D377" s="52"/>
      <c r="E377" s="42"/>
      <c r="F377" s="53"/>
      <c r="G377" s="40"/>
      <c r="H377" s="40"/>
      <c r="I377" s="54"/>
      <c r="J377" s="55"/>
      <c r="K377" s="55"/>
      <c r="L377" s="56"/>
      <c r="M377" s="57"/>
      <c r="N377" s="346"/>
    </row>
    <row r="378" spans="2:14" x14ac:dyDescent="0.25">
      <c r="B378" s="14"/>
      <c r="C378" s="51"/>
      <c r="D378" s="52"/>
      <c r="E378" s="42"/>
      <c r="F378" s="53"/>
      <c r="G378" s="40"/>
      <c r="H378" s="40"/>
      <c r="I378" s="54"/>
      <c r="J378" s="55"/>
      <c r="K378" s="55"/>
      <c r="L378" s="56"/>
      <c r="M378" s="57"/>
      <c r="N378" s="346"/>
    </row>
    <row r="379" spans="2:14" x14ac:dyDescent="0.25">
      <c r="B379" s="14"/>
      <c r="C379" s="51"/>
      <c r="D379" s="52"/>
      <c r="E379" s="42"/>
      <c r="F379" s="53"/>
      <c r="G379" s="40"/>
      <c r="H379" s="40"/>
      <c r="I379" s="54"/>
      <c r="J379" s="55"/>
      <c r="K379" s="55"/>
      <c r="L379" s="56"/>
      <c r="M379" s="57"/>
      <c r="N379" s="346"/>
    </row>
    <row r="380" spans="2:14" x14ac:dyDescent="0.25">
      <c r="B380" s="14"/>
      <c r="C380" s="51"/>
      <c r="D380" s="52"/>
      <c r="E380" s="42"/>
      <c r="F380" s="53"/>
      <c r="G380" s="40"/>
      <c r="H380" s="40"/>
      <c r="I380" s="54"/>
      <c r="J380" s="55"/>
      <c r="K380" s="55"/>
      <c r="L380" s="56"/>
      <c r="M380" s="57"/>
      <c r="N380" s="346"/>
    </row>
    <row r="381" spans="2:14" x14ac:dyDescent="0.25">
      <c r="B381" s="14"/>
      <c r="C381" s="51"/>
      <c r="D381" s="52"/>
      <c r="E381" s="42"/>
      <c r="F381" s="53"/>
      <c r="G381" s="40"/>
      <c r="H381" s="40"/>
      <c r="I381" s="54"/>
      <c r="J381" s="55"/>
      <c r="K381" s="55"/>
      <c r="L381" s="56"/>
      <c r="M381" s="57"/>
      <c r="N381" s="346"/>
    </row>
    <row r="382" spans="2:14" x14ac:dyDescent="0.25">
      <c r="B382" s="14"/>
      <c r="C382" s="51"/>
      <c r="D382" s="52"/>
      <c r="E382" s="42"/>
      <c r="F382" s="53"/>
      <c r="G382" s="40"/>
      <c r="H382" s="40"/>
      <c r="I382" s="54"/>
      <c r="J382" s="55"/>
      <c r="K382" s="55"/>
      <c r="L382" s="56"/>
      <c r="M382" s="57"/>
      <c r="N382" s="346"/>
    </row>
    <row r="383" spans="2:14" x14ac:dyDescent="0.25">
      <c r="B383" s="14"/>
      <c r="C383" s="51"/>
      <c r="D383" s="52"/>
      <c r="E383" s="42"/>
      <c r="F383" s="53"/>
      <c r="G383" s="40"/>
      <c r="H383" s="40"/>
      <c r="I383" s="54"/>
      <c r="J383" s="55"/>
      <c r="K383" s="55"/>
      <c r="L383" s="56"/>
      <c r="M383" s="57"/>
      <c r="N383" s="346"/>
    </row>
    <row r="384" spans="2:14" x14ac:dyDescent="0.25">
      <c r="B384" s="14"/>
      <c r="C384" s="51"/>
      <c r="D384" s="52"/>
      <c r="E384" s="42"/>
      <c r="F384" s="53"/>
      <c r="G384" s="40"/>
      <c r="H384" s="40"/>
      <c r="I384" s="54"/>
      <c r="J384" s="55"/>
      <c r="K384" s="55"/>
      <c r="L384" s="56"/>
      <c r="M384" s="57"/>
      <c r="N384" s="346"/>
    </row>
    <row r="385" spans="2:14" x14ac:dyDescent="0.25">
      <c r="B385" s="14"/>
      <c r="C385" s="51"/>
      <c r="D385" s="52"/>
      <c r="E385" s="42"/>
      <c r="F385" s="53"/>
      <c r="G385" s="40"/>
      <c r="H385" s="40"/>
      <c r="I385" s="54"/>
      <c r="J385" s="55"/>
      <c r="K385" s="55"/>
      <c r="L385" s="56"/>
      <c r="M385" s="57"/>
      <c r="N385" s="346"/>
    </row>
    <row r="386" spans="2:14" x14ac:dyDescent="0.25">
      <c r="B386" s="14"/>
      <c r="C386" s="51"/>
      <c r="D386" s="52"/>
      <c r="E386" s="42"/>
      <c r="F386" s="53"/>
      <c r="G386" s="40"/>
      <c r="H386" s="40"/>
      <c r="I386" s="54"/>
      <c r="J386" s="55"/>
      <c r="K386" s="55"/>
      <c r="L386" s="56"/>
      <c r="M386" s="57"/>
      <c r="N386" s="346"/>
    </row>
    <row r="387" spans="2:14" x14ac:dyDescent="0.25">
      <c r="B387" s="14"/>
      <c r="C387" s="51"/>
      <c r="D387" s="52"/>
      <c r="E387" s="42"/>
      <c r="F387" s="53"/>
      <c r="G387" s="40"/>
      <c r="H387" s="40"/>
      <c r="I387" s="54"/>
      <c r="J387" s="55"/>
      <c r="K387" s="55"/>
      <c r="L387" s="56"/>
      <c r="M387" s="57"/>
      <c r="N387" s="346"/>
    </row>
    <row r="388" spans="2:14" x14ac:dyDescent="0.25">
      <c r="B388" s="14"/>
      <c r="C388" s="51"/>
      <c r="D388" s="52"/>
      <c r="E388" s="42"/>
      <c r="F388" s="53"/>
      <c r="G388" s="40"/>
      <c r="H388" s="40"/>
      <c r="I388" s="54"/>
      <c r="J388" s="55"/>
      <c r="K388" s="55"/>
      <c r="L388" s="56"/>
      <c r="M388" s="57"/>
      <c r="N388" s="346"/>
    </row>
    <row r="389" spans="2:14" x14ac:dyDescent="0.25">
      <c r="B389" s="14"/>
      <c r="C389" s="51"/>
      <c r="D389" s="52"/>
      <c r="E389" s="42"/>
      <c r="F389" s="53"/>
      <c r="G389" s="40"/>
      <c r="H389" s="40"/>
      <c r="I389" s="54"/>
      <c r="J389" s="55"/>
      <c r="K389" s="55"/>
      <c r="L389" s="56"/>
      <c r="M389" s="57"/>
      <c r="N389" s="346"/>
    </row>
    <row r="390" spans="2:14" x14ac:dyDescent="0.25">
      <c r="B390" s="14"/>
      <c r="C390" s="51"/>
      <c r="D390" s="52"/>
      <c r="E390" s="42"/>
      <c r="F390" s="53"/>
      <c r="G390" s="40"/>
      <c r="H390" s="40"/>
      <c r="I390" s="54"/>
      <c r="J390" s="55"/>
      <c r="K390" s="55"/>
      <c r="L390" s="56"/>
      <c r="M390" s="57"/>
      <c r="N390" s="346"/>
    </row>
    <row r="391" spans="2:14" x14ac:dyDescent="0.25">
      <c r="B391" s="14"/>
      <c r="C391" s="51"/>
      <c r="D391" s="52"/>
      <c r="E391" s="42"/>
      <c r="F391" s="53"/>
      <c r="G391" s="40"/>
      <c r="H391" s="40"/>
      <c r="I391" s="54"/>
      <c r="J391" s="55"/>
      <c r="K391" s="55"/>
      <c r="L391" s="56"/>
      <c r="M391" s="57"/>
      <c r="N391" s="346"/>
    </row>
    <row r="392" spans="2:14" x14ac:dyDescent="0.25">
      <c r="B392" s="14"/>
      <c r="C392" s="51"/>
      <c r="D392" s="52"/>
      <c r="E392" s="42"/>
      <c r="F392" s="53"/>
      <c r="G392" s="40"/>
      <c r="H392" s="40"/>
      <c r="I392" s="54"/>
      <c r="J392" s="55"/>
      <c r="K392" s="55"/>
      <c r="L392" s="56"/>
      <c r="M392" s="57"/>
      <c r="N392" s="346"/>
    </row>
    <row r="393" spans="2:14" x14ac:dyDescent="0.25">
      <c r="B393" s="14"/>
      <c r="C393" s="51"/>
      <c r="D393" s="52"/>
      <c r="E393" s="42"/>
      <c r="F393" s="53"/>
      <c r="G393" s="40"/>
      <c r="H393" s="40"/>
      <c r="I393" s="54"/>
      <c r="J393" s="55"/>
      <c r="K393" s="55"/>
      <c r="L393" s="56"/>
      <c r="M393" s="57"/>
      <c r="N393" s="346"/>
    </row>
    <row r="394" spans="2:14" x14ac:dyDescent="0.25">
      <c r="B394" s="14"/>
      <c r="C394" s="51"/>
      <c r="D394" s="52"/>
      <c r="E394" s="42"/>
      <c r="F394" s="53"/>
      <c r="G394" s="40"/>
      <c r="H394" s="40"/>
      <c r="I394" s="54"/>
      <c r="J394" s="55"/>
      <c r="K394" s="55"/>
      <c r="L394" s="56"/>
      <c r="M394" s="57"/>
      <c r="N394" s="346"/>
    </row>
    <row r="395" spans="2:14" x14ac:dyDescent="0.25">
      <c r="B395" s="14"/>
      <c r="C395" s="51"/>
      <c r="D395" s="52"/>
      <c r="E395" s="42"/>
      <c r="F395" s="53"/>
      <c r="G395" s="40"/>
      <c r="H395" s="40"/>
      <c r="I395" s="54"/>
      <c r="J395" s="55"/>
      <c r="K395" s="55"/>
      <c r="L395" s="56"/>
      <c r="M395" s="57"/>
      <c r="N395" s="346"/>
    </row>
    <row r="396" spans="2:14" x14ac:dyDescent="0.25">
      <c r="B396" s="14"/>
      <c r="C396" s="51"/>
      <c r="D396" s="52"/>
      <c r="E396" s="42"/>
      <c r="F396" s="53"/>
      <c r="G396" s="40"/>
      <c r="H396" s="40"/>
      <c r="I396" s="54"/>
      <c r="J396" s="55"/>
      <c r="K396" s="55"/>
      <c r="L396" s="56"/>
      <c r="M396" s="57"/>
      <c r="N396" s="346"/>
    </row>
    <row r="397" spans="2:14" x14ac:dyDescent="0.25">
      <c r="B397" s="14"/>
      <c r="C397" s="51"/>
      <c r="D397" s="52"/>
      <c r="E397" s="42"/>
      <c r="F397" s="53"/>
      <c r="G397" s="40"/>
      <c r="H397" s="40"/>
      <c r="I397" s="54"/>
      <c r="J397" s="55"/>
      <c r="K397" s="55"/>
      <c r="L397" s="56"/>
      <c r="M397" s="57"/>
      <c r="N397" s="346"/>
    </row>
    <row r="398" spans="2:14" x14ac:dyDescent="0.25">
      <c r="B398" s="14"/>
      <c r="C398" s="51"/>
      <c r="D398" s="52"/>
      <c r="E398" s="42"/>
      <c r="F398" s="53"/>
      <c r="G398" s="40"/>
      <c r="H398" s="40"/>
      <c r="I398" s="54"/>
      <c r="J398" s="55"/>
      <c r="K398" s="55"/>
      <c r="L398" s="56"/>
      <c r="M398" s="57"/>
      <c r="N398" s="346"/>
    </row>
    <row r="399" spans="2:14" x14ac:dyDescent="0.25">
      <c r="B399" s="14"/>
      <c r="C399" s="51"/>
      <c r="D399" s="52"/>
      <c r="E399" s="42"/>
      <c r="F399" s="53"/>
      <c r="G399" s="40"/>
      <c r="H399" s="40"/>
      <c r="I399" s="54"/>
      <c r="J399" s="55"/>
      <c r="K399" s="55"/>
      <c r="L399" s="56"/>
      <c r="M399" s="57"/>
      <c r="N399" s="346"/>
    </row>
    <row r="400" spans="2:14" x14ac:dyDescent="0.25">
      <c r="B400" s="14"/>
      <c r="C400" s="51"/>
      <c r="D400" s="52"/>
      <c r="E400" s="42"/>
      <c r="F400" s="53"/>
      <c r="G400" s="40"/>
      <c r="H400" s="40"/>
      <c r="I400" s="54"/>
      <c r="J400" s="55"/>
      <c r="K400" s="55"/>
      <c r="L400" s="56"/>
      <c r="M400" s="57"/>
      <c r="N400" s="346"/>
    </row>
    <row r="401" spans="2:14" x14ac:dyDescent="0.25">
      <c r="B401" s="14"/>
      <c r="C401" s="51"/>
      <c r="D401" s="52"/>
      <c r="E401" s="42"/>
      <c r="F401" s="53"/>
      <c r="G401" s="40"/>
      <c r="H401" s="40"/>
      <c r="I401" s="54"/>
      <c r="J401" s="55"/>
      <c r="K401" s="55"/>
      <c r="L401" s="56"/>
      <c r="M401" s="57"/>
      <c r="N401" s="346"/>
    </row>
    <row r="402" spans="2:14" x14ac:dyDescent="0.25">
      <c r="B402" s="14"/>
      <c r="C402" s="51"/>
      <c r="D402" s="52"/>
      <c r="E402" s="42"/>
      <c r="F402" s="53"/>
      <c r="G402" s="40"/>
      <c r="H402" s="40"/>
      <c r="I402" s="54"/>
      <c r="J402" s="55"/>
      <c r="K402" s="55"/>
      <c r="L402" s="56"/>
      <c r="M402" s="57"/>
      <c r="N402" s="346"/>
    </row>
    <row r="403" spans="2:14" x14ac:dyDescent="0.25">
      <c r="B403" s="14"/>
      <c r="C403" s="51"/>
      <c r="D403" s="52"/>
      <c r="E403" s="42"/>
      <c r="F403" s="53"/>
      <c r="G403" s="40"/>
      <c r="H403" s="40"/>
      <c r="I403" s="54"/>
      <c r="J403" s="55"/>
      <c r="K403" s="55"/>
      <c r="L403" s="56"/>
      <c r="M403" s="57"/>
      <c r="N403" s="346"/>
    </row>
    <row r="404" spans="2:14" x14ac:dyDescent="0.25">
      <c r="B404" s="14"/>
      <c r="C404" s="51"/>
      <c r="D404" s="52"/>
      <c r="E404" s="42"/>
      <c r="F404" s="53"/>
      <c r="G404" s="40"/>
      <c r="H404" s="40"/>
      <c r="I404" s="54"/>
      <c r="J404" s="55"/>
      <c r="K404" s="55"/>
      <c r="L404" s="56"/>
      <c r="M404" s="57"/>
      <c r="N404" s="346"/>
    </row>
    <row r="405" spans="2:14" x14ac:dyDescent="0.25">
      <c r="B405" s="14"/>
      <c r="C405" s="51"/>
      <c r="D405" s="52"/>
      <c r="E405" s="42"/>
      <c r="F405" s="53"/>
      <c r="G405" s="40"/>
      <c r="H405" s="40"/>
      <c r="I405" s="54"/>
      <c r="J405" s="55"/>
      <c r="K405" s="55"/>
      <c r="L405" s="56"/>
      <c r="M405" s="57"/>
      <c r="N405" s="346"/>
    </row>
    <row r="406" spans="2:14" x14ac:dyDescent="0.25">
      <c r="B406" s="14"/>
      <c r="C406" s="51"/>
      <c r="D406" s="52"/>
      <c r="E406" s="42"/>
      <c r="F406" s="53"/>
      <c r="G406" s="40"/>
      <c r="H406" s="40"/>
      <c r="I406" s="54"/>
      <c r="J406" s="55"/>
      <c r="K406" s="55"/>
      <c r="L406" s="56"/>
      <c r="M406" s="57"/>
      <c r="N406" s="346"/>
    </row>
    <row r="407" spans="2:14" x14ac:dyDescent="0.25">
      <c r="B407" s="14"/>
      <c r="C407" s="51"/>
      <c r="D407" s="52"/>
      <c r="E407" s="42"/>
      <c r="F407" s="53"/>
      <c r="G407" s="40"/>
      <c r="H407" s="40"/>
      <c r="I407" s="54"/>
      <c r="J407" s="55"/>
      <c r="K407" s="55"/>
      <c r="L407" s="56"/>
      <c r="M407" s="57"/>
      <c r="N407" s="346"/>
    </row>
    <row r="408" spans="2:14" x14ac:dyDescent="0.25">
      <c r="B408" s="14"/>
      <c r="C408" s="51"/>
      <c r="D408" s="52"/>
      <c r="E408" s="42"/>
      <c r="F408" s="53"/>
      <c r="G408" s="40"/>
      <c r="H408" s="40"/>
      <c r="I408" s="54"/>
      <c r="J408" s="55"/>
      <c r="K408" s="55"/>
      <c r="L408" s="56"/>
      <c r="M408" s="57"/>
      <c r="N408" s="346"/>
    </row>
    <row r="409" spans="2:14" x14ac:dyDescent="0.25">
      <c r="B409" s="14"/>
      <c r="C409" s="51"/>
      <c r="D409" s="52"/>
      <c r="E409" s="42"/>
      <c r="F409" s="53"/>
      <c r="G409" s="40"/>
      <c r="H409" s="40"/>
      <c r="I409" s="54"/>
      <c r="J409" s="55"/>
      <c r="K409" s="55"/>
      <c r="L409" s="56"/>
      <c r="M409" s="57"/>
      <c r="N409" s="346"/>
    </row>
    <row r="410" spans="2:14" x14ac:dyDescent="0.25">
      <c r="B410" s="14"/>
      <c r="C410" s="51"/>
      <c r="D410" s="52"/>
      <c r="E410" s="42"/>
      <c r="F410" s="53"/>
      <c r="G410" s="40"/>
      <c r="H410" s="40"/>
      <c r="I410" s="54"/>
      <c r="J410" s="55"/>
      <c r="K410" s="55"/>
      <c r="L410" s="56"/>
      <c r="M410" s="57"/>
      <c r="N410" s="346"/>
    </row>
    <row r="411" spans="2:14" x14ac:dyDescent="0.25">
      <c r="B411" s="14"/>
      <c r="C411" s="51"/>
      <c r="D411" s="52"/>
      <c r="E411" s="42"/>
      <c r="F411" s="53"/>
      <c r="G411" s="40"/>
      <c r="H411" s="40"/>
      <c r="I411" s="54"/>
      <c r="J411" s="55"/>
      <c r="K411" s="55"/>
      <c r="L411" s="56"/>
      <c r="M411" s="57"/>
      <c r="N411" s="346"/>
    </row>
    <row r="412" spans="2:14" x14ac:dyDescent="0.25">
      <c r="B412" s="14"/>
      <c r="C412" s="51"/>
      <c r="D412" s="52"/>
      <c r="E412" s="42"/>
      <c r="F412" s="53"/>
      <c r="G412" s="40"/>
      <c r="H412" s="40"/>
      <c r="I412" s="54"/>
      <c r="J412" s="55"/>
      <c r="K412" s="55"/>
      <c r="L412" s="56"/>
      <c r="M412" s="57"/>
      <c r="N412" s="346"/>
    </row>
    <row r="413" spans="2:14" x14ac:dyDescent="0.25">
      <c r="B413" s="14"/>
      <c r="C413" s="51"/>
      <c r="D413" s="52"/>
      <c r="E413" s="42"/>
      <c r="F413" s="53"/>
      <c r="G413" s="40"/>
      <c r="H413" s="40"/>
      <c r="I413" s="54"/>
      <c r="J413" s="55"/>
      <c r="K413" s="55"/>
      <c r="L413" s="56"/>
      <c r="M413" s="57"/>
      <c r="N413" s="346"/>
    </row>
    <row r="414" spans="2:14" x14ac:dyDescent="0.25">
      <c r="B414" s="14"/>
      <c r="C414" s="51"/>
      <c r="D414" s="52"/>
      <c r="E414" s="42"/>
      <c r="F414" s="53"/>
      <c r="G414" s="40"/>
      <c r="H414" s="40"/>
      <c r="I414" s="54"/>
      <c r="J414" s="55"/>
      <c r="K414" s="55"/>
      <c r="L414" s="56"/>
      <c r="M414" s="57"/>
      <c r="N414" s="346"/>
    </row>
    <row r="415" spans="2:14" x14ac:dyDescent="0.25">
      <c r="B415" s="14"/>
      <c r="C415" s="51"/>
      <c r="D415" s="52"/>
      <c r="E415" s="42"/>
      <c r="F415" s="53"/>
      <c r="G415" s="40"/>
      <c r="H415" s="40"/>
      <c r="I415" s="54"/>
      <c r="J415" s="55"/>
      <c r="K415" s="55"/>
      <c r="L415" s="56"/>
      <c r="M415" s="57"/>
      <c r="N415" s="346"/>
    </row>
    <row r="416" spans="2:14" x14ac:dyDescent="0.25">
      <c r="B416" s="14"/>
      <c r="C416" s="51"/>
      <c r="D416" s="52"/>
      <c r="E416" s="42"/>
      <c r="F416" s="53"/>
      <c r="G416" s="40"/>
      <c r="H416" s="40"/>
      <c r="I416" s="54"/>
      <c r="J416" s="55"/>
      <c r="K416" s="55"/>
      <c r="L416" s="56"/>
      <c r="M416" s="57"/>
      <c r="N416" s="346"/>
    </row>
    <row r="417" spans="2:14" x14ac:dyDescent="0.25">
      <c r="B417" s="14"/>
      <c r="C417" s="51"/>
      <c r="D417" s="52"/>
      <c r="E417" s="42"/>
      <c r="F417" s="53"/>
      <c r="G417" s="40"/>
      <c r="H417" s="40"/>
      <c r="I417" s="54"/>
      <c r="J417" s="55"/>
      <c r="K417" s="55"/>
      <c r="L417" s="56"/>
      <c r="M417" s="57"/>
      <c r="N417" s="346"/>
    </row>
    <row r="418" spans="2:14" x14ac:dyDescent="0.25">
      <c r="B418" s="14"/>
      <c r="C418" s="51"/>
      <c r="D418" s="52"/>
      <c r="E418" s="42"/>
      <c r="F418" s="53"/>
      <c r="G418" s="40"/>
      <c r="H418" s="40"/>
      <c r="I418" s="54"/>
      <c r="J418" s="55"/>
      <c r="K418" s="55"/>
      <c r="L418" s="56"/>
      <c r="M418" s="57"/>
      <c r="N418" s="346"/>
    </row>
    <row r="419" spans="2:14" x14ac:dyDescent="0.25">
      <c r="B419" s="14"/>
      <c r="C419" s="51"/>
      <c r="D419" s="52"/>
      <c r="E419" s="42"/>
      <c r="F419" s="53"/>
      <c r="G419" s="40"/>
      <c r="H419" s="40"/>
      <c r="I419" s="54"/>
      <c r="J419" s="55"/>
      <c r="K419" s="55"/>
      <c r="L419" s="56"/>
      <c r="M419" s="57"/>
      <c r="N419" s="346"/>
    </row>
    <row r="420" spans="2:14" x14ac:dyDescent="0.25">
      <c r="B420" s="14"/>
      <c r="C420" s="51"/>
      <c r="D420" s="52"/>
      <c r="E420" s="42"/>
      <c r="F420" s="53"/>
      <c r="G420" s="40"/>
      <c r="H420" s="40"/>
      <c r="I420" s="54"/>
      <c r="J420" s="55"/>
      <c r="K420" s="55"/>
      <c r="L420" s="56"/>
      <c r="M420" s="57"/>
      <c r="N420" s="346"/>
    </row>
    <row r="421" spans="2:14" x14ac:dyDescent="0.25">
      <c r="B421" s="14"/>
      <c r="C421" s="51"/>
      <c r="D421" s="52"/>
      <c r="E421" s="42"/>
      <c r="F421" s="53"/>
      <c r="G421" s="40"/>
      <c r="H421" s="40"/>
      <c r="I421" s="54"/>
      <c r="J421" s="55"/>
      <c r="K421" s="55"/>
      <c r="L421" s="56"/>
      <c r="M421" s="57"/>
      <c r="N421" s="346"/>
    </row>
    <row r="422" spans="2:14" x14ac:dyDescent="0.25">
      <c r="B422" s="14"/>
      <c r="C422" s="51"/>
      <c r="D422" s="52"/>
      <c r="E422" s="42"/>
      <c r="F422" s="53"/>
      <c r="G422" s="40"/>
      <c r="H422" s="40"/>
      <c r="I422" s="54"/>
      <c r="J422" s="55"/>
      <c r="K422" s="55"/>
      <c r="L422" s="56"/>
      <c r="M422" s="57"/>
      <c r="N422" s="346"/>
    </row>
    <row r="423" spans="2:14" x14ac:dyDescent="0.25">
      <c r="B423" s="14"/>
      <c r="C423" s="51"/>
      <c r="D423" s="52"/>
      <c r="E423" s="42"/>
      <c r="F423" s="53"/>
      <c r="G423" s="40"/>
      <c r="H423" s="40"/>
      <c r="I423" s="54"/>
      <c r="J423" s="55"/>
      <c r="K423" s="55"/>
      <c r="L423" s="56"/>
      <c r="M423" s="57"/>
      <c r="N423" s="346"/>
    </row>
    <row r="424" spans="2:14" x14ac:dyDescent="0.25">
      <c r="B424" s="14"/>
      <c r="C424" s="51"/>
      <c r="D424" s="52"/>
      <c r="E424" s="42"/>
      <c r="F424" s="53"/>
      <c r="G424" s="40"/>
      <c r="H424" s="40"/>
      <c r="I424" s="54"/>
      <c r="J424" s="55"/>
      <c r="K424" s="55"/>
      <c r="L424" s="56"/>
      <c r="M424" s="57"/>
      <c r="N424" s="346"/>
    </row>
    <row r="425" spans="2:14" x14ac:dyDescent="0.25">
      <c r="B425" s="14"/>
      <c r="C425" s="51"/>
      <c r="D425" s="52"/>
      <c r="E425" s="42"/>
      <c r="F425" s="53"/>
      <c r="G425" s="40"/>
      <c r="H425" s="40"/>
      <c r="I425" s="54"/>
      <c r="J425" s="55"/>
      <c r="K425" s="55"/>
      <c r="L425" s="56"/>
      <c r="M425" s="57"/>
      <c r="N425" s="346"/>
    </row>
    <row r="426" spans="2:14" x14ac:dyDescent="0.25">
      <c r="B426" s="14"/>
      <c r="C426" s="51"/>
      <c r="D426" s="52"/>
      <c r="E426" s="42"/>
      <c r="F426" s="53"/>
      <c r="G426" s="40"/>
      <c r="H426" s="40"/>
      <c r="I426" s="54"/>
      <c r="J426" s="55"/>
      <c r="K426" s="55"/>
      <c r="L426" s="56"/>
      <c r="M426" s="57"/>
      <c r="N426" s="346"/>
    </row>
    <row r="427" spans="2:14" x14ac:dyDescent="0.25">
      <c r="B427" s="14"/>
      <c r="C427" s="51"/>
      <c r="D427" s="52"/>
      <c r="E427" s="42"/>
      <c r="F427" s="53"/>
      <c r="G427" s="40"/>
      <c r="H427" s="40"/>
      <c r="I427" s="54"/>
      <c r="J427" s="55"/>
      <c r="K427" s="55"/>
      <c r="L427" s="56"/>
      <c r="M427" s="57"/>
      <c r="N427" s="346"/>
    </row>
    <row r="428" spans="2:14" x14ac:dyDescent="0.25">
      <c r="B428" s="14"/>
      <c r="C428" s="51"/>
      <c r="D428" s="52"/>
      <c r="E428" s="42"/>
      <c r="F428" s="53"/>
      <c r="G428" s="40"/>
      <c r="H428" s="40"/>
      <c r="I428" s="54"/>
      <c r="J428" s="55"/>
      <c r="K428" s="55"/>
      <c r="L428" s="56"/>
      <c r="M428" s="57"/>
      <c r="N428" s="346"/>
    </row>
    <row r="429" spans="2:14" x14ac:dyDescent="0.25">
      <c r="B429" s="14"/>
      <c r="C429" s="51"/>
      <c r="D429" s="52"/>
      <c r="E429" s="42"/>
      <c r="F429" s="53"/>
      <c r="G429" s="40"/>
      <c r="H429" s="40"/>
      <c r="I429" s="54"/>
      <c r="J429" s="55"/>
      <c r="K429" s="55"/>
      <c r="L429" s="56"/>
      <c r="M429" s="57"/>
      <c r="N429" s="346"/>
    </row>
    <row r="430" spans="2:14" x14ac:dyDescent="0.25">
      <c r="B430" s="14"/>
      <c r="C430" s="51"/>
      <c r="D430" s="52"/>
      <c r="E430" s="42"/>
      <c r="F430" s="53"/>
      <c r="G430" s="40"/>
      <c r="H430" s="40"/>
      <c r="I430" s="54"/>
      <c r="J430" s="55"/>
      <c r="K430" s="55"/>
      <c r="L430" s="56"/>
      <c r="M430" s="57"/>
      <c r="N430" s="346"/>
    </row>
    <row r="431" spans="2:14" x14ac:dyDescent="0.25">
      <c r="B431" s="14"/>
      <c r="C431" s="51"/>
      <c r="D431" s="52"/>
      <c r="E431" s="42"/>
      <c r="F431" s="53"/>
      <c r="G431" s="40"/>
      <c r="H431" s="40"/>
      <c r="I431" s="54"/>
      <c r="J431" s="55"/>
      <c r="K431" s="55"/>
      <c r="L431" s="56"/>
      <c r="M431" s="57"/>
      <c r="N431" s="346"/>
    </row>
    <row r="432" spans="2:14" x14ac:dyDescent="0.25">
      <c r="B432" s="14"/>
      <c r="C432" s="51"/>
      <c r="D432" s="52"/>
      <c r="E432" s="42"/>
      <c r="F432" s="53"/>
      <c r="G432" s="40"/>
      <c r="H432" s="40"/>
      <c r="I432" s="54"/>
      <c r="J432" s="55"/>
      <c r="K432" s="55"/>
      <c r="L432" s="56"/>
      <c r="M432" s="57"/>
      <c r="N432" s="346"/>
    </row>
    <row r="433" spans="2:14" x14ac:dyDescent="0.25">
      <c r="B433" s="14"/>
      <c r="C433" s="51"/>
      <c r="D433" s="52"/>
      <c r="E433" s="42"/>
      <c r="F433" s="53"/>
      <c r="G433" s="40"/>
      <c r="H433" s="40"/>
      <c r="I433" s="54"/>
      <c r="J433" s="55"/>
      <c r="K433" s="55"/>
      <c r="L433" s="56"/>
      <c r="M433" s="57"/>
      <c r="N433" s="346"/>
    </row>
    <row r="434" spans="2:14" x14ac:dyDescent="0.25">
      <c r="B434" s="14"/>
      <c r="C434" s="51"/>
      <c r="D434" s="52"/>
      <c r="E434" s="42"/>
      <c r="F434" s="53"/>
      <c r="G434" s="40"/>
      <c r="H434" s="40"/>
      <c r="I434" s="54"/>
      <c r="J434" s="55"/>
      <c r="K434" s="55"/>
      <c r="L434" s="56"/>
      <c r="M434" s="57"/>
      <c r="N434" s="346"/>
    </row>
    <row r="435" spans="2:14" x14ac:dyDescent="0.25">
      <c r="B435" s="14"/>
      <c r="C435" s="51"/>
      <c r="D435" s="52"/>
      <c r="E435" s="42"/>
      <c r="F435" s="53"/>
      <c r="G435" s="40"/>
      <c r="H435" s="40"/>
      <c r="I435" s="54"/>
      <c r="J435" s="55"/>
      <c r="K435" s="55"/>
      <c r="L435" s="56"/>
      <c r="M435" s="57"/>
      <c r="N435" s="346"/>
    </row>
    <row r="436" spans="2:14" x14ac:dyDescent="0.25">
      <c r="B436" s="14"/>
      <c r="C436" s="51"/>
      <c r="D436" s="52"/>
      <c r="E436" s="42"/>
      <c r="F436" s="53"/>
      <c r="G436" s="40"/>
      <c r="H436" s="40"/>
      <c r="I436" s="54"/>
      <c r="J436" s="55"/>
      <c r="K436" s="55"/>
      <c r="L436" s="56"/>
      <c r="M436" s="57"/>
      <c r="N436" s="346"/>
    </row>
    <row r="437" spans="2:14" x14ac:dyDescent="0.25">
      <c r="B437" s="14"/>
      <c r="C437" s="51"/>
      <c r="D437" s="52"/>
      <c r="E437" s="42"/>
      <c r="F437" s="53"/>
      <c r="G437" s="40"/>
      <c r="H437" s="40"/>
      <c r="I437" s="54"/>
      <c r="J437" s="55"/>
      <c r="K437" s="55"/>
      <c r="L437" s="56"/>
      <c r="M437" s="57"/>
      <c r="N437" s="346"/>
    </row>
    <row r="438" spans="2:14" x14ac:dyDescent="0.25">
      <c r="B438" s="14"/>
      <c r="C438" s="51"/>
      <c r="D438" s="52"/>
      <c r="E438" s="42"/>
      <c r="F438" s="53"/>
      <c r="G438" s="40"/>
      <c r="H438" s="40"/>
      <c r="I438" s="54"/>
      <c r="J438" s="55"/>
      <c r="K438" s="55"/>
      <c r="L438" s="56"/>
      <c r="M438" s="57"/>
      <c r="N438" s="346"/>
    </row>
    <row r="439" spans="2:14" x14ac:dyDescent="0.25">
      <c r="B439" s="14"/>
      <c r="C439" s="51"/>
      <c r="D439" s="52"/>
      <c r="E439" s="42"/>
      <c r="F439" s="53"/>
      <c r="G439" s="40"/>
      <c r="H439" s="40"/>
      <c r="I439" s="54"/>
      <c r="J439" s="55"/>
      <c r="K439" s="55"/>
      <c r="L439" s="56"/>
      <c r="M439" s="57"/>
      <c r="N439" s="346"/>
    </row>
    <row r="440" spans="2:14" x14ac:dyDescent="0.25">
      <c r="B440" s="14"/>
      <c r="C440" s="51"/>
      <c r="D440" s="52"/>
      <c r="E440" s="42"/>
      <c r="F440" s="53"/>
      <c r="G440" s="40"/>
      <c r="H440" s="40"/>
      <c r="I440" s="54"/>
      <c r="J440" s="55"/>
      <c r="K440" s="55"/>
      <c r="L440" s="56"/>
      <c r="M440" s="57"/>
      <c r="N440" s="346"/>
    </row>
    <row r="441" spans="2:14" x14ac:dyDescent="0.25">
      <c r="B441" s="14"/>
      <c r="C441" s="51"/>
      <c r="D441" s="52"/>
      <c r="E441" s="42"/>
      <c r="F441" s="53"/>
      <c r="G441" s="40"/>
      <c r="H441" s="40"/>
      <c r="I441" s="54"/>
      <c r="J441" s="55"/>
      <c r="K441" s="55"/>
      <c r="L441" s="56"/>
      <c r="M441" s="57"/>
      <c r="N441" s="346"/>
    </row>
    <row r="442" spans="2:14" x14ac:dyDescent="0.25">
      <c r="B442" s="14"/>
      <c r="C442" s="51"/>
      <c r="D442" s="52"/>
      <c r="E442" s="42"/>
      <c r="F442" s="53"/>
      <c r="G442" s="40"/>
      <c r="H442" s="40"/>
      <c r="I442" s="54"/>
      <c r="J442" s="55"/>
      <c r="K442" s="55"/>
      <c r="L442" s="56"/>
      <c r="M442" s="57"/>
      <c r="N442" s="346"/>
    </row>
    <row r="443" spans="2:14" x14ac:dyDescent="0.25">
      <c r="B443" s="14"/>
      <c r="C443" s="51"/>
      <c r="D443" s="52"/>
      <c r="E443" s="42"/>
      <c r="F443" s="53"/>
      <c r="G443" s="40"/>
      <c r="H443" s="40"/>
      <c r="I443" s="54"/>
      <c r="J443" s="55"/>
      <c r="K443" s="55"/>
      <c r="L443" s="56"/>
      <c r="M443" s="57"/>
      <c r="N443" s="346"/>
    </row>
    <row r="444" spans="2:14" x14ac:dyDescent="0.25">
      <c r="B444" s="14"/>
      <c r="C444" s="51"/>
      <c r="D444" s="52"/>
      <c r="E444" s="42"/>
      <c r="F444" s="53"/>
      <c r="G444" s="40"/>
      <c r="H444" s="40"/>
      <c r="I444" s="54"/>
      <c r="J444" s="55"/>
      <c r="K444" s="55"/>
      <c r="L444" s="56"/>
      <c r="M444" s="57"/>
      <c r="N444" s="346"/>
    </row>
    <row r="445" spans="2:14" x14ac:dyDescent="0.25">
      <c r="B445" s="14"/>
      <c r="C445" s="51"/>
      <c r="D445" s="52"/>
      <c r="E445" s="42"/>
      <c r="F445" s="53"/>
      <c r="G445" s="40"/>
      <c r="H445" s="40"/>
      <c r="I445" s="54"/>
      <c r="J445" s="55"/>
      <c r="K445" s="55"/>
      <c r="L445" s="56"/>
      <c r="M445" s="57"/>
      <c r="N445" s="346"/>
    </row>
    <row r="446" spans="2:14" x14ac:dyDescent="0.25">
      <c r="B446" s="14"/>
      <c r="C446" s="51"/>
      <c r="D446" s="52"/>
      <c r="E446" s="42"/>
      <c r="F446" s="53"/>
      <c r="G446" s="40"/>
      <c r="H446" s="40"/>
      <c r="I446" s="54"/>
      <c r="J446" s="55"/>
      <c r="K446" s="55"/>
      <c r="L446" s="56"/>
      <c r="M446" s="57"/>
      <c r="N446" s="346"/>
    </row>
    <row r="447" spans="2:14" x14ac:dyDescent="0.25">
      <c r="B447" s="14"/>
      <c r="C447" s="51"/>
      <c r="D447" s="52"/>
      <c r="E447" s="42"/>
      <c r="F447" s="53"/>
      <c r="G447" s="40"/>
      <c r="H447" s="40"/>
      <c r="I447" s="54"/>
      <c r="J447" s="55"/>
      <c r="K447" s="55"/>
      <c r="L447" s="56"/>
      <c r="M447" s="57"/>
      <c r="N447" s="346"/>
    </row>
    <row r="448" spans="2:14" x14ac:dyDescent="0.25">
      <c r="B448" s="14"/>
      <c r="C448" s="51"/>
      <c r="D448" s="52"/>
      <c r="E448" s="42"/>
      <c r="F448" s="53"/>
      <c r="G448" s="40"/>
      <c r="H448" s="40"/>
      <c r="I448" s="54"/>
      <c r="J448" s="55"/>
      <c r="K448" s="55"/>
      <c r="L448" s="56"/>
      <c r="M448" s="57"/>
      <c r="N448" s="346"/>
    </row>
    <row r="449" spans="2:14" x14ac:dyDescent="0.25">
      <c r="B449" s="14"/>
      <c r="C449" s="51"/>
      <c r="D449" s="52"/>
      <c r="E449" s="42"/>
      <c r="F449" s="53"/>
      <c r="G449" s="40"/>
      <c r="H449" s="40"/>
      <c r="I449" s="54"/>
      <c r="J449" s="55"/>
      <c r="K449" s="55"/>
      <c r="L449" s="56"/>
      <c r="M449" s="57"/>
      <c r="N449" s="346"/>
    </row>
    <row r="450" spans="2:14" x14ac:dyDescent="0.25">
      <c r="B450" s="14"/>
      <c r="C450" s="51"/>
      <c r="D450" s="52"/>
      <c r="E450" s="42"/>
      <c r="F450" s="53"/>
      <c r="G450" s="40"/>
      <c r="H450" s="40"/>
      <c r="I450" s="54"/>
      <c r="J450" s="55"/>
      <c r="K450" s="55"/>
      <c r="L450" s="56"/>
      <c r="M450" s="57"/>
      <c r="N450" s="346"/>
    </row>
    <row r="451" spans="2:14" x14ac:dyDescent="0.25">
      <c r="B451" s="14"/>
      <c r="C451" s="51"/>
      <c r="D451" s="52"/>
      <c r="E451" s="42"/>
      <c r="F451" s="53"/>
      <c r="G451" s="40"/>
      <c r="H451" s="40"/>
      <c r="I451" s="54"/>
      <c r="J451" s="55"/>
      <c r="K451" s="55"/>
      <c r="L451" s="56"/>
      <c r="M451" s="57"/>
      <c r="N451" s="346"/>
    </row>
    <row r="452" spans="2:14" x14ac:dyDescent="0.25">
      <c r="B452" s="14"/>
      <c r="C452" s="51"/>
      <c r="D452" s="52"/>
      <c r="E452" s="42"/>
      <c r="F452" s="53"/>
      <c r="G452" s="40"/>
      <c r="H452" s="40"/>
      <c r="I452" s="54"/>
      <c r="J452" s="55"/>
      <c r="K452" s="55"/>
      <c r="L452" s="56"/>
      <c r="M452" s="57"/>
      <c r="N452" s="346"/>
    </row>
    <row r="453" spans="2:14" x14ac:dyDescent="0.25">
      <c r="B453" s="14"/>
      <c r="C453" s="51"/>
      <c r="D453" s="52"/>
      <c r="E453" s="42"/>
      <c r="F453" s="53"/>
      <c r="G453" s="40"/>
      <c r="H453" s="40"/>
      <c r="I453" s="54"/>
      <c r="J453" s="55"/>
      <c r="K453" s="55"/>
      <c r="L453" s="56"/>
      <c r="M453" s="57"/>
      <c r="N453" s="346"/>
    </row>
    <row r="454" spans="2:14" x14ac:dyDescent="0.25">
      <c r="B454" s="14"/>
      <c r="C454" s="51"/>
      <c r="D454" s="52"/>
      <c r="E454" s="42"/>
      <c r="F454" s="53"/>
      <c r="G454" s="40"/>
      <c r="H454" s="40"/>
      <c r="I454" s="54"/>
      <c r="J454" s="55"/>
      <c r="K454" s="55"/>
      <c r="L454" s="56"/>
      <c r="M454" s="57"/>
      <c r="N454" s="346"/>
    </row>
    <row r="455" spans="2:14" x14ac:dyDescent="0.25">
      <c r="B455" s="14"/>
      <c r="C455" s="51"/>
      <c r="D455" s="52"/>
      <c r="E455" s="42"/>
      <c r="F455" s="53"/>
      <c r="G455" s="40"/>
      <c r="H455" s="40"/>
      <c r="I455" s="54"/>
      <c r="J455" s="55"/>
      <c r="K455" s="55"/>
      <c r="L455" s="56"/>
      <c r="M455" s="57"/>
      <c r="N455" s="346"/>
    </row>
    <row r="456" spans="2:14" x14ac:dyDescent="0.25">
      <c r="B456" s="14"/>
      <c r="C456" s="51"/>
      <c r="D456" s="52"/>
      <c r="E456" s="42"/>
      <c r="F456" s="53"/>
      <c r="G456" s="40"/>
      <c r="H456" s="40"/>
      <c r="I456" s="54"/>
      <c r="J456" s="55"/>
      <c r="K456" s="55"/>
      <c r="L456" s="56"/>
      <c r="M456" s="57"/>
      <c r="N456" s="346"/>
    </row>
    <row r="457" spans="2:14" x14ac:dyDescent="0.25">
      <c r="B457" s="14"/>
      <c r="C457" s="51"/>
      <c r="D457" s="52"/>
      <c r="E457" s="42"/>
      <c r="F457" s="53"/>
      <c r="G457" s="40"/>
      <c r="H457" s="40"/>
      <c r="I457" s="54"/>
      <c r="J457" s="55"/>
      <c r="K457" s="55"/>
      <c r="L457" s="56"/>
      <c r="M457" s="57"/>
      <c r="N457" s="346"/>
    </row>
    <row r="458" spans="2:14" x14ac:dyDescent="0.25">
      <c r="B458" s="14"/>
      <c r="C458" s="51"/>
      <c r="D458" s="52"/>
      <c r="E458" s="42"/>
      <c r="F458" s="53"/>
      <c r="G458" s="40"/>
      <c r="H458" s="40"/>
      <c r="I458" s="54"/>
      <c r="J458" s="55"/>
      <c r="K458" s="55"/>
      <c r="L458" s="56"/>
      <c r="M458" s="57"/>
      <c r="N458" s="346"/>
    </row>
    <row r="459" spans="2:14" x14ac:dyDescent="0.25">
      <c r="B459" s="14"/>
      <c r="C459" s="51"/>
      <c r="D459" s="52"/>
      <c r="E459" s="42"/>
      <c r="F459" s="53"/>
      <c r="G459" s="40"/>
      <c r="H459" s="40"/>
      <c r="I459" s="54"/>
      <c r="J459" s="55"/>
      <c r="K459" s="55"/>
      <c r="L459" s="56"/>
      <c r="M459" s="57"/>
      <c r="N459" s="346"/>
    </row>
    <row r="460" spans="2:14" x14ac:dyDescent="0.25">
      <c r="B460" s="14"/>
      <c r="C460" s="51"/>
      <c r="D460" s="52"/>
      <c r="E460" s="42"/>
      <c r="F460" s="53"/>
      <c r="G460" s="40"/>
      <c r="H460" s="40"/>
      <c r="I460" s="54"/>
      <c r="J460" s="55"/>
      <c r="K460" s="55"/>
      <c r="L460" s="56"/>
      <c r="M460" s="57"/>
      <c r="N460" s="346"/>
    </row>
    <row r="461" spans="2:14" x14ac:dyDescent="0.25">
      <c r="B461" s="14"/>
      <c r="C461" s="51"/>
      <c r="D461" s="52"/>
      <c r="E461" s="42"/>
      <c r="F461" s="53"/>
      <c r="G461" s="40"/>
      <c r="H461" s="40"/>
      <c r="I461" s="54"/>
      <c r="J461" s="55"/>
      <c r="K461" s="55"/>
      <c r="L461" s="56"/>
      <c r="M461" s="57"/>
      <c r="N461" s="346"/>
    </row>
    <row r="462" spans="2:14" x14ac:dyDescent="0.25">
      <c r="B462" s="14"/>
      <c r="C462" s="51"/>
      <c r="D462" s="52"/>
      <c r="E462" s="42"/>
      <c r="F462" s="53"/>
      <c r="G462" s="40"/>
      <c r="H462" s="40"/>
      <c r="I462" s="54"/>
      <c r="J462" s="55"/>
      <c r="K462" s="55"/>
      <c r="L462" s="56"/>
      <c r="M462" s="57"/>
      <c r="N462" s="346"/>
    </row>
    <row r="463" spans="2:14" x14ac:dyDescent="0.25">
      <c r="B463" s="14"/>
      <c r="C463" s="51"/>
      <c r="D463" s="52"/>
      <c r="E463" s="42"/>
      <c r="F463" s="53"/>
      <c r="G463" s="40"/>
      <c r="H463" s="40"/>
      <c r="I463" s="54"/>
      <c r="J463" s="55"/>
      <c r="K463" s="55"/>
      <c r="L463" s="56"/>
      <c r="M463" s="57"/>
      <c r="N463" s="346"/>
    </row>
    <row r="464" spans="2:14" x14ac:dyDescent="0.25">
      <c r="B464" s="14"/>
      <c r="C464" s="51"/>
      <c r="D464" s="52"/>
      <c r="E464" s="42"/>
      <c r="F464" s="53"/>
      <c r="G464" s="40"/>
      <c r="H464" s="40"/>
      <c r="I464" s="54"/>
      <c r="J464" s="55"/>
      <c r="K464" s="55"/>
      <c r="L464" s="56"/>
      <c r="M464" s="57"/>
      <c r="N464" s="346"/>
    </row>
    <row r="465" spans="2:14" x14ac:dyDescent="0.25">
      <c r="B465" s="14"/>
      <c r="C465" s="51"/>
      <c r="D465" s="52"/>
      <c r="E465" s="42"/>
      <c r="F465" s="53"/>
      <c r="G465" s="40"/>
      <c r="H465" s="40"/>
      <c r="I465" s="54"/>
      <c r="J465" s="55"/>
      <c r="K465" s="55"/>
      <c r="L465" s="56"/>
      <c r="M465" s="57"/>
      <c r="N465" s="346"/>
    </row>
    <row r="466" spans="2:14" x14ac:dyDescent="0.25">
      <c r="B466" s="14"/>
      <c r="C466" s="51"/>
      <c r="D466" s="52"/>
      <c r="E466" s="42"/>
      <c r="F466" s="53"/>
      <c r="G466" s="40"/>
      <c r="H466" s="40"/>
      <c r="I466" s="54"/>
      <c r="J466" s="55"/>
      <c r="K466" s="55"/>
      <c r="L466" s="56"/>
      <c r="M466" s="57"/>
      <c r="N466" s="346"/>
    </row>
    <row r="467" spans="2:14" x14ac:dyDescent="0.25">
      <c r="B467" s="14"/>
      <c r="C467" s="51"/>
      <c r="D467" s="52"/>
      <c r="E467" s="42"/>
      <c r="F467" s="53"/>
      <c r="G467" s="40"/>
      <c r="H467" s="40"/>
      <c r="I467" s="54"/>
      <c r="J467" s="55"/>
      <c r="K467" s="55"/>
      <c r="L467" s="56"/>
      <c r="M467" s="57"/>
      <c r="N467" s="346"/>
    </row>
    <row r="468" spans="2:14" x14ac:dyDescent="0.25">
      <c r="B468" s="14"/>
      <c r="C468" s="51"/>
      <c r="D468" s="52"/>
      <c r="E468" s="42"/>
      <c r="F468" s="53"/>
      <c r="G468" s="40"/>
      <c r="H468" s="40"/>
      <c r="I468" s="54"/>
      <c r="J468" s="55"/>
      <c r="K468" s="55"/>
      <c r="L468" s="56"/>
      <c r="M468" s="57"/>
      <c r="N468" s="346"/>
    </row>
    <row r="469" spans="2:14" x14ac:dyDescent="0.25">
      <c r="B469" s="14"/>
      <c r="C469" s="51"/>
      <c r="D469" s="52"/>
      <c r="E469" s="42"/>
      <c r="F469" s="53"/>
      <c r="G469" s="40"/>
      <c r="H469" s="40"/>
      <c r="I469" s="54"/>
      <c r="J469" s="55"/>
      <c r="K469" s="55"/>
      <c r="L469" s="56"/>
      <c r="M469" s="57"/>
      <c r="N469" s="346"/>
    </row>
    <row r="470" spans="2:14" x14ac:dyDescent="0.25">
      <c r="B470" s="14"/>
      <c r="C470" s="51"/>
      <c r="D470" s="52"/>
      <c r="E470" s="42"/>
      <c r="F470" s="53"/>
      <c r="G470" s="40"/>
      <c r="H470" s="40"/>
      <c r="I470" s="54"/>
      <c r="J470" s="55"/>
      <c r="K470" s="55"/>
      <c r="L470" s="56"/>
      <c r="M470" s="57"/>
      <c r="N470" s="346"/>
    </row>
    <row r="471" spans="2:14" x14ac:dyDescent="0.25">
      <c r="B471" s="14"/>
      <c r="C471" s="51"/>
      <c r="D471" s="52"/>
      <c r="E471" s="42"/>
      <c r="F471" s="53"/>
      <c r="G471" s="40"/>
      <c r="H471" s="40"/>
      <c r="I471" s="54"/>
      <c r="J471" s="55"/>
      <c r="K471" s="55"/>
      <c r="L471" s="56"/>
      <c r="M471" s="57"/>
      <c r="N471" s="346"/>
    </row>
    <row r="472" spans="2:14" x14ac:dyDescent="0.25">
      <c r="B472" s="14"/>
      <c r="C472" s="51"/>
      <c r="D472" s="52"/>
      <c r="E472" s="42"/>
      <c r="F472" s="53"/>
      <c r="G472" s="40"/>
      <c r="H472" s="40"/>
      <c r="I472" s="54"/>
      <c r="J472" s="55"/>
      <c r="K472" s="55"/>
      <c r="L472" s="56"/>
      <c r="M472" s="57"/>
      <c r="N472" s="346"/>
    </row>
    <row r="473" spans="2:14" x14ac:dyDescent="0.25">
      <c r="B473" s="14"/>
      <c r="C473" s="51"/>
      <c r="D473" s="52"/>
      <c r="E473" s="42"/>
      <c r="F473" s="53"/>
      <c r="G473" s="40"/>
      <c r="H473" s="40"/>
      <c r="I473" s="54"/>
      <c r="J473" s="55"/>
      <c r="K473" s="55"/>
      <c r="L473" s="56"/>
      <c r="M473" s="57"/>
      <c r="N473" s="346"/>
    </row>
    <row r="474" spans="2:14" x14ac:dyDescent="0.25">
      <c r="B474" s="14"/>
      <c r="C474" s="51"/>
      <c r="D474" s="52"/>
      <c r="E474" s="42"/>
      <c r="F474" s="53"/>
      <c r="G474" s="40"/>
      <c r="H474" s="40"/>
      <c r="I474" s="54"/>
      <c r="J474" s="55"/>
      <c r="K474" s="55"/>
      <c r="L474" s="56"/>
      <c r="M474" s="57"/>
      <c r="N474" s="346"/>
    </row>
    <row r="475" spans="2:14" x14ac:dyDescent="0.25">
      <c r="B475" s="14"/>
      <c r="C475" s="51"/>
      <c r="D475" s="52"/>
      <c r="E475" s="42"/>
      <c r="F475" s="53"/>
      <c r="G475" s="40"/>
      <c r="H475" s="40"/>
      <c r="I475" s="54"/>
      <c r="J475" s="55"/>
      <c r="K475" s="55"/>
      <c r="L475" s="56"/>
      <c r="M475" s="57"/>
      <c r="N475" s="346"/>
    </row>
    <row r="476" spans="2:14" x14ac:dyDescent="0.25">
      <c r="B476" s="14"/>
      <c r="C476" s="51"/>
      <c r="D476" s="52"/>
      <c r="E476" s="42"/>
      <c r="F476" s="53"/>
      <c r="G476" s="40"/>
      <c r="H476" s="40"/>
      <c r="I476" s="54"/>
      <c r="J476" s="55"/>
      <c r="K476" s="55"/>
      <c r="L476" s="56"/>
      <c r="M476" s="57"/>
      <c r="N476" s="346"/>
    </row>
    <row r="477" spans="2:14" x14ac:dyDescent="0.25">
      <c r="B477" s="14"/>
      <c r="C477" s="51"/>
      <c r="D477" s="52"/>
      <c r="E477" s="42"/>
      <c r="F477" s="53"/>
      <c r="G477" s="40"/>
      <c r="H477" s="40"/>
      <c r="I477" s="54"/>
      <c r="J477" s="55"/>
      <c r="K477" s="55"/>
      <c r="L477" s="56"/>
      <c r="M477" s="57"/>
      <c r="N477" s="346"/>
    </row>
    <row r="478" spans="2:14" x14ac:dyDescent="0.25">
      <c r="B478" s="14"/>
      <c r="C478" s="51"/>
      <c r="D478" s="52"/>
      <c r="E478" s="42"/>
      <c r="F478" s="53"/>
      <c r="G478" s="40"/>
      <c r="H478" s="40"/>
      <c r="I478" s="54"/>
      <c r="J478" s="55"/>
      <c r="K478" s="55"/>
      <c r="L478" s="56"/>
      <c r="M478" s="57"/>
      <c r="N478" s="346"/>
    </row>
    <row r="479" spans="2:14" x14ac:dyDescent="0.25">
      <c r="B479" s="14"/>
      <c r="C479" s="51"/>
      <c r="D479" s="52"/>
      <c r="E479" s="42"/>
      <c r="F479" s="53"/>
      <c r="G479" s="40"/>
      <c r="H479" s="40"/>
      <c r="I479" s="54"/>
      <c r="J479" s="55"/>
      <c r="K479" s="55"/>
      <c r="L479" s="56"/>
      <c r="M479" s="57"/>
      <c r="N479" s="346"/>
    </row>
    <row r="480" spans="2:14" x14ac:dyDescent="0.25">
      <c r="B480" s="14"/>
      <c r="C480" s="51"/>
      <c r="D480" s="52"/>
      <c r="E480" s="42"/>
      <c r="F480" s="53"/>
      <c r="G480" s="40"/>
      <c r="H480" s="40"/>
      <c r="I480" s="54"/>
      <c r="J480" s="55"/>
      <c r="K480" s="55"/>
      <c r="L480" s="56"/>
      <c r="M480" s="57"/>
      <c r="N480" s="346"/>
    </row>
    <row r="481" spans="2:14" x14ac:dyDescent="0.25">
      <c r="B481" s="14"/>
      <c r="C481" s="51"/>
      <c r="D481" s="52"/>
      <c r="E481" s="42"/>
      <c r="F481" s="53"/>
      <c r="G481" s="40"/>
      <c r="H481" s="40"/>
      <c r="I481" s="54"/>
      <c r="J481" s="55"/>
      <c r="K481" s="55"/>
      <c r="L481" s="56"/>
      <c r="M481" s="57"/>
      <c r="N481" s="346"/>
    </row>
    <row r="482" spans="2:14" x14ac:dyDescent="0.25">
      <c r="B482" s="14"/>
      <c r="C482" s="51"/>
      <c r="D482" s="52"/>
      <c r="E482" s="42"/>
      <c r="F482" s="53"/>
      <c r="G482" s="40"/>
      <c r="H482" s="40"/>
      <c r="I482" s="54"/>
      <c r="J482" s="55"/>
      <c r="K482" s="55"/>
      <c r="L482" s="56"/>
      <c r="M482" s="57"/>
      <c r="N482" s="346"/>
    </row>
    <row r="483" spans="2:14" x14ac:dyDescent="0.25">
      <c r="B483" s="14"/>
      <c r="C483" s="51"/>
      <c r="D483" s="52"/>
      <c r="E483" s="42"/>
      <c r="F483" s="53"/>
      <c r="G483" s="40"/>
      <c r="H483" s="40"/>
      <c r="I483" s="54"/>
      <c r="J483" s="55"/>
      <c r="K483" s="55"/>
      <c r="L483" s="56"/>
      <c r="M483" s="57"/>
      <c r="N483" s="346"/>
    </row>
    <row r="484" spans="2:14" x14ac:dyDescent="0.25">
      <c r="B484" s="14"/>
      <c r="C484" s="51"/>
      <c r="D484" s="52"/>
      <c r="E484" s="42"/>
      <c r="F484" s="53"/>
      <c r="G484" s="40"/>
      <c r="H484" s="40"/>
      <c r="I484" s="54"/>
      <c r="J484" s="55"/>
      <c r="K484" s="55"/>
      <c r="L484" s="56"/>
      <c r="M484" s="57"/>
      <c r="N484" s="346"/>
    </row>
    <row r="485" spans="2:14" x14ac:dyDescent="0.25">
      <c r="B485" s="14"/>
      <c r="C485" s="51"/>
      <c r="D485" s="52"/>
      <c r="E485" s="42"/>
      <c r="F485" s="53"/>
      <c r="G485" s="40"/>
      <c r="H485" s="40"/>
      <c r="I485" s="54"/>
      <c r="J485" s="55"/>
      <c r="K485" s="55"/>
      <c r="L485" s="56"/>
      <c r="M485" s="57"/>
      <c r="N485" s="346"/>
    </row>
    <row r="486" spans="2:14" x14ac:dyDescent="0.25">
      <c r="B486" s="14"/>
      <c r="C486" s="51"/>
      <c r="D486" s="52"/>
      <c r="E486" s="42"/>
      <c r="F486" s="53"/>
      <c r="G486" s="40"/>
      <c r="H486" s="40"/>
      <c r="I486" s="54"/>
      <c r="J486" s="55"/>
      <c r="K486" s="55"/>
      <c r="L486" s="56"/>
      <c r="M486" s="57"/>
      <c r="N486" s="346"/>
    </row>
    <row r="487" spans="2:14" x14ac:dyDescent="0.25">
      <c r="B487" s="14"/>
      <c r="C487" s="51"/>
      <c r="D487" s="52"/>
      <c r="E487" s="42"/>
      <c r="F487" s="53"/>
      <c r="G487" s="40"/>
      <c r="H487" s="40"/>
      <c r="I487" s="54"/>
      <c r="J487" s="55"/>
      <c r="K487" s="55"/>
      <c r="L487" s="56"/>
      <c r="M487" s="57"/>
      <c r="N487" s="346"/>
    </row>
    <row r="488" spans="2:14" x14ac:dyDescent="0.25">
      <c r="B488" s="14"/>
      <c r="C488" s="51"/>
      <c r="D488" s="52"/>
      <c r="E488" s="42"/>
      <c r="F488" s="53"/>
      <c r="G488" s="40"/>
      <c r="H488" s="40"/>
      <c r="I488" s="54"/>
      <c r="J488" s="55"/>
      <c r="K488" s="55"/>
      <c r="L488" s="56"/>
      <c r="M488" s="57"/>
      <c r="N488" s="346"/>
    </row>
    <row r="489" spans="2:14" x14ac:dyDescent="0.25">
      <c r="B489" s="14"/>
      <c r="C489" s="51"/>
      <c r="D489" s="52"/>
      <c r="E489" s="42"/>
      <c r="F489" s="53"/>
      <c r="G489" s="40"/>
      <c r="H489" s="40"/>
      <c r="I489" s="54"/>
      <c r="J489" s="55"/>
      <c r="K489" s="55"/>
      <c r="L489" s="56"/>
      <c r="M489" s="57"/>
      <c r="N489" s="346"/>
    </row>
    <row r="490" spans="2:14" x14ac:dyDescent="0.25">
      <c r="B490" s="14"/>
      <c r="C490" s="51"/>
      <c r="D490" s="52"/>
      <c r="E490" s="42"/>
      <c r="F490" s="53"/>
      <c r="G490" s="40"/>
      <c r="H490" s="40"/>
      <c r="I490" s="54"/>
      <c r="J490" s="55"/>
      <c r="K490" s="55"/>
      <c r="L490" s="56"/>
      <c r="M490" s="57"/>
      <c r="N490" s="346"/>
    </row>
    <row r="491" spans="2:14" x14ac:dyDescent="0.25">
      <c r="B491" s="14"/>
      <c r="C491" s="51"/>
      <c r="D491" s="52"/>
      <c r="E491" s="42"/>
      <c r="F491" s="53"/>
      <c r="G491" s="40"/>
      <c r="H491" s="40"/>
      <c r="I491" s="54"/>
      <c r="J491" s="55"/>
      <c r="K491" s="55"/>
      <c r="L491" s="56"/>
      <c r="M491" s="57"/>
      <c r="N491" s="346"/>
    </row>
    <row r="492" spans="2:14" x14ac:dyDescent="0.25">
      <c r="B492" s="14"/>
      <c r="C492" s="51"/>
      <c r="D492" s="52"/>
      <c r="E492" s="42"/>
      <c r="F492" s="53"/>
      <c r="G492" s="40"/>
      <c r="H492" s="40"/>
      <c r="I492" s="54"/>
      <c r="J492" s="55"/>
      <c r="K492" s="55"/>
      <c r="L492" s="56"/>
      <c r="M492" s="57"/>
      <c r="N492" s="346"/>
    </row>
    <row r="493" spans="2:14" x14ac:dyDescent="0.25">
      <c r="B493" s="14"/>
      <c r="C493" s="51"/>
      <c r="D493" s="52"/>
      <c r="E493" s="42"/>
      <c r="F493" s="53"/>
      <c r="G493" s="40"/>
      <c r="H493" s="40"/>
      <c r="I493" s="54"/>
      <c r="J493" s="55"/>
      <c r="K493" s="55"/>
      <c r="L493" s="56"/>
      <c r="M493" s="57"/>
      <c r="N493" s="346"/>
    </row>
    <row r="494" spans="2:14" x14ac:dyDescent="0.25">
      <c r="B494" s="14"/>
      <c r="C494" s="51"/>
      <c r="D494" s="52"/>
      <c r="E494" s="42"/>
      <c r="F494" s="53"/>
      <c r="G494" s="40"/>
      <c r="H494" s="40"/>
      <c r="I494" s="54"/>
      <c r="J494" s="55"/>
      <c r="K494" s="55"/>
      <c r="L494" s="56"/>
      <c r="M494" s="57"/>
      <c r="N494" s="346"/>
    </row>
    <row r="495" spans="2:14" x14ac:dyDescent="0.25">
      <c r="B495" s="14"/>
      <c r="C495" s="51"/>
      <c r="D495" s="52"/>
      <c r="E495" s="42"/>
      <c r="F495" s="53"/>
      <c r="G495" s="40"/>
      <c r="H495" s="40"/>
      <c r="I495" s="54"/>
      <c r="J495" s="55"/>
      <c r="K495" s="55"/>
      <c r="L495" s="56"/>
      <c r="M495" s="57"/>
      <c r="N495" s="346"/>
    </row>
    <row r="496" spans="2:14" x14ac:dyDescent="0.25">
      <c r="B496" s="14"/>
      <c r="C496" s="51"/>
      <c r="D496" s="52"/>
      <c r="E496" s="42"/>
      <c r="F496" s="53"/>
      <c r="G496" s="40"/>
      <c r="H496" s="40"/>
      <c r="I496" s="54"/>
      <c r="J496" s="55"/>
      <c r="K496" s="55"/>
      <c r="L496" s="56"/>
      <c r="M496" s="57"/>
      <c r="N496" s="346"/>
    </row>
    <row r="497" spans="2:14" x14ac:dyDescent="0.25">
      <c r="B497" s="14"/>
      <c r="C497" s="51"/>
      <c r="D497" s="52"/>
      <c r="E497" s="42"/>
      <c r="F497" s="53"/>
      <c r="G497" s="40"/>
      <c r="H497" s="40"/>
      <c r="I497" s="54"/>
      <c r="J497" s="55"/>
      <c r="K497" s="55"/>
      <c r="L497" s="56"/>
      <c r="M497" s="57"/>
      <c r="N497" s="346"/>
    </row>
    <row r="498" spans="2:14" x14ac:dyDescent="0.25">
      <c r="B498" s="14"/>
      <c r="C498" s="51"/>
      <c r="D498" s="52"/>
      <c r="E498" s="42"/>
      <c r="F498" s="53"/>
      <c r="G498" s="40"/>
      <c r="H498" s="40"/>
      <c r="I498" s="54"/>
      <c r="J498" s="55"/>
      <c r="K498" s="55"/>
      <c r="L498" s="56"/>
      <c r="M498" s="57"/>
      <c r="N498" s="346"/>
    </row>
    <row r="499" spans="2:14" x14ac:dyDescent="0.25">
      <c r="B499" s="14"/>
      <c r="C499" s="51"/>
      <c r="D499" s="52"/>
      <c r="E499" s="42"/>
      <c r="F499" s="53"/>
      <c r="G499" s="40"/>
      <c r="H499" s="40"/>
      <c r="I499" s="54"/>
      <c r="J499" s="55"/>
      <c r="K499" s="55"/>
      <c r="L499" s="56"/>
      <c r="M499" s="57"/>
      <c r="N499" s="346"/>
    </row>
    <row r="500" spans="2:14" x14ac:dyDescent="0.25">
      <c r="B500" s="14"/>
      <c r="C500" s="51"/>
      <c r="D500" s="52"/>
      <c r="E500" s="42"/>
      <c r="F500" s="53"/>
      <c r="G500" s="40"/>
      <c r="H500" s="40"/>
      <c r="I500" s="54"/>
      <c r="J500" s="55"/>
      <c r="K500" s="55"/>
      <c r="L500" s="56"/>
      <c r="M500" s="57"/>
      <c r="N500" s="346"/>
    </row>
    <row r="501" spans="2:14" x14ac:dyDescent="0.25">
      <c r="B501" s="14"/>
      <c r="C501" s="51"/>
      <c r="D501" s="52"/>
      <c r="E501" s="42"/>
      <c r="F501" s="53"/>
      <c r="G501" s="40"/>
      <c r="H501" s="40"/>
      <c r="I501" s="54"/>
      <c r="J501" s="55"/>
      <c r="K501" s="55"/>
      <c r="L501" s="56"/>
      <c r="M501" s="57"/>
      <c r="N501" s="346"/>
    </row>
    <row r="502" spans="2:14" x14ac:dyDescent="0.25">
      <c r="B502" s="14"/>
      <c r="C502" s="51"/>
      <c r="D502" s="52"/>
      <c r="E502" s="42"/>
      <c r="F502" s="53"/>
      <c r="G502" s="40"/>
      <c r="H502" s="40"/>
      <c r="I502" s="54"/>
      <c r="J502" s="55"/>
      <c r="K502" s="55"/>
      <c r="L502" s="56"/>
      <c r="M502" s="57"/>
      <c r="N502" s="346"/>
    </row>
    <row r="503" spans="2:14" x14ac:dyDescent="0.25">
      <c r="B503" s="14"/>
      <c r="C503" s="51"/>
      <c r="D503" s="52"/>
      <c r="E503" s="42"/>
      <c r="F503" s="53"/>
      <c r="G503" s="40"/>
      <c r="H503" s="40"/>
      <c r="I503" s="54"/>
      <c r="J503" s="55"/>
      <c r="K503" s="55"/>
      <c r="L503" s="56"/>
      <c r="M503" s="57"/>
      <c r="N503" s="346"/>
    </row>
    <row r="504" spans="2:14" x14ac:dyDescent="0.25">
      <c r="B504" s="14"/>
      <c r="C504" s="51"/>
      <c r="D504" s="52"/>
      <c r="E504" s="42"/>
      <c r="F504" s="53"/>
      <c r="G504" s="40"/>
      <c r="H504" s="40"/>
      <c r="I504" s="54"/>
      <c r="J504" s="55"/>
      <c r="K504" s="55"/>
      <c r="L504" s="56"/>
      <c r="M504" s="57"/>
      <c r="N504" s="346"/>
    </row>
    <row r="505" spans="2:14" x14ac:dyDescent="0.25">
      <c r="B505" s="14"/>
      <c r="C505" s="51"/>
      <c r="D505" s="52"/>
      <c r="E505" s="42"/>
      <c r="F505" s="53"/>
      <c r="G505" s="40"/>
      <c r="H505" s="40"/>
      <c r="I505" s="54"/>
      <c r="J505" s="55"/>
      <c r="K505" s="55"/>
      <c r="L505" s="56"/>
      <c r="M505" s="57"/>
      <c r="N505" s="346"/>
    </row>
    <row r="506" spans="2:14" x14ac:dyDescent="0.25">
      <c r="B506" s="14"/>
      <c r="C506" s="51"/>
      <c r="D506" s="52"/>
      <c r="E506" s="42"/>
      <c r="F506" s="53"/>
      <c r="G506" s="40"/>
      <c r="H506" s="40"/>
      <c r="I506" s="54"/>
      <c r="J506" s="55"/>
      <c r="K506" s="55"/>
      <c r="L506" s="56"/>
      <c r="M506" s="57"/>
      <c r="N506" s="346"/>
    </row>
    <row r="507" spans="2:14" x14ac:dyDescent="0.25">
      <c r="B507" s="14"/>
      <c r="C507" s="51"/>
      <c r="D507" s="52"/>
      <c r="E507" s="42"/>
      <c r="F507" s="53"/>
      <c r="G507" s="40"/>
      <c r="H507" s="40"/>
      <c r="I507" s="54"/>
      <c r="J507" s="55"/>
      <c r="K507" s="55"/>
      <c r="L507" s="56"/>
      <c r="M507" s="57"/>
      <c r="N507" s="346"/>
    </row>
    <row r="508" spans="2:14" x14ac:dyDescent="0.25">
      <c r="B508" s="14"/>
      <c r="C508" s="51"/>
      <c r="D508" s="52"/>
      <c r="E508" s="42"/>
      <c r="F508" s="53"/>
      <c r="G508" s="40"/>
      <c r="H508" s="40"/>
      <c r="I508" s="54"/>
      <c r="J508" s="55"/>
      <c r="K508" s="55"/>
      <c r="L508" s="56"/>
      <c r="M508" s="57"/>
      <c r="N508" s="346"/>
    </row>
    <row r="509" spans="2:14" x14ac:dyDescent="0.25">
      <c r="B509" s="14"/>
      <c r="C509" s="51"/>
      <c r="D509" s="52"/>
      <c r="E509" s="42"/>
      <c r="F509" s="53"/>
      <c r="G509" s="40"/>
      <c r="H509" s="40"/>
      <c r="I509" s="54"/>
      <c r="J509" s="55"/>
      <c r="K509" s="55"/>
      <c r="L509" s="56"/>
      <c r="M509" s="57"/>
      <c r="N509" s="346"/>
    </row>
    <row r="510" spans="2:14" x14ac:dyDescent="0.25">
      <c r="B510" s="14"/>
      <c r="C510" s="51"/>
      <c r="D510" s="52"/>
      <c r="E510" s="42"/>
      <c r="F510" s="53"/>
      <c r="G510" s="40"/>
      <c r="H510" s="40"/>
      <c r="I510" s="54"/>
      <c r="J510" s="55"/>
      <c r="K510" s="55"/>
      <c r="L510" s="56"/>
      <c r="M510" s="57"/>
      <c r="N510" s="346"/>
    </row>
    <row r="511" spans="2:14" x14ac:dyDescent="0.25">
      <c r="B511" s="14"/>
      <c r="C511" s="51"/>
      <c r="D511" s="52"/>
      <c r="E511" s="42"/>
      <c r="F511" s="53"/>
      <c r="G511" s="40"/>
      <c r="H511" s="40"/>
      <c r="I511" s="54"/>
      <c r="J511" s="55"/>
      <c r="K511" s="55"/>
      <c r="L511" s="56"/>
      <c r="M511" s="57"/>
      <c r="N511" s="346"/>
    </row>
    <row r="512" spans="2:14" x14ac:dyDescent="0.25">
      <c r="B512" s="14"/>
      <c r="C512" s="51"/>
      <c r="D512" s="52"/>
      <c r="E512" s="42"/>
      <c r="F512" s="53"/>
      <c r="G512" s="40"/>
      <c r="H512" s="40"/>
      <c r="I512" s="54"/>
      <c r="J512" s="55"/>
      <c r="K512" s="55"/>
      <c r="L512" s="56"/>
      <c r="M512" s="57"/>
      <c r="N512" s="346"/>
    </row>
    <row r="513" spans="2:14" x14ac:dyDescent="0.25">
      <c r="B513" s="14"/>
      <c r="C513" s="51"/>
      <c r="D513" s="52"/>
      <c r="E513" s="42"/>
      <c r="F513" s="53"/>
      <c r="G513" s="40"/>
      <c r="H513" s="40"/>
      <c r="I513" s="54"/>
      <c r="J513" s="55"/>
      <c r="K513" s="55"/>
      <c r="L513" s="56"/>
      <c r="M513" s="57"/>
      <c r="N513" s="346"/>
    </row>
    <row r="514" spans="2:14" x14ac:dyDescent="0.25">
      <c r="B514" s="14"/>
      <c r="C514" s="51"/>
      <c r="D514" s="52"/>
      <c r="E514" s="42"/>
      <c r="F514" s="53"/>
      <c r="G514" s="40"/>
      <c r="H514" s="40"/>
      <c r="I514" s="54"/>
      <c r="J514" s="55"/>
      <c r="K514" s="55"/>
      <c r="L514" s="56"/>
      <c r="M514" s="57"/>
      <c r="N514" s="346"/>
    </row>
    <row r="515" spans="2:14" x14ac:dyDescent="0.25">
      <c r="B515" s="14"/>
      <c r="C515" s="51"/>
      <c r="D515" s="52"/>
      <c r="E515" s="42"/>
      <c r="F515" s="53"/>
      <c r="G515" s="40"/>
      <c r="H515" s="40"/>
      <c r="I515" s="54"/>
      <c r="J515" s="55"/>
      <c r="K515" s="55"/>
      <c r="L515" s="56"/>
      <c r="M515" s="57"/>
      <c r="N515" s="346"/>
    </row>
    <row r="516" spans="2:14" x14ac:dyDescent="0.25">
      <c r="B516" s="14"/>
      <c r="C516" s="51"/>
      <c r="D516" s="52"/>
      <c r="E516" s="42"/>
      <c r="F516" s="53"/>
      <c r="G516" s="40"/>
      <c r="H516" s="40"/>
      <c r="I516" s="54"/>
      <c r="J516" s="55"/>
      <c r="K516" s="55"/>
      <c r="L516" s="56"/>
      <c r="M516" s="57"/>
      <c r="N516" s="346"/>
    </row>
    <row r="517" spans="2:14" x14ac:dyDescent="0.25">
      <c r="B517" s="14"/>
      <c r="C517" s="51"/>
      <c r="D517" s="52"/>
      <c r="E517" s="42"/>
      <c r="F517" s="53"/>
      <c r="G517" s="40"/>
      <c r="H517" s="40"/>
      <c r="I517" s="54"/>
      <c r="J517" s="55"/>
      <c r="K517" s="55"/>
      <c r="L517" s="56"/>
      <c r="M517" s="57"/>
      <c r="N517" s="346"/>
    </row>
    <row r="518" spans="2:14" x14ac:dyDescent="0.25">
      <c r="B518" s="14"/>
      <c r="C518" s="51"/>
      <c r="D518" s="52"/>
      <c r="E518" s="42"/>
      <c r="F518" s="53"/>
      <c r="G518" s="40"/>
      <c r="H518" s="40"/>
      <c r="I518" s="54"/>
      <c r="J518" s="55"/>
      <c r="K518" s="55"/>
      <c r="L518" s="56"/>
      <c r="M518" s="57"/>
      <c r="N518" s="346"/>
    </row>
    <row r="519" spans="2:14" x14ac:dyDescent="0.25">
      <c r="B519" s="14"/>
      <c r="C519" s="51"/>
      <c r="D519" s="52"/>
      <c r="E519" s="42"/>
      <c r="F519" s="53"/>
      <c r="G519" s="40"/>
      <c r="H519" s="40"/>
      <c r="I519" s="54"/>
      <c r="J519" s="55"/>
      <c r="K519" s="55"/>
      <c r="L519" s="56"/>
      <c r="M519" s="57"/>
      <c r="N519" s="346"/>
    </row>
    <row r="520" spans="2:14" x14ac:dyDescent="0.25">
      <c r="B520" s="14"/>
      <c r="C520" s="51"/>
      <c r="D520" s="52"/>
      <c r="E520" s="42"/>
      <c r="F520" s="53"/>
      <c r="G520" s="40"/>
      <c r="H520" s="40"/>
      <c r="I520" s="54"/>
      <c r="J520" s="55"/>
      <c r="K520" s="55"/>
      <c r="L520" s="56"/>
      <c r="M520" s="57"/>
      <c r="N520" s="346"/>
    </row>
    <row r="521" spans="2:14" x14ac:dyDescent="0.25">
      <c r="B521" s="14"/>
      <c r="C521" s="51"/>
      <c r="D521" s="52"/>
      <c r="E521" s="42"/>
      <c r="F521" s="53"/>
      <c r="G521" s="40"/>
      <c r="H521" s="40"/>
      <c r="I521" s="54"/>
      <c r="J521" s="55"/>
      <c r="K521" s="55"/>
      <c r="L521" s="56"/>
      <c r="M521" s="57"/>
      <c r="N521" s="346"/>
    </row>
    <row r="522" spans="2:14" x14ac:dyDescent="0.25">
      <c r="B522" s="14"/>
      <c r="C522" s="51"/>
      <c r="D522" s="52"/>
      <c r="E522" s="42"/>
      <c r="F522" s="53"/>
      <c r="G522" s="40"/>
      <c r="H522" s="40"/>
      <c r="I522" s="54"/>
      <c r="J522" s="55"/>
      <c r="K522" s="55"/>
      <c r="L522" s="56"/>
      <c r="M522" s="57"/>
      <c r="N522" s="346"/>
    </row>
    <row r="523" spans="2:14" x14ac:dyDescent="0.25">
      <c r="B523" s="14"/>
      <c r="C523" s="51"/>
      <c r="D523" s="52"/>
      <c r="E523" s="42"/>
      <c r="F523" s="53"/>
      <c r="G523" s="40"/>
      <c r="H523" s="40"/>
      <c r="I523" s="54"/>
      <c r="J523" s="55"/>
      <c r="K523" s="55"/>
      <c r="L523" s="56"/>
      <c r="M523" s="57"/>
      <c r="N523" s="346"/>
    </row>
    <row r="524" spans="2:14" x14ac:dyDescent="0.25">
      <c r="B524" s="14"/>
      <c r="C524" s="51"/>
      <c r="D524" s="52"/>
      <c r="E524" s="42"/>
      <c r="F524" s="53"/>
      <c r="G524" s="40"/>
      <c r="H524" s="40"/>
      <c r="I524" s="54"/>
      <c r="J524" s="55"/>
      <c r="K524" s="55"/>
      <c r="L524" s="56"/>
      <c r="M524" s="57"/>
      <c r="N524" s="346"/>
    </row>
    <row r="525" spans="2:14" x14ac:dyDescent="0.25">
      <c r="B525" s="14"/>
      <c r="C525" s="51"/>
      <c r="D525" s="52"/>
      <c r="E525" s="42"/>
      <c r="F525" s="53"/>
      <c r="G525" s="40"/>
      <c r="H525" s="40"/>
      <c r="I525" s="54"/>
      <c r="J525" s="55"/>
      <c r="K525" s="55"/>
      <c r="L525" s="56"/>
      <c r="M525" s="57"/>
      <c r="N525" s="346"/>
    </row>
    <row r="526" spans="2:14" x14ac:dyDescent="0.25">
      <c r="B526" s="14"/>
      <c r="C526" s="51"/>
      <c r="D526" s="52"/>
      <c r="E526" s="42"/>
      <c r="F526" s="53"/>
      <c r="G526" s="40"/>
      <c r="H526" s="40"/>
      <c r="I526" s="54"/>
      <c r="J526" s="55"/>
      <c r="K526" s="55"/>
      <c r="L526" s="56"/>
      <c r="M526" s="57"/>
      <c r="N526" s="346"/>
    </row>
    <row r="527" spans="2:14" x14ac:dyDescent="0.25">
      <c r="B527" s="14"/>
      <c r="C527" s="51"/>
      <c r="D527" s="52"/>
      <c r="E527" s="42"/>
      <c r="F527" s="53"/>
      <c r="G527" s="40"/>
      <c r="H527" s="40"/>
      <c r="I527" s="54"/>
      <c r="J527" s="55"/>
      <c r="K527" s="55"/>
      <c r="L527" s="56"/>
      <c r="M527" s="57"/>
      <c r="N527" s="346"/>
    </row>
    <row r="528" spans="2:14" x14ac:dyDescent="0.25">
      <c r="B528" s="14"/>
      <c r="C528" s="51"/>
      <c r="D528" s="52"/>
      <c r="E528" s="42"/>
      <c r="F528" s="53"/>
      <c r="G528" s="40"/>
      <c r="H528" s="40"/>
      <c r="I528" s="54"/>
      <c r="J528" s="55"/>
      <c r="K528" s="55"/>
      <c r="L528" s="56"/>
      <c r="M528" s="57"/>
      <c r="N528" s="346"/>
    </row>
    <row r="529" spans="2:14" x14ac:dyDescent="0.25">
      <c r="B529" s="14"/>
      <c r="C529" s="51"/>
      <c r="D529" s="52"/>
      <c r="E529" s="42"/>
      <c r="F529" s="53"/>
      <c r="G529" s="40"/>
      <c r="H529" s="40"/>
      <c r="I529" s="54"/>
      <c r="J529" s="55"/>
      <c r="K529" s="55"/>
      <c r="L529" s="56"/>
      <c r="M529" s="57"/>
      <c r="N529" s="346"/>
    </row>
    <row r="530" spans="2:14" x14ac:dyDescent="0.25">
      <c r="B530" s="14"/>
      <c r="C530" s="51"/>
      <c r="D530" s="52"/>
      <c r="E530" s="42"/>
      <c r="F530" s="53"/>
      <c r="G530" s="40"/>
      <c r="H530" s="40"/>
      <c r="I530" s="54"/>
      <c r="J530" s="55"/>
      <c r="K530" s="55"/>
      <c r="L530" s="56"/>
      <c r="M530" s="57"/>
      <c r="N530" s="346"/>
    </row>
    <row r="531" spans="2:14" x14ac:dyDescent="0.25">
      <c r="B531" s="14"/>
      <c r="C531" s="51"/>
      <c r="D531" s="52"/>
      <c r="E531" s="42"/>
      <c r="F531" s="53"/>
      <c r="G531" s="40"/>
      <c r="H531" s="40"/>
      <c r="I531" s="54"/>
      <c r="J531" s="55"/>
      <c r="K531" s="55"/>
      <c r="L531" s="56"/>
      <c r="M531" s="57"/>
      <c r="N531" s="346"/>
    </row>
    <row r="532" spans="2:14" x14ac:dyDescent="0.25">
      <c r="B532" s="14"/>
      <c r="C532" s="51"/>
      <c r="D532" s="52"/>
      <c r="E532" s="42"/>
      <c r="F532" s="53"/>
      <c r="G532" s="40"/>
      <c r="H532" s="40"/>
      <c r="I532" s="54"/>
      <c r="J532" s="55"/>
      <c r="K532" s="55"/>
      <c r="L532" s="56"/>
      <c r="M532" s="57"/>
      <c r="N532" s="346"/>
    </row>
    <row r="533" spans="2:14" x14ac:dyDescent="0.25">
      <c r="B533" s="14"/>
      <c r="C533" s="51"/>
      <c r="D533" s="52"/>
      <c r="E533" s="42"/>
      <c r="F533" s="53"/>
      <c r="G533" s="40"/>
      <c r="H533" s="40"/>
      <c r="I533" s="54"/>
      <c r="J533" s="55"/>
      <c r="K533" s="55"/>
      <c r="L533" s="56"/>
      <c r="M533" s="57"/>
      <c r="N533" s="346"/>
    </row>
    <row r="534" spans="2:14" x14ac:dyDescent="0.25">
      <c r="B534" s="14"/>
      <c r="C534" s="51"/>
      <c r="D534" s="52"/>
      <c r="E534" s="42"/>
      <c r="F534" s="53"/>
      <c r="G534" s="40"/>
      <c r="H534" s="40"/>
      <c r="I534" s="54"/>
      <c r="J534" s="55"/>
      <c r="K534" s="55"/>
      <c r="L534" s="56"/>
      <c r="M534" s="57"/>
      <c r="N534" s="346"/>
    </row>
    <row r="535" spans="2:14" x14ac:dyDescent="0.25">
      <c r="B535" s="14"/>
      <c r="C535" s="51"/>
      <c r="D535" s="52"/>
      <c r="E535" s="42"/>
      <c r="F535" s="53"/>
      <c r="G535" s="40"/>
      <c r="H535" s="40"/>
      <c r="I535" s="54"/>
      <c r="J535" s="55"/>
      <c r="K535" s="55"/>
      <c r="L535" s="56"/>
      <c r="M535" s="57"/>
      <c r="N535" s="346"/>
    </row>
    <row r="536" spans="2:14" x14ac:dyDescent="0.25">
      <c r="B536" s="14"/>
      <c r="C536" s="51"/>
      <c r="D536" s="52"/>
      <c r="E536" s="42"/>
      <c r="F536" s="53"/>
      <c r="G536" s="40"/>
      <c r="H536" s="40"/>
      <c r="I536" s="54"/>
      <c r="J536" s="55"/>
      <c r="K536" s="55"/>
      <c r="L536" s="56"/>
      <c r="M536" s="57"/>
      <c r="N536" s="346"/>
    </row>
    <row r="537" spans="2:14" x14ac:dyDescent="0.25">
      <c r="B537" s="14"/>
      <c r="C537" s="51"/>
      <c r="D537" s="52"/>
      <c r="E537" s="42"/>
      <c r="F537" s="53"/>
      <c r="G537" s="40"/>
      <c r="H537" s="40"/>
      <c r="I537" s="54"/>
      <c r="J537" s="55"/>
      <c r="K537" s="55"/>
      <c r="L537" s="56"/>
      <c r="M537" s="57"/>
      <c r="N537" s="346"/>
    </row>
    <row r="538" spans="2:14" x14ac:dyDescent="0.25">
      <c r="B538" s="14"/>
      <c r="C538" s="51"/>
      <c r="D538" s="52"/>
      <c r="E538" s="42"/>
      <c r="F538" s="53"/>
      <c r="G538" s="40"/>
      <c r="H538" s="40"/>
      <c r="I538" s="54"/>
      <c r="J538" s="55"/>
      <c r="K538" s="55"/>
      <c r="L538" s="56"/>
      <c r="M538" s="57"/>
      <c r="N538" s="346"/>
    </row>
    <row r="539" spans="2:14" x14ac:dyDescent="0.25">
      <c r="B539" s="14"/>
      <c r="C539" s="51"/>
      <c r="D539" s="52"/>
      <c r="E539" s="42"/>
      <c r="F539" s="53"/>
      <c r="G539" s="40"/>
      <c r="H539" s="40"/>
      <c r="I539" s="54"/>
      <c r="J539" s="55"/>
      <c r="K539" s="55"/>
      <c r="L539" s="56"/>
      <c r="M539" s="57"/>
      <c r="N539" s="346"/>
    </row>
    <row r="540" spans="2:14" x14ac:dyDescent="0.25">
      <c r="B540" s="14"/>
      <c r="C540" s="51"/>
      <c r="D540" s="52"/>
      <c r="E540" s="42"/>
      <c r="F540" s="53"/>
      <c r="G540" s="40"/>
      <c r="H540" s="40"/>
      <c r="I540" s="54"/>
      <c r="J540" s="55"/>
      <c r="K540" s="55"/>
      <c r="L540" s="56"/>
      <c r="M540" s="57"/>
      <c r="N540" s="346"/>
    </row>
    <row r="541" spans="2:14" x14ac:dyDescent="0.25">
      <c r="B541" s="14"/>
      <c r="C541" s="51"/>
      <c r="D541" s="52"/>
      <c r="E541" s="42"/>
      <c r="F541" s="53"/>
      <c r="G541" s="40"/>
      <c r="H541" s="40"/>
      <c r="I541" s="54"/>
      <c r="J541" s="55"/>
      <c r="K541" s="55"/>
      <c r="L541" s="56"/>
      <c r="M541" s="57"/>
      <c r="N541" s="346"/>
    </row>
    <row r="542" spans="2:14" x14ac:dyDescent="0.25">
      <c r="B542" s="14"/>
      <c r="C542" s="51"/>
      <c r="D542" s="52"/>
      <c r="E542" s="42"/>
      <c r="F542" s="53"/>
      <c r="G542" s="40"/>
      <c r="H542" s="40"/>
      <c r="I542" s="54"/>
      <c r="J542" s="55"/>
      <c r="K542" s="55"/>
      <c r="L542" s="56"/>
      <c r="M542" s="57"/>
      <c r="N542" s="346"/>
    </row>
    <row r="543" spans="2:14" x14ac:dyDescent="0.25">
      <c r="B543" s="14"/>
      <c r="C543" s="51"/>
      <c r="D543" s="52"/>
      <c r="E543" s="42"/>
      <c r="F543" s="53"/>
      <c r="G543" s="40"/>
      <c r="H543" s="40"/>
      <c r="I543" s="54"/>
      <c r="J543" s="55"/>
      <c r="K543" s="55"/>
      <c r="L543" s="56"/>
      <c r="M543" s="57"/>
      <c r="N543" s="346"/>
    </row>
    <row r="544" spans="2:14" x14ac:dyDescent="0.25">
      <c r="B544" s="14"/>
      <c r="C544" s="51"/>
      <c r="D544" s="52"/>
      <c r="E544" s="42"/>
      <c r="F544" s="53"/>
      <c r="G544" s="40"/>
      <c r="H544" s="40"/>
      <c r="I544" s="54"/>
      <c r="J544" s="55"/>
      <c r="K544" s="55"/>
      <c r="L544" s="56"/>
      <c r="M544" s="57"/>
      <c r="N544" s="346"/>
    </row>
    <row r="545" spans="2:14" x14ac:dyDescent="0.25">
      <c r="B545" s="14"/>
      <c r="C545" s="51"/>
      <c r="D545" s="52"/>
      <c r="E545" s="42"/>
      <c r="F545" s="53"/>
      <c r="G545" s="40"/>
      <c r="H545" s="40"/>
      <c r="I545" s="54"/>
      <c r="J545" s="55"/>
      <c r="K545" s="55"/>
      <c r="L545" s="56"/>
      <c r="M545" s="57"/>
      <c r="N545" s="346"/>
    </row>
    <row r="546" spans="2:14" x14ac:dyDescent="0.25">
      <c r="B546" s="14"/>
      <c r="C546" s="51"/>
      <c r="D546" s="52"/>
      <c r="E546" s="42"/>
      <c r="F546" s="53"/>
      <c r="G546" s="40"/>
      <c r="H546" s="40"/>
      <c r="I546" s="54"/>
      <c r="J546" s="55"/>
      <c r="K546" s="55"/>
      <c r="L546" s="56"/>
      <c r="M546" s="57"/>
      <c r="N546" s="346"/>
    </row>
    <row r="547" spans="2:14" x14ac:dyDescent="0.25">
      <c r="B547" s="14"/>
      <c r="C547" s="51"/>
      <c r="D547" s="52"/>
      <c r="E547" s="42"/>
      <c r="F547" s="53"/>
      <c r="G547" s="40"/>
      <c r="H547" s="40"/>
      <c r="I547" s="54"/>
      <c r="J547" s="55"/>
      <c r="K547" s="55"/>
      <c r="L547" s="56"/>
      <c r="M547" s="57"/>
      <c r="N547" s="346"/>
    </row>
    <row r="548" spans="2:14" x14ac:dyDescent="0.25">
      <c r="B548" s="14"/>
      <c r="C548" s="51"/>
      <c r="D548" s="52"/>
      <c r="E548" s="42"/>
      <c r="F548" s="53"/>
      <c r="G548" s="40"/>
      <c r="H548" s="40"/>
      <c r="I548" s="54"/>
      <c r="J548" s="55"/>
      <c r="K548" s="55"/>
      <c r="L548" s="56"/>
      <c r="M548" s="57"/>
      <c r="N548" s="346"/>
    </row>
    <row r="549" spans="2:14" x14ac:dyDescent="0.25">
      <c r="B549" s="14"/>
      <c r="C549" s="51"/>
      <c r="D549" s="52"/>
      <c r="E549" s="42"/>
      <c r="F549" s="53"/>
      <c r="G549" s="40"/>
      <c r="H549" s="40"/>
      <c r="I549" s="54"/>
      <c r="J549" s="55"/>
      <c r="K549" s="55"/>
      <c r="L549" s="56"/>
      <c r="M549" s="57"/>
      <c r="N549" s="346"/>
    </row>
    <row r="550" spans="2:14" x14ac:dyDescent="0.25">
      <c r="B550" s="14"/>
      <c r="C550" s="51"/>
      <c r="D550" s="52"/>
      <c r="E550" s="42"/>
      <c r="F550" s="53"/>
      <c r="G550" s="40"/>
      <c r="H550" s="40"/>
      <c r="I550" s="54"/>
      <c r="J550" s="55"/>
      <c r="K550" s="55"/>
      <c r="L550" s="56"/>
      <c r="M550" s="57"/>
      <c r="N550" s="346"/>
    </row>
    <row r="551" spans="2:14" x14ac:dyDescent="0.25">
      <c r="B551" s="14"/>
      <c r="C551" s="51"/>
      <c r="D551" s="52"/>
      <c r="E551" s="42"/>
      <c r="F551" s="53"/>
      <c r="G551" s="40"/>
      <c r="H551" s="40"/>
      <c r="I551" s="54"/>
      <c r="J551" s="55"/>
      <c r="K551" s="55"/>
      <c r="L551" s="56"/>
      <c r="M551" s="57"/>
      <c r="N551" s="346"/>
    </row>
    <row r="552" spans="2:14" x14ac:dyDescent="0.25">
      <c r="B552" s="14"/>
      <c r="C552" s="51"/>
      <c r="D552" s="52"/>
      <c r="E552" s="42"/>
      <c r="F552" s="53"/>
      <c r="G552" s="40"/>
      <c r="H552" s="40"/>
      <c r="I552" s="54"/>
      <c r="J552" s="55"/>
      <c r="K552" s="55"/>
      <c r="L552" s="56"/>
      <c r="M552" s="57"/>
      <c r="N552" s="346"/>
    </row>
    <row r="553" spans="2:14" x14ac:dyDescent="0.25">
      <c r="B553" s="14"/>
      <c r="C553" s="51"/>
      <c r="D553" s="52"/>
      <c r="E553" s="42"/>
      <c r="F553" s="53"/>
      <c r="G553" s="40"/>
      <c r="H553" s="40"/>
      <c r="I553" s="54"/>
      <c r="J553" s="55"/>
      <c r="K553" s="55"/>
      <c r="L553" s="56"/>
      <c r="M553" s="57"/>
      <c r="N553" s="346"/>
    </row>
    <row r="554" spans="2:14" x14ac:dyDescent="0.25">
      <c r="B554" s="14"/>
      <c r="C554" s="51"/>
      <c r="D554" s="52"/>
      <c r="E554" s="42"/>
      <c r="F554" s="53"/>
      <c r="G554" s="40"/>
      <c r="H554" s="40"/>
      <c r="I554" s="54"/>
      <c r="J554" s="55"/>
      <c r="K554" s="55"/>
      <c r="L554" s="56"/>
      <c r="M554" s="57"/>
      <c r="N554" s="346"/>
    </row>
    <row r="555" spans="2:14" x14ac:dyDescent="0.25">
      <c r="B555" s="14"/>
      <c r="C555" s="51"/>
      <c r="D555" s="52"/>
      <c r="E555" s="42"/>
      <c r="F555" s="53"/>
      <c r="G555" s="40"/>
      <c r="H555" s="40"/>
      <c r="I555" s="54"/>
      <c r="J555" s="55"/>
      <c r="K555" s="55"/>
      <c r="L555" s="56"/>
      <c r="M555" s="57"/>
      <c r="N555" s="346"/>
    </row>
    <row r="556" spans="2:14" x14ac:dyDescent="0.25">
      <c r="B556" s="14"/>
      <c r="C556" s="51"/>
      <c r="D556" s="52"/>
      <c r="E556" s="42"/>
      <c r="F556" s="53"/>
      <c r="G556" s="40"/>
      <c r="H556" s="40"/>
      <c r="I556" s="54"/>
      <c r="J556" s="55"/>
      <c r="K556" s="55"/>
      <c r="L556" s="56"/>
      <c r="M556" s="57"/>
      <c r="N556" s="346"/>
    </row>
    <row r="557" spans="2:14" x14ac:dyDescent="0.25">
      <c r="B557" s="14"/>
      <c r="C557" s="51"/>
      <c r="D557" s="52"/>
      <c r="E557" s="42"/>
      <c r="F557" s="53"/>
      <c r="G557" s="40"/>
      <c r="H557" s="40"/>
      <c r="I557" s="54"/>
      <c r="J557" s="55"/>
      <c r="K557" s="55"/>
      <c r="L557" s="56"/>
      <c r="M557" s="57"/>
      <c r="N557" s="346"/>
    </row>
    <row r="558" spans="2:14" x14ac:dyDescent="0.25">
      <c r="B558" s="14"/>
      <c r="C558" s="51"/>
      <c r="D558" s="52"/>
      <c r="E558" s="42"/>
      <c r="F558" s="53"/>
      <c r="G558" s="40"/>
      <c r="H558" s="40"/>
      <c r="I558" s="54"/>
      <c r="J558" s="55"/>
      <c r="K558" s="55"/>
      <c r="L558" s="56"/>
      <c r="M558" s="57"/>
      <c r="N558" s="346"/>
    </row>
    <row r="559" spans="2:14" x14ac:dyDescent="0.25">
      <c r="B559" s="14"/>
      <c r="C559" s="51"/>
      <c r="D559" s="52"/>
      <c r="E559" s="42"/>
      <c r="F559" s="53"/>
      <c r="G559" s="40"/>
      <c r="H559" s="40"/>
      <c r="I559" s="54"/>
      <c r="J559" s="55"/>
      <c r="K559" s="55"/>
      <c r="L559" s="56"/>
      <c r="M559" s="57"/>
      <c r="N559" s="346"/>
    </row>
    <row r="560" spans="2:14" x14ac:dyDescent="0.25">
      <c r="B560" s="14"/>
      <c r="C560" s="51"/>
      <c r="D560" s="52"/>
      <c r="E560" s="42"/>
      <c r="F560" s="53"/>
      <c r="G560" s="40"/>
      <c r="H560" s="40"/>
      <c r="I560" s="54"/>
      <c r="J560" s="55"/>
      <c r="K560" s="55"/>
      <c r="L560" s="56"/>
      <c r="M560" s="57"/>
      <c r="N560" s="346"/>
    </row>
    <row r="561" spans="2:14" x14ac:dyDescent="0.25">
      <c r="B561" s="14"/>
      <c r="C561" s="51"/>
      <c r="D561" s="52"/>
      <c r="E561" s="42"/>
      <c r="F561" s="53"/>
      <c r="G561" s="40"/>
      <c r="H561" s="40"/>
      <c r="I561" s="54"/>
      <c r="J561" s="55"/>
      <c r="K561" s="55"/>
      <c r="L561" s="56"/>
      <c r="M561" s="57"/>
      <c r="N561" s="346"/>
    </row>
    <row r="562" spans="2:14" x14ac:dyDescent="0.25">
      <c r="B562" s="14"/>
      <c r="C562" s="51"/>
      <c r="D562" s="52"/>
      <c r="E562" s="42"/>
      <c r="F562" s="53"/>
      <c r="G562" s="40"/>
      <c r="H562" s="40"/>
      <c r="I562" s="54"/>
      <c r="J562" s="55"/>
      <c r="K562" s="55"/>
      <c r="L562" s="56"/>
      <c r="M562" s="57"/>
      <c r="N562" s="346"/>
    </row>
    <row r="563" spans="2:14" x14ac:dyDescent="0.25">
      <c r="B563" s="14"/>
      <c r="C563" s="51"/>
      <c r="D563" s="52"/>
      <c r="E563" s="42"/>
      <c r="F563" s="53"/>
      <c r="G563" s="40"/>
      <c r="H563" s="40"/>
      <c r="I563" s="54"/>
      <c r="J563" s="55"/>
      <c r="K563" s="55"/>
      <c r="L563" s="56"/>
      <c r="M563" s="57"/>
      <c r="N563" s="346"/>
    </row>
    <row r="564" spans="2:14" x14ac:dyDescent="0.25">
      <c r="B564" s="14"/>
      <c r="C564" s="51"/>
      <c r="D564" s="52"/>
      <c r="E564" s="42"/>
      <c r="F564" s="53"/>
      <c r="G564" s="40"/>
      <c r="H564" s="40"/>
      <c r="I564" s="54"/>
      <c r="J564" s="55"/>
      <c r="K564" s="55"/>
      <c r="L564" s="56"/>
      <c r="M564" s="57"/>
      <c r="N564" s="346"/>
    </row>
    <row r="565" spans="2:14" x14ac:dyDescent="0.25">
      <c r="B565" s="14"/>
      <c r="C565" s="51"/>
      <c r="D565" s="52"/>
      <c r="E565" s="42"/>
      <c r="F565" s="53"/>
      <c r="G565" s="40"/>
      <c r="H565" s="40"/>
      <c r="I565" s="54"/>
      <c r="J565" s="55"/>
      <c r="K565" s="55"/>
      <c r="L565" s="56"/>
      <c r="M565" s="57"/>
      <c r="N565" s="346"/>
    </row>
    <row r="566" spans="2:14" x14ac:dyDescent="0.25">
      <c r="B566" s="14"/>
      <c r="C566" s="51"/>
      <c r="D566" s="52"/>
      <c r="E566" s="42"/>
      <c r="F566" s="53"/>
      <c r="G566" s="40"/>
      <c r="H566" s="40"/>
      <c r="I566" s="54"/>
      <c r="J566" s="55"/>
      <c r="K566" s="55"/>
      <c r="L566" s="56"/>
      <c r="M566" s="57"/>
      <c r="N566" s="346"/>
    </row>
    <row r="567" spans="2:14" x14ac:dyDescent="0.25">
      <c r="B567" s="14"/>
      <c r="C567" s="51"/>
      <c r="D567" s="52"/>
      <c r="E567" s="42"/>
      <c r="F567" s="53"/>
      <c r="G567" s="40"/>
      <c r="H567" s="40"/>
      <c r="I567" s="54"/>
      <c r="J567" s="55"/>
      <c r="K567" s="55"/>
      <c r="L567" s="56"/>
      <c r="M567" s="57"/>
      <c r="N567" s="346"/>
    </row>
    <row r="568" spans="2:14" x14ac:dyDescent="0.25">
      <c r="B568" s="14"/>
      <c r="C568" s="51"/>
      <c r="D568" s="52"/>
      <c r="E568" s="42"/>
      <c r="F568" s="53"/>
      <c r="G568" s="40"/>
      <c r="H568" s="40"/>
      <c r="I568" s="54"/>
      <c r="J568" s="55"/>
      <c r="K568" s="55"/>
      <c r="L568" s="56"/>
      <c r="M568" s="57"/>
      <c r="N568" s="346"/>
    </row>
    <row r="569" spans="2:14" x14ac:dyDescent="0.25">
      <c r="B569" s="14"/>
      <c r="C569" s="51"/>
      <c r="D569" s="52"/>
      <c r="E569" s="42"/>
      <c r="F569" s="53"/>
      <c r="G569" s="40"/>
      <c r="H569" s="40"/>
      <c r="I569" s="54"/>
      <c r="J569" s="55"/>
      <c r="K569" s="55"/>
      <c r="L569" s="56"/>
      <c r="M569" s="57"/>
      <c r="N569" s="346"/>
    </row>
    <row r="570" spans="2:14" x14ac:dyDescent="0.25">
      <c r="B570" s="14"/>
      <c r="C570" s="51"/>
      <c r="D570" s="52"/>
      <c r="E570" s="42"/>
      <c r="F570" s="53"/>
      <c r="G570" s="40"/>
      <c r="H570" s="40"/>
      <c r="I570" s="54"/>
      <c r="J570" s="55"/>
      <c r="K570" s="55"/>
      <c r="L570" s="56"/>
      <c r="M570" s="57"/>
      <c r="N570" s="346"/>
    </row>
    <row r="571" spans="2:14" x14ac:dyDescent="0.25">
      <c r="B571" s="14"/>
      <c r="C571" s="51"/>
      <c r="D571" s="52"/>
      <c r="E571" s="42"/>
      <c r="F571" s="53"/>
      <c r="G571" s="40"/>
      <c r="H571" s="40"/>
      <c r="I571" s="54"/>
      <c r="J571" s="55"/>
      <c r="K571" s="55"/>
      <c r="L571" s="56"/>
      <c r="M571" s="57"/>
      <c r="N571" s="346"/>
    </row>
    <row r="572" spans="2:14" x14ac:dyDescent="0.25">
      <c r="B572" s="14"/>
      <c r="C572" s="51"/>
      <c r="D572" s="52"/>
      <c r="E572" s="42"/>
      <c r="F572" s="53"/>
      <c r="G572" s="40"/>
      <c r="H572" s="40"/>
      <c r="I572" s="54"/>
      <c r="J572" s="55"/>
      <c r="K572" s="55"/>
      <c r="L572" s="56"/>
      <c r="M572" s="57"/>
      <c r="N572" s="346"/>
    </row>
    <row r="573" spans="2:14" x14ac:dyDescent="0.25">
      <c r="B573" s="14"/>
      <c r="C573" s="51"/>
      <c r="D573" s="52"/>
      <c r="E573" s="42"/>
      <c r="F573" s="53"/>
      <c r="G573" s="40"/>
      <c r="H573" s="40"/>
      <c r="I573" s="54"/>
      <c r="J573" s="55"/>
      <c r="K573" s="55"/>
      <c r="L573" s="56"/>
      <c r="M573" s="57"/>
      <c r="N573" s="346"/>
    </row>
    <row r="574" spans="2:14" x14ac:dyDescent="0.25">
      <c r="B574" s="14"/>
      <c r="C574" s="51"/>
      <c r="D574" s="52"/>
      <c r="E574" s="42"/>
      <c r="F574" s="53"/>
      <c r="G574" s="40"/>
      <c r="H574" s="40"/>
      <c r="I574" s="54"/>
      <c r="J574" s="55"/>
      <c r="K574" s="55"/>
      <c r="L574" s="56"/>
      <c r="M574" s="57"/>
      <c r="N574" s="346"/>
    </row>
    <row r="575" spans="2:14" x14ac:dyDescent="0.25">
      <c r="B575" s="14"/>
      <c r="C575" s="51"/>
      <c r="D575" s="52"/>
      <c r="E575" s="42"/>
      <c r="F575" s="53"/>
      <c r="G575" s="40"/>
      <c r="H575" s="40"/>
      <c r="I575" s="54"/>
      <c r="J575" s="55"/>
      <c r="K575" s="55"/>
      <c r="L575" s="56"/>
      <c r="M575" s="57"/>
      <c r="N575" s="346"/>
    </row>
    <row r="576" spans="2:14" x14ac:dyDescent="0.25">
      <c r="B576" s="14"/>
      <c r="C576" s="51"/>
      <c r="D576" s="52"/>
      <c r="E576" s="42"/>
      <c r="F576" s="53"/>
      <c r="G576" s="40"/>
      <c r="H576" s="40"/>
      <c r="I576" s="54"/>
      <c r="J576" s="55"/>
      <c r="K576" s="55"/>
      <c r="L576" s="56"/>
      <c r="M576" s="57"/>
      <c r="N576" s="346"/>
    </row>
    <row r="577" spans="2:14" x14ac:dyDescent="0.25">
      <c r="B577" s="14"/>
      <c r="C577" s="51"/>
      <c r="D577" s="52"/>
      <c r="E577" s="42"/>
      <c r="F577" s="53"/>
      <c r="G577" s="40"/>
      <c r="H577" s="40"/>
      <c r="I577" s="54"/>
      <c r="J577" s="55"/>
      <c r="K577" s="55"/>
      <c r="L577" s="56"/>
      <c r="M577" s="57"/>
      <c r="N577" s="346"/>
    </row>
    <row r="578" spans="2:14" x14ac:dyDescent="0.25">
      <c r="B578" s="14"/>
      <c r="C578" s="51"/>
      <c r="D578" s="52"/>
      <c r="E578" s="42"/>
      <c r="F578" s="53"/>
      <c r="G578" s="40"/>
      <c r="H578" s="40"/>
      <c r="I578" s="54"/>
      <c r="J578" s="55"/>
      <c r="K578" s="55"/>
      <c r="L578" s="56"/>
      <c r="M578" s="57"/>
      <c r="N578" s="346"/>
    </row>
    <row r="579" spans="2:14" x14ac:dyDescent="0.25">
      <c r="B579" s="14"/>
      <c r="C579" s="51"/>
      <c r="D579" s="52"/>
      <c r="E579" s="42"/>
      <c r="F579" s="53"/>
      <c r="G579" s="40"/>
      <c r="H579" s="40"/>
      <c r="I579" s="54"/>
      <c r="J579" s="55"/>
      <c r="K579" s="55"/>
      <c r="L579" s="56"/>
      <c r="M579" s="57"/>
      <c r="N579" s="346"/>
    </row>
    <row r="580" spans="2:14" x14ac:dyDescent="0.25">
      <c r="B580" s="14"/>
      <c r="C580" s="51"/>
      <c r="D580" s="52"/>
      <c r="E580" s="42"/>
      <c r="F580" s="53"/>
      <c r="G580" s="40"/>
      <c r="H580" s="40"/>
      <c r="I580" s="54"/>
      <c r="J580" s="55"/>
      <c r="K580" s="55"/>
      <c r="L580" s="56"/>
      <c r="M580" s="57"/>
      <c r="N580" s="346"/>
    </row>
    <row r="581" spans="2:14" x14ac:dyDescent="0.25">
      <c r="B581" s="14"/>
      <c r="C581" s="51"/>
      <c r="D581" s="52"/>
      <c r="E581" s="42"/>
      <c r="F581" s="53"/>
      <c r="G581" s="40"/>
      <c r="H581" s="40"/>
      <c r="I581" s="54"/>
      <c r="J581" s="55"/>
      <c r="K581" s="55"/>
      <c r="L581" s="56"/>
      <c r="M581" s="57"/>
      <c r="N581" s="346"/>
    </row>
    <row r="582" spans="2:14" x14ac:dyDescent="0.25">
      <c r="B582" s="14"/>
      <c r="C582" s="51"/>
      <c r="D582" s="52"/>
      <c r="E582" s="42"/>
      <c r="F582" s="53"/>
      <c r="G582" s="40"/>
      <c r="H582" s="40"/>
      <c r="I582" s="54"/>
      <c r="J582" s="55"/>
      <c r="K582" s="55"/>
      <c r="L582" s="56"/>
      <c r="M582" s="57"/>
      <c r="N582" s="346"/>
    </row>
    <row r="583" spans="2:14" x14ac:dyDescent="0.25">
      <c r="B583" s="14"/>
      <c r="C583" s="51"/>
      <c r="D583" s="52"/>
      <c r="E583" s="42"/>
      <c r="F583" s="53"/>
      <c r="G583" s="40"/>
      <c r="H583" s="40"/>
      <c r="I583" s="54"/>
      <c r="J583" s="55"/>
      <c r="K583" s="55"/>
      <c r="L583" s="56"/>
      <c r="M583" s="57"/>
      <c r="N583" s="346"/>
    </row>
    <row r="584" spans="2:14" x14ac:dyDescent="0.25">
      <c r="B584" s="14"/>
      <c r="C584" s="51"/>
      <c r="D584" s="52"/>
      <c r="E584" s="42"/>
      <c r="F584" s="53"/>
      <c r="G584" s="40"/>
      <c r="H584" s="40"/>
      <c r="I584" s="54"/>
      <c r="J584" s="55"/>
      <c r="K584" s="55"/>
      <c r="L584" s="56"/>
      <c r="M584" s="57"/>
      <c r="N584" s="346"/>
    </row>
    <row r="585" spans="2:14" x14ac:dyDescent="0.25">
      <c r="B585" s="14"/>
      <c r="C585" s="51"/>
      <c r="D585" s="52"/>
      <c r="E585" s="42"/>
      <c r="F585" s="53"/>
      <c r="G585" s="40"/>
      <c r="H585" s="40"/>
      <c r="I585" s="54"/>
      <c r="J585" s="55"/>
      <c r="K585" s="55"/>
      <c r="L585" s="56"/>
      <c r="M585" s="57"/>
      <c r="N585" s="346"/>
    </row>
    <row r="586" spans="2:14" x14ac:dyDescent="0.25">
      <c r="B586" s="14"/>
      <c r="C586" s="51"/>
      <c r="D586" s="52"/>
      <c r="E586" s="42"/>
      <c r="F586" s="53"/>
      <c r="G586" s="40"/>
      <c r="H586" s="40"/>
      <c r="I586" s="54"/>
      <c r="J586" s="55"/>
      <c r="K586" s="55"/>
      <c r="L586" s="56"/>
      <c r="M586" s="57"/>
      <c r="N586" s="346"/>
    </row>
    <row r="587" spans="2:14" x14ac:dyDescent="0.25">
      <c r="B587" s="14"/>
      <c r="C587" s="51"/>
      <c r="D587" s="52"/>
      <c r="E587" s="42"/>
      <c r="F587" s="53"/>
      <c r="G587" s="40"/>
      <c r="H587" s="40"/>
      <c r="I587" s="54"/>
      <c r="J587" s="55"/>
      <c r="K587" s="55"/>
      <c r="L587" s="56"/>
      <c r="M587" s="57"/>
      <c r="N587" s="346"/>
    </row>
    <row r="588" spans="2:14" x14ac:dyDescent="0.25">
      <c r="B588" s="14"/>
      <c r="C588" s="51"/>
      <c r="D588" s="52"/>
      <c r="E588" s="42"/>
      <c r="F588" s="53"/>
      <c r="G588" s="40"/>
      <c r="H588" s="40"/>
      <c r="I588" s="54"/>
      <c r="J588" s="55"/>
      <c r="K588" s="55"/>
      <c r="L588" s="56"/>
      <c r="M588" s="57"/>
      <c r="N588" s="346"/>
    </row>
    <row r="589" spans="2:14" x14ac:dyDescent="0.25">
      <c r="B589" s="14"/>
      <c r="C589" s="51"/>
      <c r="D589" s="52"/>
      <c r="E589" s="42"/>
      <c r="F589" s="53"/>
      <c r="G589" s="40"/>
      <c r="H589" s="40"/>
      <c r="I589" s="54"/>
      <c r="J589" s="55"/>
      <c r="K589" s="55"/>
      <c r="L589" s="56"/>
      <c r="M589" s="57"/>
      <c r="N589" s="346"/>
    </row>
    <row r="590" spans="2:14" x14ac:dyDescent="0.25">
      <c r="B590" s="14"/>
      <c r="C590" s="51"/>
      <c r="D590" s="52"/>
      <c r="E590" s="42"/>
      <c r="F590" s="53"/>
      <c r="G590" s="40"/>
      <c r="H590" s="40"/>
      <c r="I590" s="54"/>
      <c r="J590" s="55"/>
      <c r="K590" s="55"/>
      <c r="L590" s="56"/>
      <c r="M590" s="57"/>
      <c r="N590" s="346"/>
    </row>
    <row r="591" spans="2:14" x14ac:dyDescent="0.25">
      <c r="B591" s="14"/>
      <c r="C591" s="51"/>
      <c r="D591" s="52"/>
      <c r="E591" s="42"/>
      <c r="F591" s="53"/>
      <c r="G591" s="40"/>
      <c r="H591" s="40"/>
      <c r="I591" s="54"/>
      <c r="J591" s="55"/>
      <c r="K591" s="55"/>
      <c r="L591" s="56"/>
      <c r="M591" s="57"/>
      <c r="N591" s="346"/>
    </row>
    <row r="592" spans="2:14" x14ac:dyDescent="0.25">
      <c r="B592" s="14"/>
      <c r="C592" s="51"/>
      <c r="D592" s="52"/>
      <c r="E592" s="42"/>
      <c r="F592" s="53"/>
      <c r="G592" s="40"/>
      <c r="H592" s="40"/>
      <c r="I592" s="54"/>
      <c r="J592" s="55"/>
      <c r="K592" s="55"/>
      <c r="L592" s="56"/>
      <c r="M592" s="57"/>
      <c r="N592" s="346"/>
    </row>
    <row r="593" spans="2:14" x14ac:dyDescent="0.25">
      <c r="B593" s="14"/>
      <c r="C593" s="51"/>
      <c r="D593" s="52"/>
      <c r="E593" s="42"/>
      <c r="F593" s="53"/>
      <c r="G593" s="40"/>
      <c r="H593" s="40"/>
      <c r="I593" s="54"/>
      <c r="J593" s="55"/>
      <c r="K593" s="55"/>
      <c r="L593" s="56"/>
      <c r="M593" s="57"/>
      <c r="N593" s="346"/>
    </row>
    <row r="594" spans="2:14" x14ac:dyDescent="0.25">
      <c r="B594" s="14"/>
      <c r="C594" s="51"/>
      <c r="D594" s="52"/>
      <c r="E594" s="42"/>
      <c r="F594" s="53"/>
      <c r="G594" s="40"/>
      <c r="H594" s="40"/>
      <c r="I594" s="54"/>
      <c r="J594" s="55"/>
      <c r="K594" s="55"/>
      <c r="L594" s="56"/>
      <c r="M594" s="57"/>
      <c r="N594" s="346"/>
    </row>
    <row r="595" spans="2:14" x14ac:dyDescent="0.25">
      <c r="B595" s="14"/>
      <c r="C595" s="51"/>
      <c r="D595" s="52"/>
      <c r="E595" s="42"/>
      <c r="F595" s="53"/>
      <c r="G595" s="40"/>
      <c r="H595" s="40"/>
      <c r="I595" s="54"/>
      <c r="J595" s="55"/>
      <c r="K595" s="55"/>
      <c r="L595" s="56"/>
      <c r="M595" s="57"/>
      <c r="N595" s="346"/>
    </row>
    <row r="596" spans="2:14" x14ac:dyDescent="0.25">
      <c r="B596" s="14"/>
      <c r="C596" s="51"/>
      <c r="D596" s="52"/>
      <c r="E596" s="42"/>
      <c r="F596" s="53"/>
      <c r="G596" s="40"/>
      <c r="H596" s="40"/>
      <c r="I596" s="54"/>
      <c r="J596" s="55"/>
      <c r="K596" s="55"/>
      <c r="L596" s="56"/>
      <c r="M596" s="57"/>
      <c r="N596" s="346"/>
    </row>
    <row r="597" spans="2:14" x14ac:dyDescent="0.25">
      <c r="B597" s="14"/>
      <c r="C597" s="51"/>
      <c r="D597" s="52"/>
      <c r="E597" s="42"/>
      <c r="F597" s="53"/>
      <c r="G597" s="40"/>
      <c r="H597" s="40"/>
      <c r="I597" s="54"/>
      <c r="J597" s="55"/>
      <c r="K597" s="55"/>
      <c r="L597" s="56"/>
      <c r="M597" s="57"/>
      <c r="N597" s="346"/>
    </row>
    <row r="598" spans="2:14" x14ac:dyDescent="0.25">
      <c r="B598" s="14"/>
      <c r="C598" s="51"/>
      <c r="D598" s="52"/>
      <c r="E598" s="42"/>
      <c r="F598" s="53"/>
      <c r="G598" s="40"/>
      <c r="H598" s="40"/>
      <c r="I598" s="54"/>
      <c r="J598" s="55"/>
      <c r="K598" s="55"/>
      <c r="L598" s="56"/>
      <c r="M598" s="57"/>
      <c r="N598" s="346"/>
    </row>
    <row r="599" spans="2:14" x14ac:dyDescent="0.25">
      <c r="B599" s="14"/>
      <c r="C599" s="51"/>
      <c r="D599" s="52"/>
      <c r="E599" s="42"/>
      <c r="F599" s="53"/>
      <c r="G599" s="40"/>
      <c r="H599" s="40"/>
      <c r="I599" s="54"/>
      <c r="J599" s="55"/>
      <c r="K599" s="55"/>
      <c r="L599" s="56"/>
      <c r="M599" s="57"/>
      <c r="N599" s="346"/>
    </row>
    <row r="600" spans="2:14" x14ac:dyDescent="0.25">
      <c r="B600" s="14"/>
      <c r="C600" s="51"/>
      <c r="D600" s="52"/>
      <c r="E600" s="42"/>
      <c r="F600" s="53"/>
      <c r="G600" s="40"/>
      <c r="H600" s="40"/>
      <c r="I600" s="54"/>
      <c r="J600" s="55"/>
      <c r="K600" s="55"/>
      <c r="L600" s="56"/>
      <c r="M600" s="57"/>
      <c r="N600" s="346"/>
    </row>
    <row r="601" spans="2:14" x14ac:dyDescent="0.25">
      <c r="B601" s="14"/>
      <c r="C601" s="51"/>
      <c r="D601" s="52"/>
      <c r="E601" s="42"/>
      <c r="F601" s="53"/>
      <c r="G601" s="40"/>
      <c r="H601" s="40"/>
      <c r="I601" s="54"/>
      <c r="J601" s="55"/>
      <c r="K601" s="55"/>
      <c r="L601" s="56"/>
      <c r="M601" s="57"/>
      <c r="N601" s="346"/>
    </row>
    <row r="602" spans="2:14" x14ac:dyDescent="0.25">
      <c r="B602" s="14"/>
      <c r="C602" s="51"/>
      <c r="D602" s="52"/>
      <c r="E602" s="42"/>
      <c r="F602" s="53"/>
      <c r="G602" s="40"/>
      <c r="H602" s="40"/>
      <c r="I602" s="54"/>
      <c r="J602" s="55"/>
      <c r="K602" s="55"/>
      <c r="L602" s="56"/>
      <c r="M602" s="57"/>
      <c r="N602" s="346"/>
    </row>
    <row r="603" spans="2:14" x14ac:dyDescent="0.25">
      <c r="B603" s="14"/>
      <c r="C603" s="51"/>
      <c r="D603" s="52"/>
      <c r="E603" s="42"/>
      <c r="F603" s="53"/>
      <c r="G603" s="40"/>
      <c r="H603" s="40"/>
      <c r="I603" s="54"/>
      <c r="J603" s="55"/>
      <c r="K603" s="55"/>
      <c r="L603" s="56"/>
      <c r="M603" s="57"/>
      <c r="N603" s="346"/>
    </row>
    <row r="604" spans="2:14" x14ac:dyDescent="0.25">
      <c r="B604" s="14"/>
      <c r="C604" s="51"/>
      <c r="D604" s="52"/>
      <c r="E604" s="42"/>
      <c r="F604" s="53"/>
      <c r="G604" s="40"/>
      <c r="H604" s="40"/>
      <c r="I604" s="54"/>
      <c r="J604" s="55"/>
      <c r="K604" s="55"/>
      <c r="L604" s="56"/>
      <c r="M604" s="57"/>
      <c r="N604" s="346"/>
    </row>
    <row r="605" spans="2:14" x14ac:dyDescent="0.25">
      <c r="B605" s="14"/>
      <c r="C605" s="51"/>
      <c r="D605" s="52"/>
      <c r="E605" s="42"/>
      <c r="F605" s="53"/>
      <c r="G605" s="40"/>
      <c r="H605" s="40"/>
      <c r="I605" s="54"/>
      <c r="J605" s="55"/>
      <c r="K605" s="55"/>
      <c r="L605" s="56"/>
      <c r="M605" s="57"/>
      <c r="N605" s="346"/>
    </row>
    <row r="606" spans="2:14" x14ac:dyDescent="0.25">
      <c r="B606" s="14"/>
      <c r="C606" s="51"/>
      <c r="D606" s="52"/>
      <c r="E606" s="42"/>
      <c r="F606" s="53"/>
      <c r="G606" s="40"/>
      <c r="H606" s="40"/>
      <c r="I606" s="54"/>
      <c r="J606" s="55"/>
      <c r="K606" s="55"/>
      <c r="L606" s="56"/>
      <c r="M606" s="57"/>
      <c r="N606" s="346"/>
    </row>
    <row r="607" spans="2:14" x14ac:dyDescent="0.25">
      <c r="B607" s="14"/>
      <c r="C607" s="51"/>
      <c r="D607" s="52"/>
      <c r="E607" s="42"/>
      <c r="F607" s="53"/>
      <c r="G607" s="40"/>
      <c r="H607" s="40"/>
      <c r="I607" s="54"/>
      <c r="J607" s="55"/>
      <c r="K607" s="55"/>
      <c r="L607" s="56"/>
      <c r="M607" s="57"/>
      <c r="N607" s="346"/>
    </row>
    <row r="608" spans="2:14" x14ac:dyDescent="0.25">
      <c r="B608" s="14"/>
      <c r="C608" s="51"/>
      <c r="D608" s="52"/>
      <c r="E608" s="42"/>
      <c r="F608" s="53"/>
      <c r="G608" s="40"/>
      <c r="H608" s="40"/>
      <c r="I608" s="54"/>
      <c r="J608" s="55"/>
      <c r="K608" s="55"/>
      <c r="L608" s="56"/>
      <c r="M608" s="57"/>
      <c r="N608" s="346"/>
    </row>
    <row r="609" spans="2:14" x14ac:dyDescent="0.25">
      <c r="B609" s="14"/>
      <c r="C609" s="51"/>
      <c r="D609" s="52"/>
      <c r="E609" s="42"/>
      <c r="F609" s="53"/>
      <c r="G609" s="40"/>
      <c r="H609" s="40"/>
      <c r="I609" s="54"/>
      <c r="J609" s="55"/>
      <c r="K609" s="55"/>
      <c r="L609" s="56"/>
      <c r="M609" s="57"/>
      <c r="N609" s="346"/>
    </row>
    <row r="610" spans="2:14" x14ac:dyDescent="0.25">
      <c r="B610" s="14"/>
      <c r="C610" s="51"/>
      <c r="D610" s="52"/>
      <c r="E610" s="42"/>
      <c r="F610" s="53"/>
      <c r="G610" s="40"/>
      <c r="H610" s="40"/>
      <c r="I610" s="54"/>
      <c r="J610" s="55"/>
      <c r="K610" s="55"/>
      <c r="L610" s="56"/>
      <c r="M610" s="57"/>
      <c r="N610" s="346"/>
    </row>
    <row r="611" spans="2:14" x14ac:dyDescent="0.25">
      <c r="B611" s="14"/>
      <c r="C611" s="51"/>
      <c r="D611" s="52"/>
      <c r="E611" s="42"/>
      <c r="F611" s="53"/>
      <c r="G611" s="40"/>
      <c r="H611" s="40"/>
      <c r="I611" s="54"/>
      <c r="J611" s="55"/>
      <c r="K611" s="55"/>
      <c r="L611" s="56"/>
      <c r="M611" s="57"/>
      <c r="N611" s="346"/>
    </row>
    <row r="612" spans="2:14" x14ac:dyDescent="0.25">
      <c r="B612" s="14"/>
      <c r="C612" s="51"/>
      <c r="D612" s="52"/>
      <c r="E612" s="42"/>
      <c r="F612" s="53"/>
      <c r="G612" s="40"/>
      <c r="H612" s="40"/>
      <c r="I612" s="54"/>
      <c r="J612" s="55"/>
      <c r="K612" s="55"/>
      <c r="L612" s="56"/>
      <c r="M612" s="57"/>
      <c r="N612" s="346"/>
    </row>
    <row r="613" spans="2:14" x14ac:dyDescent="0.25">
      <c r="B613" s="14"/>
      <c r="C613" s="51"/>
      <c r="D613" s="52"/>
      <c r="E613" s="42"/>
      <c r="F613" s="53"/>
      <c r="G613" s="40"/>
      <c r="H613" s="40"/>
      <c r="I613" s="54"/>
      <c r="J613" s="55"/>
      <c r="K613" s="55"/>
      <c r="L613" s="56"/>
      <c r="M613" s="57"/>
      <c r="N613" s="346"/>
    </row>
    <row r="614" spans="2:14" x14ac:dyDescent="0.25">
      <c r="B614" s="14"/>
      <c r="C614" s="51"/>
      <c r="D614" s="52"/>
      <c r="E614" s="42"/>
      <c r="F614" s="53"/>
      <c r="G614" s="40"/>
      <c r="H614" s="40"/>
      <c r="I614" s="54"/>
      <c r="J614" s="55"/>
      <c r="K614" s="55"/>
      <c r="L614" s="56"/>
      <c r="M614" s="57"/>
      <c r="N614" s="346"/>
    </row>
    <row r="615" spans="2:14" x14ac:dyDescent="0.25">
      <c r="B615" s="14"/>
      <c r="C615" s="51"/>
      <c r="D615" s="52"/>
      <c r="E615" s="42"/>
      <c r="F615" s="53"/>
      <c r="G615" s="40"/>
      <c r="H615" s="40"/>
      <c r="I615" s="54"/>
      <c r="J615" s="55"/>
      <c r="K615" s="55"/>
      <c r="L615" s="56"/>
      <c r="M615" s="57"/>
      <c r="N615" s="346"/>
    </row>
    <row r="616" spans="2:14" x14ac:dyDescent="0.25">
      <c r="B616" s="14"/>
      <c r="C616" s="51"/>
      <c r="D616" s="52"/>
      <c r="E616" s="42"/>
      <c r="F616" s="53"/>
      <c r="G616" s="40"/>
      <c r="H616" s="40"/>
      <c r="I616" s="54"/>
      <c r="J616" s="55"/>
      <c r="K616" s="55"/>
      <c r="L616" s="56"/>
      <c r="M616" s="57"/>
      <c r="N616" s="346"/>
    </row>
    <row r="617" spans="2:14" x14ac:dyDescent="0.25">
      <c r="B617" s="14"/>
      <c r="C617" s="51"/>
      <c r="D617" s="52"/>
      <c r="E617" s="42"/>
      <c r="F617" s="53"/>
      <c r="G617" s="40"/>
      <c r="H617" s="40"/>
      <c r="I617" s="54"/>
      <c r="J617" s="55"/>
      <c r="K617" s="55"/>
      <c r="L617" s="56"/>
      <c r="M617" s="57"/>
      <c r="N617" s="346"/>
    </row>
    <row r="618" spans="2:14" x14ac:dyDescent="0.25">
      <c r="B618" s="14"/>
      <c r="C618" s="51"/>
      <c r="D618" s="52"/>
      <c r="E618" s="42"/>
      <c r="F618" s="53"/>
      <c r="G618" s="40"/>
      <c r="H618" s="40"/>
      <c r="I618" s="54"/>
      <c r="J618" s="55"/>
      <c r="K618" s="55"/>
      <c r="L618" s="56"/>
      <c r="M618" s="57"/>
      <c r="N618" s="346"/>
    </row>
    <row r="619" spans="2:14" x14ac:dyDescent="0.25">
      <c r="B619" s="14"/>
      <c r="C619" s="51"/>
      <c r="D619" s="52"/>
      <c r="E619" s="42"/>
      <c r="F619" s="53"/>
      <c r="G619" s="40"/>
      <c r="H619" s="40"/>
      <c r="I619" s="54"/>
      <c r="J619" s="55"/>
      <c r="K619" s="55"/>
      <c r="L619" s="56"/>
      <c r="M619" s="57"/>
      <c r="N619" s="346"/>
    </row>
    <row r="620" spans="2:14" x14ac:dyDescent="0.25">
      <c r="B620" s="14"/>
      <c r="C620" s="51"/>
      <c r="D620" s="52"/>
      <c r="E620" s="42"/>
      <c r="F620" s="53"/>
      <c r="G620" s="40"/>
      <c r="H620" s="40"/>
      <c r="I620" s="54"/>
      <c r="J620" s="55"/>
      <c r="K620" s="55"/>
      <c r="L620" s="56"/>
      <c r="M620" s="57"/>
      <c r="N620" s="346"/>
    </row>
    <row r="621" spans="2:14" x14ac:dyDescent="0.25">
      <c r="B621" s="14"/>
      <c r="C621" s="51"/>
      <c r="D621" s="52"/>
      <c r="E621" s="42"/>
      <c r="F621" s="53"/>
      <c r="G621" s="40"/>
      <c r="H621" s="40"/>
      <c r="I621" s="54"/>
      <c r="J621" s="55"/>
      <c r="K621" s="55"/>
      <c r="L621" s="56"/>
      <c r="M621" s="57"/>
      <c r="N621" s="346"/>
    </row>
    <row r="622" spans="2:14" x14ac:dyDescent="0.25">
      <c r="B622" s="14"/>
      <c r="C622" s="51"/>
      <c r="D622" s="52"/>
      <c r="E622" s="42"/>
      <c r="F622" s="53"/>
      <c r="G622" s="40"/>
      <c r="H622" s="40"/>
      <c r="I622" s="54"/>
      <c r="J622" s="55"/>
      <c r="K622" s="55"/>
      <c r="L622" s="56"/>
      <c r="M622" s="57"/>
      <c r="N622" s="346"/>
    </row>
    <row r="623" spans="2:14" x14ac:dyDescent="0.25">
      <c r="B623" s="14"/>
      <c r="C623" s="51"/>
      <c r="D623" s="52"/>
      <c r="E623" s="42"/>
      <c r="F623" s="53"/>
      <c r="G623" s="40"/>
      <c r="H623" s="40"/>
      <c r="I623" s="54"/>
      <c r="J623" s="55"/>
      <c r="K623" s="55"/>
      <c r="L623" s="56"/>
      <c r="M623" s="57"/>
      <c r="N623" s="346"/>
    </row>
    <row r="624" spans="2:14" x14ac:dyDescent="0.25">
      <c r="B624" s="14"/>
      <c r="C624" s="51"/>
      <c r="D624" s="52"/>
      <c r="E624" s="42"/>
      <c r="F624" s="53"/>
      <c r="G624" s="40"/>
      <c r="H624" s="40"/>
      <c r="I624" s="54"/>
      <c r="J624" s="55"/>
      <c r="K624" s="55"/>
      <c r="L624" s="56"/>
      <c r="M624" s="57"/>
      <c r="N624" s="346"/>
    </row>
    <row r="625" spans="2:14" x14ac:dyDescent="0.25">
      <c r="B625" s="14"/>
      <c r="C625" s="51"/>
      <c r="D625" s="52"/>
      <c r="E625" s="42"/>
      <c r="F625" s="53"/>
      <c r="G625" s="40"/>
      <c r="H625" s="40"/>
      <c r="I625" s="54"/>
      <c r="J625" s="55"/>
      <c r="K625" s="55"/>
      <c r="L625" s="56"/>
      <c r="M625" s="57"/>
      <c r="N625" s="346"/>
    </row>
    <row r="626" spans="2:14" x14ac:dyDescent="0.25">
      <c r="B626" s="14"/>
      <c r="C626" s="51"/>
      <c r="D626" s="52"/>
      <c r="E626" s="42"/>
      <c r="F626" s="53"/>
      <c r="G626" s="40"/>
      <c r="H626" s="40"/>
      <c r="I626" s="54"/>
      <c r="J626" s="55"/>
      <c r="K626" s="55"/>
      <c r="L626" s="56"/>
      <c r="M626" s="57"/>
      <c r="N626" s="346"/>
    </row>
    <row r="627" spans="2:14" x14ac:dyDescent="0.25">
      <c r="B627" s="14"/>
      <c r="C627" s="51"/>
      <c r="D627" s="52"/>
      <c r="E627" s="42"/>
      <c r="F627" s="53"/>
      <c r="G627" s="40"/>
      <c r="H627" s="40"/>
      <c r="I627" s="54"/>
      <c r="J627" s="55"/>
      <c r="K627" s="55"/>
      <c r="L627" s="56"/>
      <c r="M627" s="57"/>
      <c r="N627" s="346"/>
    </row>
    <row r="628" spans="2:14" x14ac:dyDescent="0.25">
      <c r="B628" s="14"/>
      <c r="C628" s="51"/>
      <c r="D628" s="52"/>
      <c r="E628" s="42"/>
      <c r="F628" s="53"/>
      <c r="G628" s="40"/>
      <c r="H628" s="40"/>
      <c r="I628" s="54"/>
      <c r="J628" s="55"/>
      <c r="K628" s="55"/>
      <c r="L628" s="56"/>
      <c r="M628" s="57"/>
      <c r="N628" s="346"/>
    </row>
    <row r="629" spans="2:14" x14ac:dyDescent="0.25">
      <c r="B629" s="14"/>
      <c r="C629" s="51"/>
      <c r="D629" s="52"/>
      <c r="E629" s="42"/>
      <c r="F629" s="53"/>
      <c r="G629" s="40"/>
      <c r="H629" s="40"/>
      <c r="I629" s="54"/>
      <c r="J629" s="55"/>
      <c r="K629" s="55"/>
      <c r="L629" s="56"/>
      <c r="M629" s="57"/>
      <c r="N629" s="346"/>
    </row>
    <row r="630" spans="2:14" x14ac:dyDescent="0.25">
      <c r="B630" s="14"/>
      <c r="C630" s="51"/>
      <c r="D630" s="52"/>
      <c r="E630" s="42"/>
      <c r="F630" s="53"/>
      <c r="G630" s="40"/>
      <c r="H630" s="40"/>
      <c r="I630" s="54"/>
      <c r="J630" s="55"/>
      <c r="K630" s="55"/>
      <c r="L630" s="56"/>
      <c r="M630" s="57"/>
      <c r="N630" s="346"/>
    </row>
    <row r="631" spans="2:14" x14ac:dyDescent="0.25">
      <c r="B631" s="14"/>
      <c r="C631" s="51"/>
      <c r="D631" s="52"/>
      <c r="E631" s="42"/>
      <c r="F631" s="53"/>
      <c r="G631" s="40"/>
      <c r="H631" s="40"/>
      <c r="I631" s="54"/>
      <c r="J631" s="55"/>
      <c r="K631" s="55"/>
      <c r="L631" s="56"/>
      <c r="M631" s="57"/>
      <c r="N631" s="346"/>
    </row>
    <row r="632" spans="2:14" x14ac:dyDescent="0.25">
      <c r="B632" s="14"/>
      <c r="C632" s="51"/>
      <c r="D632" s="52"/>
      <c r="E632" s="42"/>
      <c r="F632" s="53"/>
      <c r="G632" s="40"/>
      <c r="H632" s="40"/>
      <c r="I632" s="54"/>
      <c r="J632" s="55"/>
      <c r="K632" s="55"/>
      <c r="L632" s="56"/>
      <c r="M632" s="57"/>
      <c r="N632" s="346"/>
    </row>
    <row r="633" spans="2:14" x14ac:dyDescent="0.25">
      <c r="B633" s="14"/>
      <c r="C633" s="51"/>
      <c r="D633" s="52"/>
      <c r="E633" s="42"/>
      <c r="F633" s="53"/>
      <c r="G633" s="40"/>
      <c r="H633" s="40"/>
      <c r="I633" s="54"/>
      <c r="J633" s="55"/>
      <c r="K633" s="55"/>
      <c r="L633" s="56"/>
      <c r="M633" s="57"/>
      <c r="N633" s="346"/>
    </row>
    <row r="634" spans="2:14" x14ac:dyDescent="0.25">
      <c r="B634" s="14"/>
      <c r="C634" s="51"/>
      <c r="D634" s="52"/>
      <c r="E634" s="42"/>
      <c r="F634" s="53"/>
      <c r="G634" s="40"/>
      <c r="H634" s="40"/>
      <c r="I634" s="54"/>
      <c r="J634" s="55"/>
      <c r="K634" s="55"/>
      <c r="L634" s="56"/>
      <c r="M634" s="57"/>
      <c r="N634" s="346"/>
    </row>
    <row r="635" spans="2:14" x14ac:dyDescent="0.25">
      <c r="B635" s="14"/>
      <c r="C635" s="51"/>
      <c r="D635" s="52"/>
      <c r="E635" s="42"/>
      <c r="F635" s="53"/>
      <c r="G635" s="40"/>
      <c r="H635" s="40"/>
      <c r="I635" s="54"/>
      <c r="J635" s="55"/>
      <c r="K635" s="55"/>
      <c r="L635" s="56"/>
      <c r="M635" s="57"/>
      <c r="N635" s="346"/>
    </row>
    <row r="636" spans="2:14" x14ac:dyDescent="0.25">
      <c r="B636" s="14"/>
      <c r="C636" s="51"/>
      <c r="D636" s="52"/>
      <c r="E636" s="42"/>
      <c r="F636" s="53"/>
      <c r="G636" s="40"/>
      <c r="H636" s="40"/>
      <c r="I636" s="54"/>
      <c r="J636" s="55"/>
      <c r="K636" s="55"/>
      <c r="L636" s="56"/>
      <c r="M636" s="57"/>
      <c r="N636" s="346"/>
    </row>
    <row r="637" spans="2:14" x14ac:dyDescent="0.25">
      <c r="B637" s="14"/>
      <c r="C637" s="51"/>
      <c r="D637" s="52"/>
      <c r="E637" s="42"/>
      <c r="F637" s="53"/>
      <c r="G637" s="40"/>
      <c r="H637" s="40"/>
      <c r="I637" s="54"/>
      <c r="J637" s="55"/>
      <c r="K637" s="55"/>
      <c r="L637" s="56"/>
      <c r="M637" s="57"/>
      <c r="N637" s="346"/>
    </row>
    <row r="638" spans="2:14" x14ac:dyDescent="0.25">
      <c r="B638" s="14"/>
      <c r="C638" s="51"/>
      <c r="D638" s="52"/>
      <c r="E638" s="42"/>
      <c r="F638" s="53"/>
      <c r="G638" s="40"/>
      <c r="H638" s="40"/>
      <c r="I638" s="54"/>
      <c r="J638" s="55"/>
      <c r="K638" s="55"/>
      <c r="L638" s="56"/>
      <c r="M638" s="57"/>
      <c r="N638" s="346"/>
    </row>
    <row r="639" spans="2:14" x14ac:dyDescent="0.25">
      <c r="B639" s="14"/>
      <c r="C639" s="51"/>
      <c r="D639" s="52"/>
      <c r="E639" s="42"/>
      <c r="F639" s="53"/>
      <c r="G639" s="40"/>
      <c r="H639" s="40"/>
      <c r="I639" s="54"/>
      <c r="J639" s="55"/>
      <c r="K639" s="55"/>
      <c r="L639" s="56"/>
      <c r="M639" s="57"/>
      <c r="N639" s="346"/>
    </row>
    <row r="640" spans="2:14" x14ac:dyDescent="0.25">
      <c r="B640" s="14"/>
      <c r="C640" s="51"/>
      <c r="D640" s="52"/>
      <c r="E640" s="42"/>
      <c r="F640" s="53"/>
      <c r="G640" s="40"/>
      <c r="H640" s="40"/>
      <c r="I640" s="54"/>
      <c r="J640" s="55"/>
      <c r="K640" s="55"/>
      <c r="L640" s="56"/>
      <c r="M640" s="57"/>
      <c r="N640" s="346"/>
    </row>
    <row r="641" spans="2:14" x14ac:dyDescent="0.25">
      <c r="B641" s="14"/>
      <c r="C641" s="51"/>
      <c r="D641" s="52"/>
      <c r="E641" s="42"/>
      <c r="F641" s="53"/>
      <c r="G641" s="40"/>
      <c r="H641" s="40"/>
      <c r="I641" s="54"/>
      <c r="J641" s="55"/>
      <c r="K641" s="55"/>
      <c r="L641" s="56"/>
      <c r="M641" s="57"/>
      <c r="N641" s="346"/>
    </row>
    <row r="642" spans="2:14" x14ac:dyDescent="0.25">
      <c r="B642" s="14"/>
      <c r="C642" s="51"/>
      <c r="D642" s="52"/>
      <c r="E642" s="42"/>
      <c r="F642" s="53"/>
      <c r="G642" s="40"/>
      <c r="H642" s="40"/>
      <c r="I642" s="54"/>
      <c r="J642" s="55"/>
      <c r="K642" s="55"/>
      <c r="L642" s="56"/>
      <c r="M642" s="57"/>
      <c r="N642" s="346"/>
    </row>
    <row r="643" spans="2:14" x14ac:dyDescent="0.25">
      <c r="B643" s="14"/>
      <c r="C643" s="51"/>
      <c r="D643" s="52"/>
      <c r="E643" s="42"/>
      <c r="F643" s="53"/>
      <c r="G643" s="40"/>
      <c r="H643" s="40"/>
      <c r="I643" s="54"/>
      <c r="J643" s="55"/>
      <c r="K643" s="55"/>
      <c r="L643" s="56"/>
      <c r="M643" s="57"/>
      <c r="N643" s="346"/>
    </row>
    <row r="644" spans="2:14" x14ac:dyDescent="0.25">
      <c r="B644" s="14"/>
      <c r="C644" s="51"/>
      <c r="D644" s="52"/>
      <c r="E644" s="42"/>
      <c r="F644" s="53"/>
      <c r="G644" s="40"/>
      <c r="H644" s="40"/>
      <c r="I644" s="54"/>
      <c r="J644" s="55"/>
      <c r="K644" s="55"/>
      <c r="L644" s="56"/>
      <c r="M644" s="57"/>
      <c r="N644" s="346"/>
    </row>
    <row r="645" spans="2:14" x14ac:dyDescent="0.25">
      <c r="B645" s="14"/>
      <c r="C645" s="51"/>
      <c r="D645" s="52"/>
      <c r="E645" s="42"/>
      <c r="F645" s="53"/>
      <c r="G645" s="40"/>
      <c r="H645" s="40"/>
      <c r="I645" s="54"/>
      <c r="J645" s="55"/>
      <c r="K645" s="55"/>
      <c r="L645" s="56"/>
      <c r="M645" s="57"/>
      <c r="N645" s="346"/>
    </row>
    <row r="646" spans="2:14" x14ac:dyDescent="0.25">
      <c r="B646" s="14"/>
      <c r="C646" s="51"/>
      <c r="D646" s="52"/>
      <c r="E646" s="42"/>
      <c r="F646" s="53"/>
      <c r="G646" s="40"/>
      <c r="H646" s="40"/>
      <c r="I646" s="54"/>
      <c r="J646" s="55"/>
      <c r="K646" s="55"/>
      <c r="L646" s="56"/>
      <c r="M646" s="57"/>
      <c r="N646" s="346"/>
    </row>
    <row r="647" spans="2:14" x14ac:dyDescent="0.25">
      <c r="B647" s="14"/>
      <c r="C647" s="51"/>
      <c r="D647" s="52"/>
      <c r="E647" s="42"/>
      <c r="F647" s="53"/>
      <c r="G647" s="40"/>
      <c r="H647" s="40"/>
      <c r="I647" s="54"/>
      <c r="J647" s="55"/>
      <c r="K647" s="55"/>
      <c r="L647" s="56"/>
      <c r="M647" s="57"/>
      <c r="N647" s="346"/>
    </row>
    <row r="648" spans="2:14" x14ac:dyDescent="0.25">
      <c r="B648" s="14"/>
      <c r="C648" s="51"/>
      <c r="D648" s="52"/>
      <c r="E648" s="42"/>
      <c r="F648" s="53"/>
      <c r="G648" s="40"/>
      <c r="H648" s="40"/>
      <c r="I648" s="54"/>
      <c r="J648" s="55"/>
      <c r="K648" s="55"/>
      <c r="L648" s="56"/>
      <c r="M648" s="57"/>
      <c r="N648" s="346"/>
    </row>
    <row r="649" spans="2:14" x14ac:dyDescent="0.25">
      <c r="B649" s="14"/>
      <c r="C649" s="51"/>
      <c r="D649" s="52"/>
      <c r="E649" s="42"/>
      <c r="F649" s="53"/>
      <c r="G649" s="40"/>
      <c r="H649" s="40"/>
      <c r="I649" s="54"/>
      <c r="J649" s="55"/>
      <c r="K649" s="55"/>
      <c r="L649" s="56"/>
      <c r="M649" s="57"/>
      <c r="N649" s="346"/>
    </row>
    <row r="650" spans="2:14" x14ac:dyDescent="0.25">
      <c r="B650" s="14"/>
      <c r="C650" s="51"/>
      <c r="D650" s="52"/>
      <c r="E650" s="42"/>
      <c r="F650" s="53"/>
      <c r="G650" s="40"/>
      <c r="H650" s="40"/>
      <c r="I650" s="54"/>
      <c r="J650" s="55"/>
      <c r="K650" s="55"/>
      <c r="L650" s="56"/>
      <c r="M650" s="57"/>
      <c r="N650" s="346"/>
    </row>
    <row r="651" spans="2:14" x14ac:dyDescent="0.25">
      <c r="B651" s="14"/>
      <c r="C651" s="51"/>
      <c r="D651" s="52"/>
      <c r="E651" s="42"/>
      <c r="F651" s="53"/>
      <c r="G651" s="40"/>
      <c r="H651" s="40"/>
      <c r="I651" s="54"/>
      <c r="J651" s="55"/>
      <c r="K651" s="55"/>
      <c r="L651" s="56"/>
      <c r="M651" s="57"/>
      <c r="N651" s="346"/>
    </row>
    <row r="652" spans="2:14" x14ac:dyDescent="0.25">
      <c r="B652" s="14"/>
      <c r="C652" s="51"/>
      <c r="D652" s="52"/>
      <c r="E652" s="42"/>
      <c r="F652" s="53"/>
      <c r="G652" s="40"/>
      <c r="H652" s="40"/>
      <c r="I652" s="54"/>
      <c r="J652" s="55"/>
      <c r="K652" s="55"/>
      <c r="L652" s="56"/>
      <c r="M652" s="57"/>
      <c r="N652" s="346"/>
    </row>
    <row r="653" spans="2:14" x14ac:dyDescent="0.25">
      <c r="B653" s="14"/>
      <c r="C653" s="51"/>
      <c r="D653" s="52"/>
      <c r="E653" s="42"/>
      <c r="F653" s="53"/>
      <c r="G653" s="40"/>
      <c r="H653" s="40"/>
      <c r="I653" s="54"/>
      <c r="J653" s="55"/>
      <c r="K653" s="55"/>
      <c r="L653" s="56"/>
      <c r="M653" s="57"/>
      <c r="N653" s="346"/>
    </row>
    <row r="654" spans="2:14" x14ac:dyDescent="0.25">
      <c r="B654" s="14"/>
      <c r="C654" s="51"/>
      <c r="D654" s="52"/>
      <c r="E654" s="42"/>
      <c r="F654" s="53"/>
      <c r="G654" s="40"/>
      <c r="H654" s="40"/>
      <c r="I654" s="54"/>
      <c r="J654" s="55"/>
      <c r="K654" s="55"/>
      <c r="L654" s="56"/>
      <c r="M654" s="57"/>
      <c r="N654" s="346"/>
    </row>
    <row r="655" spans="2:14" x14ac:dyDescent="0.25">
      <c r="B655" s="14"/>
      <c r="C655" s="51"/>
      <c r="D655" s="52"/>
      <c r="E655" s="42"/>
      <c r="F655" s="53"/>
      <c r="G655" s="40"/>
      <c r="H655" s="40"/>
      <c r="I655" s="54"/>
      <c r="J655" s="55"/>
      <c r="K655" s="55"/>
      <c r="L655" s="56"/>
      <c r="M655" s="57"/>
      <c r="N655" s="346"/>
    </row>
    <row r="656" spans="2:14" x14ac:dyDescent="0.25">
      <c r="B656" s="14"/>
      <c r="C656" s="51"/>
      <c r="D656" s="52"/>
      <c r="E656" s="42"/>
      <c r="F656" s="53"/>
      <c r="G656" s="40"/>
      <c r="H656" s="40"/>
      <c r="I656" s="54"/>
      <c r="J656" s="55"/>
      <c r="K656" s="55"/>
      <c r="L656" s="56"/>
      <c r="M656" s="57"/>
      <c r="N656" s="346"/>
    </row>
    <row r="657" spans="2:14" x14ac:dyDescent="0.25">
      <c r="B657" s="14"/>
      <c r="C657" s="51"/>
      <c r="D657" s="52"/>
      <c r="E657" s="42"/>
      <c r="F657" s="53"/>
      <c r="G657" s="40"/>
      <c r="H657" s="40"/>
      <c r="I657" s="54"/>
      <c r="J657" s="55"/>
      <c r="K657" s="55"/>
      <c r="L657" s="56"/>
      <c r="M657" s="57"/>
      <c r="N657" s="346"/>
    </row>
    <row r="658" spans="2:14" x14ac:dyDescent="0.25">
      <c r="B658" s="14"/>
      <c r="C658" s="51"/>
      <c r="D658" s="52"/>
      <c r="E658" s="42"/>
      <c r="F658" s="53"/>
      <c r="G658" s="40"/>
      <c r="H658" s="40"/>
      <c r="I658" s="54"/>
      <c r="J658" s="55"/>
      <c r="K658" s="55"/>
      <c r="L658" s="56"/>
      <c r="M658" s="57"/>
      <c r="N658" s="346"/>
    </row>
    <row r="659" spans="2:14" x14ac:dyDescent="0.25">
      <c r="B659" s="14"/>
      <c r="C659" s="51"/>
      <c r="D659" s="52"/>
      <c r="E659" s="42"/>
      <c r="F659" s="53"/>
      <c r="G659" s="40"/>
      <c r="H659" s="40"/>
      <c r="I659" s="54"/>
      <c r="J659" s="55"/>
      <c r="K659" s="55"/>
      <c r="L659" s="56"/>
      <c r="M659" s="57"/>
      <c r="N659" s="346"/>
    </row>
    <row r="660" spans="2:14" x14ac:dyDescent="0.25">
      <c r="B660" s="14"/>
      <c r="C660" s="51"/>
      <c r="D660" s="52"/>
      <c r="E660" s="42"/>
      <c r="F660" s="53"/>
      <c r="G660" s="40"/>
      <c r="H660" s="40"/>
      <c r="I660" s="54"/>
      <c r="J660" s="55"/>
      <c r="K660" s="55"/>
      <c r="L660" s="56"/>
      <c r="M660" s="57"/>
      <c r="N660" s="346"/>
    </row>
    <row r="661" spans="2:14" x14ac:dyDescent="0.25">
      <c r="B661" s="14"/>
      <c r="C661" s="51"/>
      <c r="D661" s="52"/>
      <c r="E661" s="42"/>
      <c r="F661" s="53"/>
      <c r="G661" s="40"/>
      <c r="H661" s="40"/>
      <c r="I661" s="54"/>
      <c r="J661" s="55"/>
      <c r="K661" s="55"/>
      <c r="L661" s="56"/>
      <c r="M661" s="57"/>
      <c r="N661" s="346"/>
    </row>
    <row r="662" spans="2:14" x14ac:dyDescent="0.25">
      <c r="B662" s="14"/>
      <c r="C662" s="51"/>
      <c r="D662" s="52"/>
      <c r="E662" s="42"/>
      <c r="F662" s="53"/>
      <c r="G662" s="40"/>
      <c r="H662" s="40"/>
      <c r="I662" s="54"/>
      <c r="J662" s="55"/>
      <c r="K662" s="55"/>
      <c r="L662" s="56"/>
      <c r="M662" s="57"/>
      <c r="N662" s="346"/>
    </row>
    <row r="663" spans="2:14" x14ac:dyDescent="0.25">
      <c r="B663" s="14"/>
      <c r="C663" s="51"/>
      <c r="D663" s="52"/>
      <c r="E663" s="42"/>
      <c r="F663" s="53"/>
      <c r="G663" s="40"/>
      <c r="H663" s="40"/>
      <c r="I663" s="54"/>
      <c r="J663" s="55"/>
      <c r="K663" s="55"/>
      <c r="L663" s="56"/>
      <c r="M663" s="57"/>
      <c r="N663" s="346"/>
    </row>
    <row r="664" spans="2:14" x14ac:dyDescent="0.25">
      <c r="B664" s="14"/>
      <c r="C664" s="51"/>
      <c r="D664" s="52"/>
      <c r="E664" s="42"/>
      <c r="F664" s="53"/>
      <c r="G664" s="40"/>
      <c r="H664" s="40"/>
      <c r="I664" s="54"/>
      <c r="J664" s="55"/>
      <c r="K664" s="55"/>
      <c r="L664" s="56"/>
      <c r="M664" s="57"/>
      <c r="N664" s="346"/>
    </row>
    <row r="665" spans="2:14" x14ac:dyDescent="0.25">
      <c r="B665" s="14"/>
      <c r="C665" s="51"/>
      <c r="D665" s="52"/>
      <c r="E665" s="42"/>
      <c r="F665" s="53"/>
      <c r="G665" s="40"/>
      <c r="H665" s="40"/>
      <c r="I665" s="54"/>
      <c r="J665" s="55"/>
      <c r="K665" s="55"/>
      <c r="L665" s="56"/>
      <c r="M665" s="57"/>
      <c r="N665" s="346"/>
    </row>
    <row r="666" spans="2:14" x14ac:dyDescent="0.25">
      <c r="B666" s="14"/>
      <c r="C666" s="51"/>
      <c r="D666" s="52"/>
      <c r="E666" s="42"/>
      <c r="F666" s="53"/>
      <c r="G666" s="40"/>
      <c r="H666" s="40"/>
      <c r="I666" s="54"/>
      <c r="J666" s="55"/>
      <c r="K666" s="55"/>
      <c r="L666" s="56"/>
      <c r="M666" s="57"/>
      <c r="N666" s="346"/>
    </row>
    <row r="667" spans="2:14" x14ac:dyDescent="0.25">
      <c r="B667" s="14"/>
      <c r="C667" s="51"/>
      <c r="D667" s="52"/>
      <c r="E667" s="42"/>
      <c r="F667" s="53"/>
      <c r="G667" s="40"/>
      <c r="H667" s="40"/>
      <c r="I667" s="54"/>
      <c r="J667" s="55"/>
      <c r="K667" s="55"/>
      <c r="L667" s="56"/>
      <c r="M667" s="57"/>
      <c r="N667" s="346"/>
    </row>
    <row r="668" spans="2:14" x14ac:dyDescent="0.25">
      <c r="B668" s="14"/>
      <c r="C668" s="51"/>
      <c r="D668" s="52"/>
      <c r="E668" s="42"/>
      <c r="F668" s="53"/>
      <c r="G668" s="40"/>
      <c r="H668" s="40"/>
      <c r="I668" s="54"/>
      <c r="J668" s="55"/>
      <c r="K668" s="55"/>
      <c r="L668" s="56"/>
      <c r="M668" s="57"/>
      <c r="N668" s="346"/>
    </row>
    <row r="669" spans="2:14" x14ac:dyDescent="0.25">
      <c r="B669" s="14"/>
      <c r="C669" s="51"/>
      <c r="D669" s="52"/>
      <c r="E669" s="42"/>
      <c r="F669" s="53"/>
      <c r="G669" s="40"/>
      <c r="H669" s="40"/>
      <c r="I669" s="54"/>
      <c r="J669" s="55"/>
      <c r="K669" s="55"/>
      <c r="L669" s="56"/>
      <c r="M669" s="57"/>
      <c r="N669" s="346"/>
    </row>
    <row r="670" spans="2:14" x14ac:dyDescent="0.25">
      <c r="B670" s="14"/>
      <c r="C670" s="51"/>
      <c r="D670" s="52"/>
      <c r="E670" s="42"/>
      <c r="F670" s="53"/>
      <c r="G670" s="40"/>
      <c r="H670" s="40"/>
      <c r="I670" s="54"/>
      <c r="J670" s="55"/>
      <c r="K670" s="55"/>
      <c r="L670" s="56"/>
      <c r="M670" s="57"/>
      <c r="N670" s="346"/>
    </row>
    <row r="671" spans="2:14" x14ac:dyDescent="0.25">
      <c r="B671" s="14"/>
      <c r="C671" s="51"/>
      <c r="D671" s="52"/>
      <c r="E671" s="42"/>
      <c r="F671" s="53"/>
      <c r="G671" s="40"/>
      <c r="H671" s="40"/>
      <c r="I671" s="54"/>
      <c r="J671" s="55"/>
      <c r="K671" s="55"/>
      <c r="L671" s="56"/>
      <c r="M671" s="57"/>
      <c r="N671" s="346"/>
    </row>
    <row r="672" spans="2:14" x14ac:dyDescent="0.25">
      <c r="B672" s="14"/>
      <c r="C672" s="51"/>
      <c r="D672" s="52"/>
      <c r="E672" s="42"/>
      <c r="F672" s="53"/>
      <c r="G672" s="40"/>
      <c r="H672" s="40"/>
      <c r="I672" s="54"/>
      <c r="J672" s="55"/>
      <c r="K672" s="55"/>
      <c r="L672" s="56"/>
      <c r="M672" s="57"/>
      <c r="N672" s="346"/>
    </row>
    <row r="673" spans="2:14" x14ac:dyDescent="0.25">
      <c r="B673" s="14"/>
      <c r="C673" s="51"/>
      <c r="D673" s="52"/>
      <c r="E673" s="42"/>
      <c r="F673" s="53"/>
      <c r="G673" s="40"/>
      <c r="H673" s="40"/>
      <c r="I673" s="54"/>
      <c r="J673" s="55"/>
      <c r="K673" s="55"/>
      <c r="L673" s="56"/>
      <c r="M673" s="57"/>
      <c r="N673" s="346"/>
    </row>
    <row r="674" spans="2:14" x14ac:dyDescent="0.25">
      <c r="B674" s="14"/>
      <c r="C674" s="51"/>
      <c r="D674" s="52"/>
      <c r="E674" s="42"/>
      <c r="F674" s="53"/>
      <c r="G674" s="40"/>
      <c r="H674" s="40"/>
      <c r="I674" s="54"/>
      <c r="J674" s="55"/>
      <c r="K674" s="55"/>
      <c r="L674" s="56"/>
      <c r="M674" s="57"/>
      <c r="N674" s="346"/>
    </row>
    <row r="675" spans="2:14" x14ac:dyDescent="0.25">
      <c r="B675" s="14"/>
      <c r="C675" s="51"/>
      <c r="D675" s="52"/>
      <c r="E675" s="42"/>
      <c r="F675" s="53"/>
      <c r="G675" s="40"/>
      <c r="H675" s="40"/>
      <c r="I675" s="54"/>
      <c r="J675" s="55"/>
      <c r="K675" s="55"/>
      <c r="L675" s="56"/>
      <c r="M675" s="57"/>
      <c r="N675" s="346"/>
    </row>
    <row r="676" spans="2:14" x14ac:dyDescent="0.25">
      <c r="B676" s="14"/>
      <c r="C676" s="51"/>
      <c r="D676" s="52"/>
      <c r="E676" s="42"/>
      <c r="F676" s="53"/>
      <c r="G676" s="40"/>
      <c r="H676" s="40"/>
      <c r="I676" s="54"/>
      <c r="J676" s="55"/>
      <c r="K676" s="55"/>
      <c r="L676" s="56"/>
      <c r="M676" s="57"/>
      <c r="N676" s="346"/>
    </row>
    <row r="677" spans="2:14" x14ac:dyDescent="0.25">
      <c r="B677" s="14"/>
      <c r="C677" s="51"/>
      <c r="D677" s="52"/>
      <c r="E677" s="42"/>
      <c r="F677" s="53"/>
      <c r="G677" s="40"/>
      <c r="H677" s="40"/>
      <c r="I677" s="54"/>
      <c r="J677" s="55"/>
      <c r="K677" s="55"/>
      <c r="L677" s="56"/>
      <c r="M677" s="57"/>
      <c r="N677" s="346"/>
    </row>
    <row r="678" spans="2:14" x14ac:dyDescent="0.25">
      <c r="B678" s="14"/>
      <c r="C678" s="51"/>
      <c r="D678" s="52"/>
      <c r="E678" s="42"/>
      <c r="F678" s="53"/>
      <c r="G678" s="40"/>
      <c r="H678" s="40"/>
      <c r="I678" s="54"/>
      <c r="J678" s="55"/>
      <c r="K678" s="55"/>
      <c r="L678" s="56"/>
      <c r="M678" s="57"/>
      <c r="N678" s="346"/>
    </row>
    <row r="679" spans="2:14" x14ac:dyDescent="0.25">
      <c r="B679" s="14"/>
      <c r="C679" s="51"/>
      <c r="D679" s="52"/>
      <c r="E679" s="42"/>
      <c r="F679" s="53"/>
      <c r="G679" s="40"/>
      <c r="H679" s="40"/>
      <c r="I679" s="54"/>
      <c r="J679" s="55"/>
      <c r="K679" s="55"/>
      <c r="L679" s="56"/>
      <c r="M679" s="57"/>
      <c r="N679" s="346"/>
    </row>
    <row r="680" spans="2:14" x14ac:dyDescent="0.25">
      <c r="B680" s="14"/>
      <c r="C680" s="51"/>
      <c r="D680" s="52"/>
      <c r="E680" s="42"/>
      <c r="F680" s="53"/>
      <c r="G680" s="40"/>
      <c r="H680" s="40"/>
      <c r="I680" s="54"/>
      <c r="J680" s="55"/>
      <c r="K680" s="55"/>
      <c r="L680" s="56"/>
      <c r="M680" s="57"/>
      <c r="N680" s="346"/>
    </row>
    <row r="681" spans="2:14" x14ac:dyDescent="0.25">
      <c r="B681" s="14"/>
      <c r="C681" s="51"/>
      <c r="D681" s="52"/>
      <c r="E681" s="42"/>
      <c r="F681" s="53"/>
      <c r="G681" s="40"/>
      <c r="H681" s="40"/>
      <c r="I681" s="54"/>
      <c r="J681" s="55"/>
      <c r="K681" s="55"/>
      <c r="L681" s="56"/>
      <c r="M681" s="57"/>
      <c r="N681" s="346"/>
    </row>
    <row r="682" spans="2:14" x14ac:dyDescent="0.25">
      <c r="B682" s="14"/>
      <c r="C682" s="51"/>
      <c r="D682" s="52"/>
      <c r="E682" s="42"/>
      <c r="F682" s="53"/>
      <c r="G682" s="40"/>
      <c r="H682" s="40"/>
      <c r="I682" s="54"/>
      <c r="J682" s="55"/>
      <c r="K682" s="55"/>
      <c r="L682" s="56"/>
      <c r="M682" s="57"/>
      <c r="N682" s="346"/>
    </row>
    <row r="683" spans="2:14" x14ac:dyDescent="0.25">
      <c r="B683" s="14"/>
      <c r="C683" s="51"/>
      <c r="D683" s="52"/>
      <c r="E683" s="42"/>
      <c r="F683" s="53"/>
      <c r="G683" s="40"/>
      <c r="H683" s="40"/>
      <c r="I683" s="54"/>
      <c r="J683" s="55"/>
      <c r="K683" s="55"/>
      <c r="L683" s="56"/>
      <c r="M683" s="57"/>
      <c r="N683" s="346"/>
    </row>
    <row r="684" spans="2:14" x14ac:dyDescent="0.25">
      <c r="B684" s="14"/>
      <c r="C684" s="51"/>
      <c r="D684" s="52"/>
      <c r="E684" s="42"/>
      <c r="F684" s="53"/>
      <c r="G684" s="40"/>
      <c r="H684" s="40"/>
      <c r="I684" s="54"/>
      <c r="J684" s="55"/>
      <c r="K684" s="55"/>
      <c r="L684" s="56"/>
      <c r="M684" s="57"/>
      <c r="N684" s="346"/>
    </row>
    <row r="685" spans="2:14" x14ac:dyDescent="0.25">
      <c r="B685" s="14"/>
      <c r="C685" s="51"/>
      <c r="D685" s="52"/>
      <c r="E685" s="42"/>
      <c r="F685" s="53"/>
      <c r="G685" s="40"/>
      <c r="H685" s="40"/>
      <c r="I685" s="54"/>
      <c r="J685" s="55"/>
      <c r="K685" s="55"/>
      <c r="L685" s="56"/>
      <c r="M685" s="57"/>
      <c r="N685" s="346"/>
    </row>
    <row r="686" spans="2:14" x14ac:dyDescent="0.25">
      <c r="B686" s="14"/>
      <c r="C686" s="51"/>
      <c r="D686" s="52"/>
      <c r="E686" s="42"/>
      <c r="F686" s="53"/>
      <c r="G686" s="40"/>
      <c r="H686" s="40"/>
      <c r="I686" s="54"/>
      <c r="J686" s="55"/>
      <c r="K686" s="55"/>
      <c r="L686" s="56"/>
      <c r="M686" s="57"/>
      <c r="N686" s="346"/>
    </row>
    <row r="687" spans="2:14" x14ac:dyDescent="0.25">
      <c r="B687" s="14"/>
      <c r="C687" s="51"/>
      <c r="D687" s="52"/>
      <c r="E687" s="42"/>
      <c r="F687" s="53"/>
      <c r="G687" s="40"/>
      <c r="H687" s="40"/>
      <c r="I687" s="54"/>
      <c r="J687" s="55"/>
      <c r="K687" s="55"/>
      <c r="L687" s="56"/>
      <c r="M687" s="57"/>
      <c r="N687" s="346"/>
    </row>
    <row r="688" spans="2:14" x14ac:dyDescent="0.25">
      <c r="B688" s="14"/>
      <c r="C688" s="51"/>
      <c r="D688" s="52"/>
      <c r="E688" s="42"/>
      <c r="F688" s="53"/>
      <c r="G688" s="40"/>
      <c r="H688" s="40"/>
      <c r="I688" s="54"/>
      <c r="J688" s="55"/>
      <c r="K688" s="55"/>
      <c r="L688" s="56"/>
      <c r="M688" s="57"/>
      <c r="N688" s="346"/>
    </row>
    <row r="689" spans="2:14" x14ac:dyDescent="0.25">
      <c r="B689" s="14"/>
      <c r="C689" s="51"/>
      <c r="D689" s="52"/>
      <c r="E689" s="42"/>
      <c r="F689" s="53"/>
      <c r="G689" s="40"/>
      <c r="H689" s="40"/>
      <c r="I689" s="54"/>
      <c r="J689" s="55"/>
      <c r="K689" s="55"/>
      <c r="L689" s="56"/>
      <c r="M689" s="57"/>
      <c r="N689" s="346"/>
    </row>
    <row r="690" spans="2:14" x14ac:dyDescent="0.25">
      <c r="B690" s="14"/>
      <c r="C690" s="51"/>
      <c r="D690" s="52"/>
      <c r="E690" s="42"/>
      <c r="F690" s="53"/>
      <c r="G690" s="40"/>
      <c r="H690" s="40"/>
      <c r="I690" s="54"/>
      <c r="J690" s="55"/>
      <c r="K690" s="55"/>
      <c r="L690" s="56"/>
      <c r="M690" s="57"/>
      <c r="N690" s="346"/>
    </row>
    <row r="691" spans="2:14" x14ac:dyDescent="0.25">
      <c r="B691" s="14"/>
      <c r="C691" s="51"/>
      <c r="D691" s="52"/>
      <c r="E691" s="42"/>
      <c r="F691" s="53"/>
      <c r="G691" s="40"/>
      <c r="H691" s="40"/>
      <c r="I691" s="54"/>
      <c r="J691" s="55"/>
      <c r="K691" s="55"/>
      <c r="L691" s="56"/>
      <c r="M691" s="57"/>
      <c r="N691" s="346"/>
    </row>
    <row r="692" spans="2:14" x14ac:dyDescent="0.25">
      <c r="B692" s="14"/>
      <c r="C692" s="51"/>
      <c r="D692" s="52"/>
      <c r="E692" s="42"/>
      <c r="F692" s="53"/>
      <c r="G692" s="40"/>
      <c r="H692" s="40"/>
      <c r="I692" s="54"/>
      <c r="J692" s="55"/>
      <c r="K692" s="55"/>
      <c r="L692" s="56"/>
      <c r="M692" s="57"/>
      <c r="N692" s="346"/>
    </row>
    <row r="693" spans="2:14" x14ac:dyDescent="0.25">
      <c r="B693" s="14"/>
      <c r="C693" s="51"/>
      <c r="D693" s="52"/>
      <c r="E693" s="42"/>
      <c r="F693" s="53"/>
      <c r="G693" s="40"/>
      <c r="H693" s="40"/>
      <c r="I693" s="54"/>
      <c r="J693" s="55"/>
      <c r="K693" s="55"/>
      <c r="L693" s="56"/>
      <c r="M693" s="57"/>
      <c r="N693" s="346"/>
    </row>
    <row r="694" spans="2:14" x14ac:dyDescent="0.25">
      <c r="B694" s="14"/>
      <c r="C694" s="51"/>
      <c r="D694" s="52"/>
      <c r="E694" s="42"/>
      <c r="F694" s="53"/>
      <c r="G694" s="40"/>
      <c r="H694" s="40"/>
      <c r="I694" s="54"/>
      <c r="J694" s="55"/>
      <c r="K694" s="55"/>
      <c r="L694" s="56"/>
      <c r="M694" s="57"/>
      <c r="N694" s="346"/>
    </row>
    <row r="695" spans="2:14" x14ac:dyDescent="0.25">
      <c r="B695" s="14"/>
      <c r="C695" s="51"/>
      <c r="D695" s="52"/>
      <c r="E695" s="42"/>
      <c r="F695" s="53"/>
      <c r="G695" s="40"/>
      <c r="H695" s="40"/>
      <c r="I695" s="54"/>
      <c r="J695" s="55"/>
      <c r="K695" s="55"/>
      <c r="L695" s="56"/>
      <c r="M695" s="57"/>
      <c r="N695" s="346"/>
    </row>
    <row r="696" spans="2:14" x14ac:dyDescent="0.25">
      <c r="B696" s="14"/>
      <c r="C696" s="51"/>
      <c r="D696" s="52"/>
      <c r="E696" s="42"/>
      <c r="F696" s="53"/>
      <c r="G696" s="40"/>
      <c r="H696" s="40"/>
      <c r="I696" s="54"/>
      <c r="J696" s="55"/>
      <c r="K696" s="55"/>
      <c r="L696" s="56"/>
      <c r="M696" s="57"/>
      <c r="N696" s="346"/>
    </row>
    <row r="697" spans="2:14" x14ac:dyDescent="0.25">
      <c r="B697" s="14"/>
      <c r="C697" s="51"/>
      <c r="D697" s="52"/>
      <c r="E697" s="42"/>
      <c r="F697" s="53"/>
      <c r="G697" s="40"/>
      <c r="H697" s="40"/>
      <c r="I697" s="54"/>
      <c r="J697" s="55"/>
      <c r="K697" s="55"/>
      <c r="L697" s="56"/>
      <c r="M697" s="57"/>
      <c r="N697" s="346"/>
    </row>
    <row r="698" spans="2:14" x14ac:dyDescent="0.25">
      <c r="B698" s="14"/>
      <c r="C698" s="51"/>
      <c r="D698" s="52"/>
      <c r="E698" s="42"/>
      <c r="F698" s="53"/>
      <c r="G698" s="40"/>
      <c r="H698" s="40"/>
      <c r="I698" s="54"/>
      <c r="J698" s="55"/>
      <c r="K698" s="55"/>
      <c r="L698" s="56"/>
      <c r="M698" s="57"/>
      <c r="N698" s="346"/>
    </row>
    <row r="699" spans="2:14" x14ac:dyDescent="0.25">
      <c r="B699" s="14"/>
      <c r="C699" s="51"/>
      <c r="D699" s="52"/>
      <c r="E699" s="42"/>
      <c r="F699" s="53"/>
      <c r="G699" s="40"/>
      <c r="H699" s="40"/>
      <c r="I699" s="54"/>
      <c r="J699" s="55"/>
      <c r="K699" s="55"/>
      <c r="L699" s="56"/>
      <c r="M699" s="57"/>
      <c r="N699" s="346"/>
    </row>
    <row r="700" spans="2:14" x14ac:dyDescent="0.25">
      <c r="B700" s="14"/>
      <c r="C700" s="51"/>
      <c r="D700" s="52"/>
      <c r="E700" s="42"/>
      <c r="F700" s="53"/>
      <c r="G700" s="40"/>
      <c r="H700" s="40"/>
      <c r="I700" s="54"/>
      <c r="J700" s="55"/>
      <c r="K700" s="55"/>
      <c r="L700" s="56"/>
      <c r="M700" s="57"/>
      <c r="N700" s="346"/>
    </row>
    <row r="701" spans="2:14" x14ac:dyDescent="0.25">
      <c r="B701" s="14"/>
      <c r="C701" s="51"/>
      <c r="D701" s="52"/>
      <c r="E701" s="42"/>
      <c r="F701" s="53"/>
      <c r="G701" s="40"/>
      <c r="H701" s="40"/>
      <c r="I701" s="54"/>
      <c r="J701" s="55"/>
      <c r="K701" s="55"/>
      <c r="L701" s="56"/>
      <c r="M701" s="57"/>
      <c r="N701" s="346"/>
    </row>
    <row r="702" spans="2:14" x14ac:dyDescent="0.25">
      <c r="B702" s="14"/>
      <c r="C702" s="51"/>
      <c r="D702" s="52"/>
      <c r="E702" s="42"/>
      <c r="F702" s="53"/>
      <c r="G702" s="40"/>
      <c r="H702" s="40"/>
      <c r="I702" s="54"/>
      <c r="J702" s="55"/>
      <c r="K702" s="55"/>
      <c r="L702" s="56"/>
      <c r="M702" s="57"/>
      <c r="N702" s="346"/>
    </row>
    <row r="703" spans="2:14" x14ac:dyDescent="0.25">
      <c r="B703" s="14"/>
      <c r="C703" s="51"/>
      <c r="D703" s="52"/>
      <c r="E703" s="42"/>
      <c r="F703" s="53"/>
      <c r="G703" s="40"/>
      <c r="H703" s="40"/>
      <c r="I703" s="54"/>
      <c r="J703" s="55"/>
      <c r="K703" s="55"/>
      <c r="L703" s="56"/>
      <c r="M703" s="57"/>
      <c r="N703" s="346"/>
    </row>
    <row r="704" spans="2:14" x14ac:dyDescent="0.25">
      <c r="B704" s="14"/>
      <c r="C704" s="51"/>
      <c r="D704" s="52"/>
      <c r="E704" s="42"/>
      <c r="F704" s="53"/>
      <c r="G704" s="40"/>
      <c r="H704" s="40"/>
      <c r="I704" s="54"/>
      <c r="J704" s="55"/>
      <c r="K704" s="55"/>
      <c r="L704" s="56"/>
      <c r="M704" s="57"/>
      <c r="N704" s="346"/>
    </row>
    <row r="705" spans="2:14" x14ac:dyDescent="0.25">
      <c r="B705" s="14"/>
      <c r="C705" s="51"/>
      <c r="D705" s="52"/>
      <c r="E705" s="42"/>
      <c r="F705" s="53"/>
      <c r="G705" s="40"/>
      <c r="H705" s="40"/>
      <c r="I705" s="54"/>
      <c r="J705" s="55"/>
      <c r="K705" s="55"/>
      <c r="L705" s="56"/>
      <c r="M705" s="57"/>
      <c r="N705" s="346"/>
    </row>
    <row r="706" spans="2:14" x14ac:dyDescent="0.25">
      <c r="B706" s="14"/>
      <c r="C706" s="51"/>
      <c r="D706" s="52"/>
      <c r="E706" s="42"/>
      <c r="F706" s="53"/>
      <c r="G706" s="40"/>
      <c r="H706" s="40"/>
      <c r="I706" s="54"/>
      <c r="J706" s="55"/>
      <c r="K706" s="55"/>
      <c r="L706" s="56"/>
      <c r="M706" s="57"/>
      <c r="N706" s="346"/>
    </row>
    <row r="707" spans="2:14" x14ac:dyDescent="0.25">
      <c r="B707" s="14"/>
      <c r="C707" s="51"/>
      <c r="D707" s="52"/>
      <c r="E707" s="42"/>
      <c r="F707" s="53"/>
      <c r="G707" s="40"/>
      <c r="H707" s="40"/>
      <c r="I707" s="54"/>
      <c r="J707" s="55"/>
      <c r="K707" s="55"/>
      <c r="L707" s="56"/>
      <c r="M707" s="57"/>
      <c r="N707" s="346"/>
    </row>
    <row r="708" spans="2:14" x14ac:dyDescent="0.25">
      <c r="B708" s="14"/>
      <c r="C708" s="51"/>
      <c r="D708" s="52"/>
      <c r="E708" s="42"/>
      <c r="F708" s="53"/>
      <c r="G708" s="40"/>
      <c r="H708" s="40"/>
      <c r="I708" s="54"/>
      <c r="J708" s="55"/>
      <c r="K708" s="55"/>
      <c r="L708" s="56"/>
      <c r="M708" s="57"/>
      <c r="N708" s="346"/>
    </row>
    <row r="709" spans="2:14" x14ac:dyDescent="0.25">
      <c r="B709" s="14"/>
      <c r="C709" s="51"/>
      <c r="D709" s="52"/>
      <c r="E709" s="42"/>
      <c r="F709" s="53"/>
      <c r="G709" s="40"/>
      <c r="H709" s="40"/>
      <c r="I709" s="54"/>
      <c r="J709" s="55"/>
      <c r="K709" s="55"/>
      <c r="L709" s="56"/>
      <c r="M709" s="57"/>
      <c r="N709" s="346"/>
    </row>
    <row r="710" spans="2:14" x14ac:dyDescent="0.25">
      <c r="B710" s="14"/>
      <c r="C710" s="51"/>
      <c r="D710" s="52"/>
      <c r="E710" s="42"/>
      <c r="F710" s="53"/>
      <c r="G710" s="40"/>
      <c r="H710" s="40"/>
      <c r="I710" s="54"/>
      <c r="J710" s="55"/>
      <c r="K710" s="55"/>
      <c r="L710" s="56"/>
      <c r="M710" s="57"/>
      <c r="N710" s="346"/>
    </row>
    <row r="711" spans="2:14" x14ac:dyDescent="0.25">
      <c r="B711" s="14"/>
      <c r="C711" s="51"/>
      <c r="D711" s="52"/>
      <c r="E711" s="42"/>
      <c r="F711" s="53"/>
      <c r="G711" s="40"/>
      <c r="H711" s="40"/>
      <c r="I711" s="54"/>
      <c r="J711" s="55"/>
      <c r="K711" s="55"/>
      <c r="L711" s="56"/>
      <c r="M711" s="57"/>
      <c r="N711" s="346"/>
    </row>
    <row r="712" spans="2:14" x14ac:dyDescent="0.25">
      <c r="B712" s="14"/>
      <c r="C712" s="51"/>
      <c r="D712" s="52"/>
      <c r="E712" s="42"/>
      <c r="F712" s="53"/>
      <c r="G712" s="40"/>
      <c r="H712" s="40"/>
      <c r="I712" s="54"/>
      <c r="J712" s="55"/>
      <c r="K712" s="55"/>
      <c r="L712" s="56"/>
      <c r="M712" s="57"/>
      <c r="N712" s="346"/>
    </row>
    <row r="713" spans="2:14" x14ac:dyDescent="0.25">
      <c r="B713" s="14"/>
      <c r="C713" s="51"/>
      <c r="D713" s="52"/>
      <c r="E713" s="42"/>
      <c r="F713" s="53"/>
      <c r="G713" s="40"/>
      <c r="H713" s="40"/>
      <c r="I713" s="54"/>
      <c r="J713" s="55"/>
      <c r="K713" s="55"/>
      <c r="L713" s="56"/>
      <c r="M713" s="57"/>
      <c r="N713" s="346"/>
    </row>
    <row r="714" spans="2:14" x14ac:dyDescent="0.25">
      <c r="B714" s="14"/>
      <c r="C714" s="51"/>
      <c r="D714" s="52"/>
      <c r="E714" s="42"/>
      <c r="F714" s="53"/>
      <c r="G714" s="40"/>
      <c r="H714" s="40"/>
      <c r="I714" s="54"/>
      <c r="J714" s="55"/>
      <c r="K714" s="55"/>
      <c r="L714" s="56"/>
      <c r="M714" s="57"/>
      <c r="N714" s="346"/>
    </row>
    <row r="715" spans="2:14" x14ac:dyDescent="0.25">
      <c r="B715" s="14"/>
      <c r="C715" s="51"/>
      <c r="D715" s="52"/>
      <c r="E715" s="42"/>
      <c r="F715" s="53"/>
      <c r="G715" s="40"/>
      <c r="H715" s="40"/>
      <c r="I715" s="54"/>
      <c r="J715" s="55"/>
      <c r="K715" s="55"/>
      <c r="L715" s="56"/>
      <c r="M715" s="57"/>
      <c r="N715" s="346"/>
    </row>
    <row r="716" spans="2:14" x14ac:dyDescent="0.25">
      <c r="B716" s="14"/>
      <c r="C716" s="51"/>
      <c r="D716" s="52"/>
      <c r="E716" s="42"/>
      <c r="F716" s="53"/>
      <c r="G716" s="40"/>
      <c r="H716" s="40"/>
      <c r="I716" s="54"/>
      <c r="J716" s="55"/>
      <c r="K716" s="55"/>
      <c r="L716" s="56"/>
      <c r="M716" s="57"/>
      <c r="N716" s="346"/>
    </row>
    <row r="717" spans="2:14" x14ac:dyDescent="0.25">
      <c r="B717" s="14"/>
      <c r="C717" s="51"/>
      <c r="D717" s="52"/>
      <c r="E717" s="42"/>
      <c r="F717" s="53"/>
      <c r="G717" s="40"/>
      <c r="H717" s="40"/>
      <c r="I717" s="54"/>
      <c r="J717" s="55"/>
      <c r="K717" s="55"/>
      <c r="L717" s="56"/>
      <c r="M717" s="57"/>
      <c r="N717" s="346"/>
    </row>
    <row r="718" spans="2:14" x14ac:dyDescent="0.25">
      <c r="B718" s="14"/>
      <c r="C718" s="51"/>
      <c r="D718" s="52"/>
      <c r="E718" s="42"/>
      <c r="F718" s="53"/>
      <c r="G718" s="40"/>
      <c r="H718" s="40"/>
      <c r="I718" s="54"/>
      <c r="J718" s="55"/>
      <c r="K718" s="55"/>
      <c r="L718" s="56"/>
      <c r="M718" s="57"/>
      <c r="N718" s="346"/>
    </row>
    <row r="719" spans="2:14" x14ac:dyDescent="0.25">
      <c r="B719" s="14"/>
      <c r="C719" s="51"/>
      <c r="D719" s="52"/>
      <c r="E719" s="42"/>
      <c r="F719" s="53"/>
      <c r="G719" s="40"/>
      <c r="H719" s="40"/>
      <c r="I719" s="54"/>
      <c r="J719" s="55"/>
      <c r="K719" s="55"/>
      <c r="L719" s="56"/>
      <c r="M719" s="57"/>
      <c r="N719" s="346"/>
    </row>
    <row r="720" spans="2:14" x14ac:dyDescent="0.25">
      <c r="B720" s="14"/>
      <c r="C720" s="51"/>
      <c r="D720" s="52"/>
      <c r="E720" s="42"/>
      <c r="F720" s="53"/>
      <c r="G720" s="40"/>
      <c r="H720" s="40"/>
      <c r="I720" s="54"/>
      <c r="J720" s="55"/>
      <c r="K720" s="55"/>
      <c r="L720" s="56"/>
      <c r="M720" s="57"/>
      <c r="N720" s="346"/>
    </row>
    <row r="721" spans="2:14" x14ac:dyDescent="0.25">
      <c r="B721" s="14"/>
      <c r="C721" s="51"/>
      <c r="D721" s="52"/>
      <c r="E721" s="42"/>
      <c r="F721" s="53"/>
      <c r="G721" s="40"/>
      <c r="H721" s="40"/>
      <c r="I721" s="54"/>
      <c r="J721" s="55"/>
      <c r="K721" s="55"/>
      <c r="L721" s="56"/>
      <c r="M721" s="57"/>
      <c r="N721" s="346"/>
    </row>
    <row r="722" spans="2:14" x14ac:dyDescent="0.25">
      <c r="B722" s="14"/>
      <c r="C722" s="51"/>
      <c r="D722" s="52"/>
      <c r="E722" s="42"/>
      <c r="F722" s="53"/>
      <c r="G722" s="40"/>
      <c r="H722" s="40"/>
      <c r="I722" s="54"/>
      <c r="J722" s="55"/>
      <c r="K722" s="55"/>
      <c r="L722" s="56"/>
      <c r="M722" s="57"/>
      <c r="N722" s="346"/>
    </row>
    <row r="723" spans="2:14" x14ac:dyDescent="0.25">
      <c r="B723" s="14"/>
      <c r="C723" s="51"/>
      <c r="D723" s="52"/>
      <c r="E723" s="42"/>
      <c r="F723" s="53"/>
      <c r="G723" s="40"/>
      <c r="H723" s="40"/>
      <c r="I723" s="54"/>
      <c r="J723" s="55"/>
      <c r="K723" s="55"/>
      <c r="L723" s="56"/>
      <c r="M723" s="57"/>
      <c r="N723" s="346"/>
    </row>
    <row r="724" spans="2:14" x14ac:dyDescent="0.25">
      <c r="B724" s="14"/>
      <c r="C724" s="51"/>
      <c r="D724" s="52"/>
      <c r="E724" s="42"/>
      <c r="F724" s="53"/>
      <c r="G724" s="40"/>
      <c r="H724" s="40"/>
      <c r="I724" s="54"/>
      <c r="J724" s="55"/>
      <c r="K724" s="55"/>
      <c r="L724" s="56"/>
      <c r="M724" s="57"/>
      <c r="N724" s="346"/>
    </row>
    <row r="725" spans="2:14" x14ac:dyDescent="0.25">
      <c r="B725" s="14"/>
      <c r="C725" s="51"/>
      <c r="D725" s="52"/>
      <c r="E725" s="42"/>
      <c r="F725" s="53"/>
      <c r="G725" s="40"/>
      <c r="H725" s="40"/>
      <c r="I725" s="54"/>
      <c r="J725" s="55"/>
      <c r="K725" s="55"/>
      <c r="L725" s="56"/>
      <c r="M725" s="57"/>
      <c r="N725" s="346"/>
    </row>
    <row r="726" spans="2:14" x14ac:dyDescent="0.25">
      <c r="B726" s="14"/>
      <c r="C726" s="51"/>
      <c r="D726" s="52"/>
      <c r="E726" s="42"/>
      <c r="F726" s="53"/>
      <c r="G726" s="40"/>
      <c r="H726" s="40"/>
      <c r="I726" s="54"/>
      <c r="J726" s="55"/>
      <c r="K726" s="55"/>
      <c r="L726" s="56"/>
      <c r="M726" s="57"/>
      <c r="N726" s="346"/>
    </row>
    <row r="727" spans="2:14" x14ac:dyDescent="0.25">
      <c r="B727" s="14"/>
      <c r="C727" s="51"/>
      <c r="D727" s="52"/>
      <c r="E727" s="42"/>
      <c r="F727" s="53"/>
      <c r="G727" s="40"/>
      <c r="H727" s="40"/>
      <c r="I727" s="54"/>
      <c r="J727" s="55"/>
      <c r="K727" s="55"/>
      <c r="L727" s="56"/>
      <c r="M727" s="57"/>
      <c r="N727" s="346"/>
    </row>
    <row r="728" spans="2:14" x14ac:dyDescent="0.25">
      <c r="B728" s="14"/>
      <c r="C728" s="51"/>
      <c r="D728" s="52"/>
      <c r="E728" s="42"/>
      <c r="F728" s="53"/>
      <c r="G728" s="40"/>
      <c r="H728" s="40"/>
      <c r="I728" s="54"/>
      <c r="J728" s="55"/>
      <c r="K728" s="55"/>
      <c r="L728" s="56"/>
      <c r="M728" s="57"/>
      <c r="N728" s="346"/>
    </row>
    <row r="729" spans="2:14" x14ac:dyDescent="0.25">
      <c r="B729" s="14"/>
      <c r="C729" s="51"/>
      <c r="D729" s="52"/>
      <c r="E729" s="42"/>
      <c r="F729" s="53"/>
      <c r="G729" s="40"/>
      <c r="H729" s="40"/>
      <c r="I729" s="54"/>
      <c r="J729" s="55"/>
      <c r="K729" s="55"/>
      <c r="L729" s="56"/>
      <c r="M729" s="57"/>
      <c r="N729" s="346"/>
    </row>
    <row r="730" spans="2:14" x14ac:dyDescent="0.25">
      <c r="B730" s="14"/>
      <c r="C730" s="51"/>
      <c r="D730" s="52"/>
      <c r="E730" s="42"/>
      <c r="F730" s="53"/>
      <c r="G730" s="40"/>
      <c r="H730" s="40"/>
      <c r="I730" s="54"/>
      <c r="J730" s="55"/>
      <c r="K730" s="55"/>
      <c r="L730" s="56"/>
      <c r="M730" s="57"/>
      <c r="N730" s="346"/>
    </row>
    <row r="731" spans="2:14" x14ac:dyDescent="0.25">
      <c r="B731" s="14"/>
      <c r="C731" s="51"/>
      <c r="D731" s="52"/>
      <c r="E731" s="42"/>
      <c r="F731" s="53"/>
      <c r="G731" s="40"/>
      <c r="H731" s="40"/>
      <c r="I731" s="54"/>
      <c r="J731" s="55"/>
      <c r="K731" s="55"/>
      <c r="L731" s="56"/>
      <c r="M731" s="57"/>
      <c r="N731" s="346"/>
    </row>
    <row r="732" spans="2:14" x14ac:dyDescent="0.25">
      <c r="B732" s="14"/>
      <c r="C732" s="51"/>
      <c r="D732" s="52"/>
      <c r="E732" s="42"/>
      <c r="F732" s="53"/>
      <c r="G732" s="40"/>
      <c r="H732" s="40"/>
      <c r="I732" s="54"/>
      <c r="J732" s="55"/>
      <c r="K732" s="55"/>
      <c r="L732" s="56"/>
      <c r="M732" s="57"/>
      <c r="N732" s="346"/>
    </row>
    <row r="733" spans="2:14" x14ac:dyDescent="0.25">
      <c r="B733" s="14"/>
      <c r="C733" s="51"/>
      <c r="D733" s="52"/>
      <c r="E733" s="42"/>
      <c r="F733" s="53"/>
      <c r="G733" s="40"/>
      <c r="H733" s="40"/>
      <c r="I733" s="54"/>
      <c r="J733" s="55"/>
      <c r="K733" s="55"/>
      <c r="L733" s="56"/>
      <c r="M733" s="57"/>
      <c r="N733" s="346"/>
    </row>
    <row r="734" spans="2:14" x14ac:dyDescent="0.25">
      <c r="B734" s="14"/>
      <c r="C734" s="51"/>
      <c r="D734" s="52"/>
      <c r="E734" s="42"/>
      <c r="F734" s="53"/>
      <c r="G734" s="40"/>
      <c r="H734" s="40"/>
      <c r="I734" s="54"/>
      <c r="J734" s="55"/>
      <c r="K734" s="55"/>
      <c r="L734" s="56"/>
      <c r="M734" s="57"/>
      <c r="N734" s="346"/>
    </row>
    <row r="735" spans="2:14" x14ac:dyDescent="0.25">
      <c r="B735" s="14"/>
      <c r="C735" s="51"/>
      <c r="D735" s="52"/>
      <c r="E735" s="42"/>
      <c r="F735" s="53"/>
      <c r="G735" s="40"/>
      <c r="H735" s="40"/>
      <c r="I735" s="54"/>
      <c r="J735" s="55"/>
      <c r="K735" s="55"/>
      <c r="L735" s="56"/>
      <c r="M735" s="57"/>
      <c r="N735" s="346"/>
    </row>
    <row r="736" spans="2:14" x14ac:dyDescent="0.25">
      <c r="B736" s="14"/>
      <c r="C736" s="51"/>
      <c r="D736" s="52"/>
      <c r="E736" s="42"/>
      <c r="F736" s="53"/>
      <c r="G736" s="40"/>
      <c r="H736" s="40"/>
      <c r="I736" s="54"/>
      <c r="J736" s="55"/>
      <c r="K736" s="55"/>
      <c r="L736" s="56"/>
      <c r="M736" s="57"/>
      <c r="N736" s="346"/>
    </row>
    <row r="737" spans="2:14" x14ac:dyDescent="0.25">
      <c r="B737" s="14"/>
      <c r="C737" s="51"/>
      <c r="D737" s="52"/>
      <c r="E737" s="42"/>
      <c r="F737" s="53"/>
      <c r="G737" s="40"/>
      <c r="H737" s="40"/>
      <c r="I737" s="54"/>
      <c r="J737" s="55"/>
      <c r="K737" s="55"/>
      <c r="L737" s="56"/>
      <c r="M737" s="57"/>
      <c r="N737" s="346"/>
    </row>
    <row r="738" spans="2:14" x14ac:dyDescent="0.25">
      <c r="B738" s="14"/>
      <c r="C738" s="51"/>
      <c r="D738" s="52"/>
      <c r="E738" s="42"/>
      <c r="F738" s="53"/>
      <c r="G738" s="40"/>
      <c r="H738" s="40"/>
      <c r="I738" s="54"/>
      <c r="J738" s="55"/>
      <c r="K738" s="55"/>
      <c r="L738" s="56"/>
      <c r="M738" s="57"/>
      <c r="N738" s="346"/>
    </row>
    <row r="739" spans="2:14" x14ac:dyDescent="0.25">
      <c r="B739" s="14"/>
      <c r="C739" s="51"/>
      <c r="D739" s="52"/>
      <c r="E739" s="42"/>
      <c r="F739" s="53"/>
      <c r="G739" s="40"/>
      <c r="H739" s="40"/>
      <c r="I739" s="54"/>
      <c r="J739" s="55"/>
      <c r="K739" s="55"/>
      <c r="L739" s="56"/>
      <c r="M739" s="57"/>
      <c r="N739" s="346"/>
    </row>
    <row r="740" spans="2:14" x14ac:dyDescent="0.25">
      <c r="B740" s="14"/>
      <c r="C740" s="51"/>
      <c r="D740" s="52"/>
      <c r="E740" s="42"/>
      <c r="F740" s="53"/>
      <c r="G740" s="40"/>
      <c r="H740" s="40"/>
      <c r="I740" s="54"/>
      <c r="J740" s="55"/>
      <c r="K740" s="55"/>
      <c r="L740" s="56"/>
      <c r="M740" s="57"/>
      <c r="N740" s="346"/>
    </row>
    <row r="741" spans="2:14" x14ac:dyDescent="0.25">
      <c r="B741" s="14"/>
      <c r="C741" s="51"/>
      <c r="D741" s="52"/>
      <c r="E741" s="42"/>
      <c r="F741" s="53"/>
      <c r="G741" s="40"/>
      <c r="H741" s="40"/>
      <c r="I741" s="54"/>
      <c r="J741" s="55"/>
      <c r="K741" s="55"/>
      <c r="L741" s="56"/>
      <c r="M741" s="57"/>
      <c r="N741" s="346"/>
    </row>
    <row r="742" spans="2:14" x14ac:dyDescent="0.25">
      <c r="B742" s="14"/>
      <c r="C742" s="51"/>
      <c r="D742" s="52"/>
      <c r="E742" s="42"/>
      <c r="F742" s="53"/>
      <c r="G742" s="40"/>
      <c r="H742" s="40"/>
      <c r="I742" s="54"/>
      <c r="J742" s="55"/>
      <c r="K742" s="55"/>
      <c r="L742" s="56"/>
      <c r="M742" s="57"/>
      <c r="N742" s="346"/>
    </row>
    <row r="743" spans="2:14" x14ac:dyDescent="0.25">
      <c r="B743" s="14"/>
      <c r="C743" s="51"/>
      <c r="D743" s="52"/>
      <c r="E743" s="42"/>
      <c r="F743" s="53"/>
      <c r="G743" s="40"/>
      <c r="H743" s="40"/>
      <c r="I743" s="54"/>
      <c r="J743" s="55"/>
      <c r="K743" s="55"/>
      <c r="L743" s="56"/>
      <c r="M743" s="57"/>
      <c r="N743" s="346"/>
    </row>
    <row r="744" spans="2:14" x14ac:dyDescent="0.25">
      <c r="B744" s="14"/>
      <c r="C744" s="51"/>
      <c r="D744" s="52"/>
      <c r="E744" s="42"/>
      <c r="F744" s="53"/>
      <c r="G744" s="40"/>
      <c r="H744" s="40"/>
      <c r="I744" s="54"/>
      <c r="J744" s="55"/>
      <c r="K744" s="55"/>
      <c r="L744" s="56"/>
      <c r="M744" s="57"/>
      <c r="N744" s="346"/>
    </row>
    <row r="745" spans="2:14" x14ac:dyDescent="0.25">
      <c r="B745" s="14"/>
      <c r="C745" s="51"/>
      <c r="D745" s="52"/>
      <c r="E745" s="42"/>
      <c r="F745" s="53"/>
      <c r="G745" s="40"/>
      <c r="H745" s="40"/>
      <c r="I745" s="54"/>
      <c r="J745" s="55"/>
      <c r="K745" s="55"/>
      <c r="L745" s="56"/>
      <c r="M745" s="57"/>
      <c r="N745" s="346"/>
    </row>
    <row r="746" spans="2:14" x14ac:dyDescent="0.25">
      <c r="B746" s="14"/>
      <c r="C746" s="51"/>
      <c r="D746" s="52"/>
      <c r="E746" s="42"/>
      <c r="F746" s="53"/>
      <c r="G746" s="40"/>
      <c r="H746" s="40"/>
      <c r="I746" s="54"/>
      <c r="J746" s="55"/>
      <c r="K746" s="55"/>
      <c r="L746" s="56"/>
      <c r="M746" s="57"/>
      <c r="N746" s="346"/>
    </row>
    <row r="747" spans="2:14" x14ac:dyDescent="0.25">
      <c r="B747" s="14"/>
      <c r="C747" s="51"/>
      <c r="D747" s="52"/>
      <c r="E747" s="42"/>
      <c r="F747" s="53"/>
      <c r="G747" s="40"/>
      <c r="H747" s="40"/>
      <c r="I747" s="54"/>
      <c r="J747" s="55"/>
      <c r="K747" s="55"/>
      <c r="L747" s="56"/>
      <c r="M747" s="57"/>
      <c r="N747" s="346"/>
    </row>
    <row r="748" spans="2:14" x14ac:dyDescent="0.25">
      <c r="B748" s="14"/>
      <c r="C748" s="51"/>
      <c r="D748" s="52"/>
      <c r="E748" s="42"/>
      <c r="F748" s="53"/>
      <c r="G748" s="40"/>
      <c r="H748" s="40"/>
      <c r="I748" s="54"/>
      <c r="J748" s="55"/>
      <c r="K748" s="55"/>
      <c r="L748" s="56"/>
      <c r="M748" s="57"/>
      <c r="N748" s="346"/>
    </row>
    <row r="749" spans="2:14" x14ac:dyDescent="0.25">
      <c r="B749" s="14"/>
      <c r="C749" s="51"/>
      <c r="D749" s="52"/>
      <c r="E749" s="42"/>
      <c r="F749" s="53"/>
      <c r="G749" s="40"/>
      <c r="H749" s="40"/>
      <c r="I749" s="54"/>
      <c r="J749" s="55"/>
      <c r="K749" s="55"/>
      <c r="L749" s="56"/>
      <c r="M749" s="57"/>
      <c r="N749" s="346"/>
    </row>
    <row r="750" spans="2:14" x14ac:dyDescent="0.25">
      <c r="B750" s="14"/>
      <c r="C750" s="51"/>
      <c r="D750" s="52"/>
      <c r="E750" s="42"/>
      <c r="F750" s="53"/>
      <c r="G750" s="40"/>
      <c r="H750" s="40"/>
      <c r="I750" s="54"/>
      <c r="J750" s="55"/>
      <c r="K750" s="55"/>
      <c r="L750" s="56"/>
      <c r="M750" s="57"/>
      <c r="N750" s="346"/>
    </row>
    <row r="751" spans="2:14" x14ac:dyDescent="0.25">
      <c r="B751" s="14"/>
      <c r="C751" s="51"/>
      <c r="D751" s="52"/>
      <c r="E751" s="42"/>
      <c r="F751" s="53"/>
      <c r="G751" s="40"/>
      <c r="H751" s="40"/>
      <c r="I751" s="54"/>
      <c r="J751" s="55"/>
      <c r="K751" s="55"/>
      <c r="L751" s="56"/>
      <c r="M751" s="57"/>
      <c r="N751" s="346"/>
    </row>
    <row r="752" spans="2:14" x14ac:dyDescent="0.25">
      <c r="B752" s="14"/>
      <c r="C752" s="51"/>
      <c r="D752" s="52"/>
      <c r="E752" s="42"/>
      <c r="F752" s="53"/>
      <c r="G752" s="40"/>
      <c r="H752" s="40"/>
      <c r="I752" s="54"/>
      <c r="J752" s="55"/>
      <c r="K752" s="55"/>
      <c r="L752" s="56"/>
      <c r="M752" s="57"/>
      <c r="N752" s="346"/>
    </row>
    <row r="753" spans="2:14" x14ac:dyDescent="0.25">
      <c r="B753" s="14"/>
      <c r="C753" s="51"/>
      <c r="D753" s="52"/>
      <c r="E753" s="42"/>
      <c r="F753" s="53"/>
      <c r="G753" s="40"/>
      <c r="H753" s="40"/>
      <c r="I753" s="54"/>
      <c r="J753" s="55"/>
      <c r="K753" s="55"/>
      <c r="L753" s="56"/>
      <c r="M753" s="57"/>
      <c r="N753" s="346"/>
    </row>
    <row r="754" spans="2:14" x14ac:dyDescent="0.25">
      <c r="B754" s="14"/>
      <c r="C754" s="51"/>
      <c r="D754" s="52"/>
      <c r="E754" s="42"/>
      <c r="F754" s="53"/>
      <c r="G754" s="40"/>
      <c r="H754" s="40"/>
      <c r="I754" s="54"/>
      <c r="J754" s="55"/>
      <c r="K754" s="55"/>
      <c r="L754" s="56"/>
      <c r="M754" s="57"/>
      <c r="N754" s="346"/>
    </row>
    <row r="755" spans="2:14" x14ac:dyDescent="0.25">
      <c r="B755" s="14"/>
      <c r="C755" s="51"/>
      <c r="D755" s="52"/>
      <c r="E755" s="42"/>
      <c r="F755" s="53"/>
      <c r="G755" s="40"/>
      <c r="H755" s="40"/>
      <c r="I755" s="54"/>
      <c r="J755" s="55"/>
      <c r="K755" s="55"/>
      <c r="L755" s="56"/>
      <c r="M755" s="57"/>
      <c r="N755" s="346"/>
    </row>
    <row r="756" spans="2:14" x14ac:dyDescent="0.25">
      <c r="B756" s="14"/>
      <c r="C756" s="51"/>
      <c r="D756" s="52"/>
      <c r="E756" s="42"/>
      <c r="F756" s="53"/>
      <c r="G756" s="40"/>
      <c r="H756" s="40"/>
      <c r="I756" s="54"/>
      <c r="J756" s="55"/>
      <c r="K756" s="55"/>
      <c r="L756" s="56"/>
      <c r="M756" s="57"/>
      <c r="N756" s="346"/>
    </row>
    <row r="757" spans="2:14" x14ac:dyDescent="0.25">
      <c r="B757" s="14"/>
      <c r="C757" s="51"/>
      <c r="D757" s="52"/>
      <c r="E757" s="42"/>
      <c r="F757" s="53"/>
      <c r="G757" s="40"/>
      <c r="H757" s="40"/>
      <c r="I757" s="54"/>
      <c r="J757" s="55"/>
      <c r="K757" s="55"/>
      <c r="L757" s="56"/>
      <c r="M757" s="57"/>
      <c r="N757" s="346"/>
    </row>
    <row r="758" spans="2:14" x14ac:dyDescent="0.25">
      <c r="B758" s="14"/>
      <c r="C758" s="51"/>
      <c r="D758" s="52"/>
      <c r="E758" s="42"/>
      <c r="F758" s="53"/>
      <c r="G758" s="40"/>
      <c r="H758" s="40"/>
      <c r="I758" s="54"/>
      <c r="J758" s="55"/>
      <c r="K758" s="55"/>
      <c r="L758" s="56"/>
      <c r="M758" s="57"/>
      <c r="N758" s="346"/>
    </row>
    <row r="759" spans="2:14" x14ac:dyDescent="0.25">
      <c r="B759" s="14"/>
      <c r="C759" s="51"/>
      <c r="D759" s="52"/>
      <c r="E759" s="42"/>
      <c r="F759" s="53"/>
      <c r="G759" s="40"/>
      <c r="H759" s="40"/>
      <c r="I759" s="54"/>
      <c r="J759" s="55"/>
      <c r="K759" s="55"/>
      <c r="L759" s="56"/>
      <c r="M759" s="57"/>
      <c r="N759" s="346"/>
    </row>
    <row r="760" spans="2:14" x14ac:dyDescent="0.25">
      <c r="B760" s="14"/>
      <c r="C760" s="51"/>
      <c r="D760" s="52"/>
      <c r="E760" s="42"/>
      <c r="F760" s="53"/>
      <c r="G760" s="40"/>
      <c r="H760" s="40"/>
      <c r="I760" s="54"/>
      <c r="J760" s="55"/>
      <c r="K760" s="55"/>
      <c r="L760" s="56"/>
      <c r="M760" s="57"/>
      <c r="N760" s="346"/>
    </row>
    <row r="761" spans="2:14" x14ac:dyDescent="0.25">
      <c r="B761" s="14"/>
      <c r="C761" s="51"/>
      <c r="D761" s="52"/>
      <c r="E761" s="42"/>
      <c r="F761" s="53"/>
      <c r="G761" s="40"/>
      <c r="H761" s="40"/>
      <c r="I761" s="54"/>
      <c r="J761" s="55"/>
      <c r="K761" s="55"/>
      <c r="L761" s="56"/>
      <c r="M761" s="57"/>
      <c r="N761" s="346"/>
    </row>
    <row r="762" spans="2:14" x14ac:dyDescent="0.25">
      <c r="B762" s="14"/>
      <c r="C762" s="51"/>
      <c r="D762" s="52"/>
      <c r="E762" s="42"/>
      <c r="F762" s="53"/>
      <c r="G762" s="40"/>
      <c r="H762" s="40"/>
      <c r="I762" s="54"/>
      <c r="J762" s="55"/>
      <c r="K762" s="55"/>
      <c r="L762" s="56"/>
      <c r="M762" s="57"/>
      <c r="N762" s="346"/>
    </row>
    <row r="763" spans="2:14" x14ac:dyDescent="0.25">
      <c r="B763" s="14"/>
      <c r="C763" s="51"/>
      <c r="D763" s="52"/>
      <c r="E763" s="42"/>
      <c r="F763" s="53"/>
      <c r="G763" s="40"/>
      <c r="H763" s="40"/>
      <c r="I763" s="54"/>
      <c r="J763" s="55"/>
      <c r="K763" s="55"/>
      <c r="L763" s="56"/>
      <c r="M763" s="57"/>
      <c r="N763" s="346"/>
    </row>
    <row r="764" spans="2:14" x14ac:dyDescent="0.25">
      <c r="B764" s="14"/>
      <c r="C764" s="51"/>
      <c r="D764" s="52"/>
      <c r="E764" s="42"/>
      <c r="F764" s="53"/>
      <c r="G764" s="40"/>
      <c r="H764" s="40"/>
      <c r="I764" s="54"/>
      <c r="J764" s="55"/>
      <c r="K764" s="55"/>
      <c r="L764" s="56"/>
      <c r="M764" s="57"/>
      <c r="N764" s="346"/>
    </row>
    <row r="765" spans="2:14" x14ac:dyDescent="0.25">
      <c r="B765" s="14"/>
      <c r="C765" s="51"/>
      <c r="D765" s="52"/>
      <c r="E765" s="42"/>
      <c r="F765" s="53"/>
      <c r="G765" s="40"/>
      <c r="H765" s="40"/>
      <c r="I765" s="54"/>
      <c r="J765" s="55"/>
      <c r="K765" s="55"/>
      <c r="L765" s="56"/>
      <c r="M765" s="57"/>
      <c r="N765" s="346"/>
    </row>
    <row r="766" spans="2:14" x14ac:dyDescent="0.25">
      <c r="B766" s="14"/>
      <c r="C766" s="51"/>
      <c r="D766" s="52"/>
      <c r="E766" s="42"/>
      <c r="F766" s="53"/>
      <c r="G766" s="40"/>
      <c r="H766" s="40"/>
      <c r="I766" s="54"/>
      <c r="J766" s="55"/>
      <c r="K766" s="55"/>
      <c r="L766" s="56"/>
      <c r="M766" s="57"/>
      <c r="N766" s="346"/>
    </row>
    <row r="767" spans="2:14" x14ac:dyDescent="0.25">
      <c r="B767" s="14"/>
      <c r="C767" s="51"/>
      <c r="D767" s="52"/>
      <c r="E767" s="42"/>
      <c r="F767" s="53"/>
      <c r="G767" s="40"/>
      <c r="H767" s="40"/>
      <c r="I767" s="54"/>
      <c r="J767" s="55"/>
      <c r="K767" s="55"/>
      <c r="L767" s="56"/>
      <c r="M767" s="57"/>
      <c r="N767" s="346"/>
    </row>
    <row r="768" spans="2:14" x14ac:dyDescent="0.25">
      <c r="B768" s="14"/>
      <c r="C768" s="51"/>
      <c r="D768" s="52"/>
      <c r="E768" s="42"/>
      <c r="F768" s="53"/>
      <c r="G768" s="40"/>
      <c r="H768" s="40"/>
      <c r="I768" s="54"/>
      <c r="J768" s="55"/>
      <c r="K768" s="55"/>
      <c r="L768" s="56"/>
      <c r="M768" s="57"/>
      <c r="N768" s="346"/>
    </row>
    <row r="769" spans="2:14" x14ac:dyDescent="0.25">
      <c r="B769" s="14"/>
      <c r="C769" s="51"/>
      <c r="D769" s="52"/>
      <c r="E769" s="42"/>
      <c r="F769" s="53"/>
      <c r="G769" s="40"/>
      <c r="H769" s="40"/>
      <c r="I769" s="54"/>
      <c r="J769" s="55"/>
      <c r="K769" s="55"/>
      <c r="L769" s="56"/>
      <c r="M769" s="57"/>
      <c r="N769" s="346"/>
    </row>
    <row r="770" spans="2:14" x14ac:dyDescent="0.25">
      <c r="B770" s="14"/>
      <c r="C770" s="51"/>
      <c r="D770" s="52"/>
      <c r="E770" s="42"/>
      <c r="F770" s="53"/>
      <c r="G770" s="40"/>
      <c r="H770" s="40"/>
      <c r="I770" s="54"/>
      <c r="J770" s="55"/>
      <c r="K770" s="55"/>
      <c r="L770" s="56"/>
      <c r="M770" s="57"/>
      <c r="N770" s="346"/>
    </row>
    <row r="771" spans="2:14" x14ac:dyDescent="0.25">
      <c r="B771" s="14"/>
      <c r="C771" s="51"/>
      <c r="D771" s="52"/>
      <c r="E771" s="42"/>
      <c r="F771" s="53"/>
      <c r="G771" s="40"/>
      <c r="H771" s="40"/>
      <c r="I771" s="54"/>
      <c r="J771" s="55"/>
      <c r="K771" s="55"/>
      <c r="L771" s="56"/>
      <c r="M771" s="57"/>
      <c r="N771" s="346"/>
    </row>
    <row r="772" spans="2:14" x14ac:dyDescent="0.25">
      <c r="B772" s="14"/>
      <c r="C772" s="51"/>
      <c r="D772" s="52"/>
      <c r="E772" s="42"/>
      <c r="F772" s="53"/>
      <c r="G772" s="40"/>
      <c r="H772" s="40"/>
      <c r="I772" s="54"/>
      <c r="J772" s="55"/>
      <c r="K772" s="55"/>
      <c r="L772" s="56"/>
      <c r="M772" s="57"/>
      <c r="N772" s="346"/>
    </row>
    <row r="773" spans="2:14" x14ac:dyDescent="0.25">
      <c r="B773" s="14"/>
      <c r="C773" s="51"/>
      <c r="D773" s="52"/>
      <c r="E773" s="42"/>
      <c r="F773" s="53"/>
      <c r="G773" s="40"/>
      <c r="H773" s="40"/>
      <c r="I773" s="54"/>
      <c r="J773" s="55"/>
      <c r="K773" s="55"/>
      <c r="L773" s="56"/>
      <c r="M773" s="57"/>
      <c r="N773" s="346"/>
    </row>
    <row r="774" spans="2:14" x14ac:dyDescent="0.25">
      <c r="B774" s="14"/>
      <c r="C774" s="51"/>
      <c r="D774" s="52"/>
      <c r="E774" s="42"/>
      <c r="F774" s="53"/>
      <c r="G774" s="40"/>
      <c r="H774" s="40"/>
      <c r="I774" s="54"/>
      <c r="J774" s="55"/>
      <c r="K774" s="55"/>
      <c r="L774" s="56"/>
      <c r="M774" s="57"/>
      <c r="N774" s="346"/>
    </row>
    <row r="775" spans="2:14" x14ac:dyDescent="0.25">
      <c r="B775" s="14"/>
      <c r="C775" s="51"/>
      <c r="D775" s="52"/>
      <c r="E775" s="42"/>
      <c r="F775" s="53"/>
      <c r="G775" s="40"/>
      <c r="H775" s="40"/>
      <c r="I775" s="54"/>
      <c r="J775" s="55"/>
      <c r="K775" s="55"/>
      <c r="L775" s="56"/>
      <c r="M775" s="57"/>
      <c r="N775" s="346"/>
    </row>
    <row r="776" spans="2:14" x14ac:dyDescent="0.25">
      <c r="B776" s="14"/>
      <c r="C776" s="51"/>
      <c r="D776" s="52"/>
      <c r="E776" s="42"/>
      <c r="F776" s="53"/>
      <c r="G776" s="40"/>
      <c r="H776" s="40"/>
      <c r="I776" s="54"/>
      <c r="J776" s="55"/>
      <c r="K776" s="55"/>
      <c r="L776" s="56"/>
      <c r="M776" s="57"/>
      <c r="N776" s="346"/>
    </row>
    <row r="777" spans="2:14" x14ac:dyDescent="0.25">
      <c r="B777" s="14"/>
      <c r="C777" s="51"/>
      <c r="D777" s="52"/>
      <c r="E777" s="42"/>
      <c r="F777" s="53"/>
      <c r="G777" s="40"/>
      <c r="H777" s="40"/>
      <c r="I777" s="54"/>
      <c r="J777" s="55"/>
      <c r="K777" s="55"/>
      <c r="L777" s="56"/>
      <c r="M777" s="57"/>
      <c r="N777" s="346"/>
    </row>
    <row r="778" spans="2:14" x14ac:dyDescent="0.25">
      <c r="B778" s="14"/>
      <c r="C778" s="51"/>
      <c r="D778" s="52"/>
      <c r="E778" s="42"/>
      <c r="F778" s="53"/>
      <c r="G778" s="40"/>
      <c r="H778" s="40"/>
      <c r="I778" s="54"/>
      <c r="J778" s="55"/>
      <c r="K778" s="55"/>
      <c r="L778" s="56"/>
      <c r="M778" s="57"/>
      <c r="N778" s="346"/>
    </row>
    <row r="779" spans="2:14" x14ac:dyDescent="0.25">
      <c r="B779" s="14"/>
      <c r="C779" s="51"/>
      <c r="D779" s="52"/>
      <c r="E779" s="42"/>
      <c r="F779" s="53"/>
      <c r="G779" s="40"/>
      <c r="H779" s="40"/>
      <c r="I779" s="54"/>
      <c r="J779" s="55"/>
      <c r="K779" s="55"/>
      <c r="L779" s="56"/>
      <c r="M779" s="57"/>
      <c r="N779" s="346"/>
    </row>
    <row r="780" spans="2:14" x14ac:dyDescent="0.25">
      <c r="B780" s="14"/>
      <c r="C780" s="51"/>
      <c r="D780" s="52"/>
      <c r="E780" s="42"/>
      <c r="F780" s="53"/>
      <c r="G780" s="40"/>
      <c r="H780" s="40"/>
      <c r="I780" s="54"/>
      <c r="J780" s="55"/>
      <c r="K780" s="55"/>
      <c r="L780" s="56"/>
      <c r="M780" s="57"/>
      <c r="N780" s="346"/>
    </row>
    <row r="781" spans="2:14" x14ac:dyDescent="0.25">
      <c r="B781" s="14"/>
      <c r="C781" s="51"/>
      <c r="D781" s="52"/>
      <c r="E781" s="42"/>
      <c r="F781" s="53"/>
      <c r="G781" s="40"/>
      <c r="H781" s="40"/>
      <c r="I781" s="54"/>
      <c r="J781" s="55"/>
      <c r="K781" s="55"/>
      <c r="L781" s="56"/>
      <c r="M781" s="57"/>
      <c r="N781" s="346"/>
    </row>
    <row r="782" spans="2:14" x14ac:dyDescent="0.25">
      <c r="B782" s="14"/>
      <c r="C782" s="51"/>
      <c r="D782" s="52"/>
      <c r="E782" s="42"/>
      <c r="F782" s="53"/>
      <c r="G782" s="40"/>
      <c r="H782" s="40"/>
      <c r="I782" s="54"/>
      <c r="J782" s="55"/>
      <c r="K782" s="55"/>
      <c r="L782" s="56"/>
      <c r="M782" s="57"/>
      <c r="N782" s="346"/>
    </row>
    <row r="783" spans="2:14" x14ac:dyDescent="0.25">
      <c r="B783" s="14"/>
      <c r="C783" s="51"/>
      <c r="D783" s="52"/>
      <c r="E783" s="42"/>
      <c r="F783" s="53"/>
      <c r="G783" s="40"/>
      <c r="H783" s="40"/>
      <c r="I783" s="54"/>
      <c r="J783" s="55"/>
      <c r="K783" s="55"/>
      <c r="L783" s="56"/>
      <c r="M783" s="57"/>
      <c r="N783" s="346"/>
    </row>
    <row r="784" spans="2:14" x14ac:dyDescent="0.25">
      <c r="B784" s="14"/>
      <c r="C784" s="51"/>
      <c r="D784" s="52"/>
      <c r="E784" s="42"/>
      <c r="F784" s="53"/>
      <c r="G784" s="40"/>
      <c r="H784" s="40"/>
      <c r="I784" s="54"/>
      <c r="J784" s="55"/>
      <c r="K784" s="55"/>
      <c r="L784" s="56"/>
      <c r="M784" s="57"/>
      <c r="N784" s="346"/>
    </row>
    <row r="785" spans="2:14" x14ac:dyDescent="0.25">
      <c r="B785" s="14"/>
      <c r="C785" s="51"/>
      <c r="D785" s="52"/>
      <c r="E785" s="42"/>
      <c r="F785" s="53"/>
      <c r="G785" s="40"/>
      <c r="H785" s="40"/>
      <c r="I785" s="54"/>
      <c r="J785" s="55"/>
      <c r="K785" s="55"/>
      <c r="L785" s="56"/>
      <c r="M785" s="57"/>
      <c r="N785" s="346"/>
    </row>
    <row r="786" spans="2:14" x14ac:dyDescent="0.25">
      <c r="B786" s="14"/>
      <c r="C786" s="51"/>
      <c r="D786" s="52"/>
      <c r="E786" s="42"/>
      <c r="F786" s="53"/>
      <c r="G786" s="40"/>
      <c r="H786" s="40"/>
      <c r="I786" s="54"/>
      <c r="J786" s="55"/>
      <c r="K786" s="55"/>
      <c r="L786" s="56"/>
      <c r="M786" s="57"/>
      <c r="N786" s="346"/>
    </row>
    <row r="787" spans="2:14" x14ac:dyDescent="0.25">
      <c r="B787" s="14"/>
      <c r="C787" s="51"/>
      <c r="D787" s="52"/>
      <c r="E787" s="42"/>
      <c r="F787" s="53"/>
      <c r="G787" s="40"/>
      <c r="H787" s="40"/>
      <c r="I787" s="54"/>
      <c r="J787" s="55"/>
      <c r="K787" s="55"/>
      <c r="L787" s="56"/>
      <c r="M787" s="57"/>
      <c r="N787" s="346"/>
    </row>
    <row r="788" spans="2:14" x14ac:dyDescent="0.25">
      <c r="B788" s="14"/>
      <c r="C788" s="51"/>
      <c r="D788" s="52"/>
      <c r="E788" s="42"/>
      <c r="F788" s="53"/>
      <c r="G788" s="40"/>
      <c r="H788" s="40"/>
      <c r="I788" s="54"/>
      <c r="J788" s="55"/>
      <c r="K788" s="55"/>
      <c r="L788" s="56"/>
      <c r="M788" s="57"/>
      <c r="N788" s="346"/>
    </row>
    <row r="789" spans="2:14" x14ac:dyDescent="0.25">
      <c r="B789" s="14"/>
      <c r="C789" s="51"/>
      <c r="D789" s="52"/>
      <c r="E789" s="42"/>
      <c r="F789" s="53"/>
      <c r="G789" s="40"/>
      <c r="H789" s="40"/>
      <c r="I789" s="54"/>
      <c r="J789" s="55"/>
      <c r="K789" s="55"/>
      <c r="L789" s="56"/>
      <c r="M789" s="57"/>
      <c r="N789" s="346"/>
    </row>
    <row r="790" spans="2:14" x14ac:dyDescent="0.25">
      <c r="B790" s="14"/>
      <c r="C790" s="51"/>
      <c r="D790" s="52"/>
      <c r="E790" s="42"/>
      <c r="F790" s="53"/>
      <c r="G790" s="40"/>
      <c r="H790" s="40"/>
      <c r="I790" s="54"/>
      <c r="J790" s="55"/>
      <c r="K790" s="55"/>
      <c r="L790" s="56"/>
      <c r="M790" s="57"/>
      <c r="N790" s="346"/>
    </row>
    <row r="791" spans="2:14" x14ac:dyDescent="0.25">
      <c r="B791" s="14"/>
      <c r="C791" s="51"/>
      <c r="D791" s="52"/>
      <c r="E791" s="42"/>
      <c r="F791" s="53"/>
      <c r="G791" s="40"/>
      <c r="H791" s="40"/>
      <c r="I791" s="54"/>
      <c r="J791" s="55"/>
      <c r="K791" s="55"/>
      <c r="L791" s="56"/>
      <c r="M791" s="57"/>
      <c r="N791" s="346"/>
    </row>
    <row r="792" spans="2:14" x14ac:dyDescent="0.25">
      <c r="B792" s="14"/>
      <c r="C792" s="51"/>
      <c r="D792" s="52"/>
      <c r="E792" s="42"/>
      <c r="F792" s="53"/>
      <c r="G792" s="40"/>
      <c r="H792" s="40"/>
      <c r="I792" s="54"/>
      <c r="J792" s="55"/>
      <c r="K792" s="55"/>
      <c r="L792" s="56"/>
      <c r="M792" s="57"/>
      <c r="N792" s="346"/>
    </row>
    <row r="793" spans="2:14" x14ac:dyDescent="0.25">
      <c r="B793" s="14"/>
      <c r="C793" s="51"/>
      <c r="D793" s="52"/>
      <c r="E793" s="42"/>
      <c r="F793" s="53"/>
      <c r="G793" s="40"/>
      <c r="H793" s="40"/>
      <c r="I793" s="54"/>
      <c r="J793" s="55"/>
      <c r="K793" s="55"/>
      <c r="L793" s="56"/>
      <c r="M793" s="57"/>
      <c r="N793" s="346"/>
    </row>
    <row r="794" spans="2:14" x14ac:dyDescent="0.25">
      <c r="B794" s="14"/>
      <c r="C794" s="51"/>
      <c r="D794" s="52"/>
      <c r="E794" s="42"/>
      <c r="F794" s="53"/>
      <c r="G794" s="40"/>
      <c r="H794" s="40"/>
      <c r="I794" s="54"/>
      <c r="J794" s="55"/>
      <c r="K794" s="55"/>
      <c r="L794" s="56"/>
      <c r="M794" s="57"/>
      <c r="N794" s="346"/>
    </row>
    <row r="795" spans="2:14" x14ac:dyDescent="0.25">
      <c r="B795" s="14"/>
      <c r="C795" s="51"/>
      <c r="D795" s="52"/>
      <c r="E795" s="42"/>
      <c r="F795" s="53"/>
      <c r="G795" s="40"/>
      <c r="H795" s="40"/>
      <c r="I795" s="54"/>
      <c r="J795" s="55"/>
      <c r="K795" s="55"/>
      <c r="L795" s="56"/>
      <c r="M795" s="57"/>
      <c r="N795" s="346"/>
    </row>
    <row r="796" spans="2:14" x14ac:dyDescent="0.25">
      <c r="B796" s="14"/>
      <c r="C796" s="51"/>
      <c r="D796" s="52"/>
      <c r="E796" s="42"/>
      <c r="F796" s="53"/>
      <c r="G796" s="40"/>
      <c r="H796" s="40"/>
      <c r="I796" s="54"/>
      <c r="J796" s="55"/>
      <c r="K796" s="55"/>
      <c r="L796" s="56"/>
      <c r="M796" s="57"/>
      <c r="N796" s="346"/>
    </row>
    <row r="797" spans="2:14" x14ac:dyDescent="0.25">
      <c r="B797" s="14"/>
      <c r="C797" s="51"/>
      <c r="D797" s="52"/>
      <c r="E797" s="42"/>
      <c r="F797" s="53"/>
      <c r="G797" s="40"/>
      <c r="H797" s="40"/>
      <c r="I797" s="54"/>
      <c r="J797" s="55"/>
      <c r="K797" s="55"/>
      <c r="L797" s="56"/>
      <c r="M797" s="57"/>
      <c r="N797" s="346"/>
    </row>
    <row r="798" spans="2:14" x14ac:dyDescent="0.25">
      <c r="B798" s="14"/>
      <c r="C798" s="51"/>
      <c r="D798" s="52"/>
      <c r="E798" s="42"/>
      <c r="F798" s="53"/>
      <c r="G798" s="40"/>
      <c r="H798" s="40"/>
      <c r="I798" s="54"/>
      <c r="J798" s="55"/>
      <c r="K798" s="55"/>
      <c r="L798" s="56"/>
      <c r="M798" s="57"/>
      <c r="N798" s="346"/>
    </row>
    <row r="799" spans="2:14" x14ac:dyDescent="0.25">
      <c r="B799" s="14"/>
      <c r="C799" s="51"/>
      <c r="D799" s="52"/>
      <c r="E799" s="42"/>
      <c r="F799" s="53"/>
      <c r="G799" s="40"/>
      <c r="H799" s="40"/>
      <c r="I799" s="54"/>
      <c r="J799" s="55"/>
      <c r="K799" s="55"/>
      <c r="L799" s="56"/>
      <c r="M799" s="57"/>
      <c r="N799" s="346"/>
    </row>
    <row r="800" spans="2:14" x14ac:dyDescent="0.25">
      <c r="B800" s="14"/>
      <c r="C800" s="51"/>
      <c r="D800" s="52"/>
      <c r="E800" s="42"/>
      <c r="F800" s="53"/>
      <c r="G800" s="40"/>
      <c r="H800" s="40"/>
      <c r="I800" s="54"/>
      <c r="J800" s="55"/>
      <c r="K800" s="55"/>
      <c r="L800" s="56"/>
      <c r="M800" s="57"/>
      <c r="N800" s="346"/>
    </row>
    <row r="801" spans="2:14" x14ac:dyDescent="0.25">
      <c r="B801" s="14"/>
      <c r="C801" s="51"/>
      <c r="D801" s="52"/>
      <c r="E801" s="42"/>
      <c r="F801" s="53"/>
      <c r="G801" s="40"/>
      <c r="H801" s="40"/>
      <c r="I801" s="54"/>
      <c r="J801" s="55"/>
      <c r="K801" s="55"/>
      <c r="L801" s="56"/>
      <c r="M801" s="57"/>
      <c r="N801" s="346"/>
    </row>
    <row r="802" spans="2:14" x14ac:dyDescent="0.25">
      <c r="B802" s="14"/>
      <c r="C802" s="51"/>
      <c r="D802" s="52"/>
      <c r="E802" s="42"/>
      <c r="F802" s="53"/>
      <c r="G802" s="40"/>
      <c r="H802" s="40"/>
      <c r="I802" s="54"/>
      <c r="J802" s="55"/>
      <c r="K802" s="55"/>
      <c r="L802" s="56"/>
      <c r="M802" s="57"/>
      <c r="N802" s="346"/>
    </row>
    <row r="803" spans="2:14" x14ac:dyDescent="0.25">
      <c r="B803" s="14"/>
      <c r="C803" s="51"/>
      <c r="D803" s="52"/>
      <c r="E803" s="42"/>
      <c r="F803" s="53"/>
      <c r="G803" s="40"/>
      <c r="H803" s="40"/>
      <c r="I803" s="54"/>
      <c r="J803" s="55"/>
      <c r="K803" s="55"/>
      <c r="L803" s="56"/>
      <c r="M803" s="57"/>
      <c r="N803" s="346"/>
    </row>
    <row r="804" spans="2:14" x14ac:dyDescent="0.25">
      <c r="B804" s="14"/>
      <c r="C804" s="51"/>
      <c r="D804" s="52"/>
      <c r="E804" s="42"/>
      <c r="F804" s="53"/>
      <c r="G804" s="40"/>
      <c r="H804" s="40"/>
      <c r="I804" s="54"/>
      <c r="J804" s="55"/>
      <c r="K804" s="55"/>
      <c r="L804" s="56"/>
      <c r="M804" s="57"/>
      <c r="N804" s="346"/>
    </row>
    <row r="805" spans="2:14" x14ac:dyDescent="0.25">
      <c r="B805" s="14"/>
      <c r="C805" s="51"/>
      <c r="D805" s="52"/>
      <c r="E805" s="42"/>
      <c r="F805" s="53"/>
      <c r="G805" s="40"/>
      <c r="H805" s="40"/>
      <c r="I805" s="54"/>
      <c r="J805" s="55"/>
      <c r="K805" s="55"/>
      <c r="L805" s="56"/>
      <c r="M805" s="57"/>
      <c r="N805" s="346"/>
    </row>
    <row r="806" spans="2:14" x14ac:dyDescent="0.25">
      <c r="B806" s="14"/>
      <c r="C806" s="51"/>
      <c r="D806" s="52"/>
      <c r="E806" s="42"/>
      <c r="F806" s="53"/>
      <c r="G806" s="40"/>
      <c r="H806" s="40"/>
      <c r="I806" s="54"/>
      <c r="J806" s="55"/>
      <c r="K806" s="55"/>
      <c r="L806" s="56"/>
      <c r="M806" s="57"/>
      <c r="N806" s="346"/>
    </row>
    <row r="807" spans="2:14" x14ac:dyDescent="0.25">
      <c r="B807" s="14"/>
      <c r="C807" s="51"/>
      <c r="D807" s="52"/>
      <c r="E807" s="42"/>
      <c r="F807" s="53"/>
      <c r="G807" s="40"/>
      <c r="H807" s="40"/>
      <c r="I807" s="54"/>
      <c r="J807" s="55"/>
      <c r="K807" s="55"/>
      <c r="L807" s="56"/>
      <c r="M807" s="57"/>
      <c r="N807" s="346"/>
    </row>
    <row r="808" spans="2:14" x14ac:dyDescent="0.25">
      <c r="B808" s="14"/>
      <c r="C808" s="51"/>
      <c r="D808" s="52"/>
      <c r="E808" s="42"/>
      <c r="F808" s="53"/>
      <c r="G808" s="40"/>
      <c r="H808" s="40"/>
      <c r="I808" s="54"/>
      <c r="J808" s="55"/>
      <c r="K808" s="55"/>
      <c r="L808" s="56"/>
      <c r="M808" s="57"/>
      <c r="N808" s="346"/>
    </row>
    <row r="809" spans="2:14" x14ac:dyDescent="0.25">
      <c r="B809" s="14"/>
      <c r="C809" s="51"/>
      <c r="D809" s="52"/>
      <c r="E809" s="42"/>
      <c r="F809" s="53"/>
      <c r="G809" s="40"/>
      <c r="H809" s="40"/>
      <c r="I809" s="54"/>
      <c r="J809" s="55"/>
      <c r="K809" s="55"/>
      <c r="L809" s="56"/>
      <c r="M809" s="57"/>
      <c r="N809" s="346"/>
    </row>
    <row r="810" spans="2:14" x14ac:dyDescent="0.25">
      <c r="B810" s="14"/>
      <c r="C810" s="51"/>
      <c r="D810" s="52"/>
      <c r="E810" s="42"/>
      <c r="F810" s="53"/>
      <c r="G810" s="40"/>
      <c r="H810" s="40"/>
      <c r="I810" s="54"/>
      <c r="J810" s="55"/>
      <c r="K810" s="55"/>
      <c r="L810" s="56"/>
      <c r="M810" s="57"/>
      <c r="N810" s="346"/>
    </row>
    <row r="811" spans="2:14" x14ac:dyDescent="0.25">
      <c r="B811" s="14"/>
      <c r="C811" s="51"/>
      <c r="D811" s="52"/>
      <c r="E811" s="42"/>
      <c r="F811" s="53"/>
      <c r="G811" s="40"/>
      <c r="H811" s="40"/>
      <c r="I811" s="54"/>
      <c r="J811" s="55"/>
      <c r="K811" s="55"/>
      <c r="L811" s="56"/>
      <c r="M811" s="57"/>
      <c r="N811" s="346"/>
    </row>
    <row r="812" spans="2:14" x14ac:dyDescent="0.25">
      <c r="B812" s="14"/>
      <c r="C812" s="51"/>
      <c r="D812" s="52"/>
      <c r="E812" s="42"/>
      <c r="F812" s="53"/>
      <c r="G812" s="40"/>
      <c r="H812" s="40"/>
      <c r="I812" s="54"/>
      <c r="J812" s="55"/>
      <c r="K812" s="55"/>
      <c r="L812" s="56"/>
      <c r="M812" s="57"/>
      <c r="N812" s="346"/>
    </row>
    <row r="813" spans="2:14" x14ac:dyDescent="0.25">
      <c r="B813" s="14"/>
      <c r="C813" s="51"/>
      <c r="D813" s="52"/>
      <c r="E813" s="42"/>
      <c r="F813" s="53"/>
      <c r="G813" s="40"/>
      <c r="H813" s="40"/>
      <c r="I813" s="54"/>
      <c r="J813" s="55"/>
      <c r="K813" s="55"/>
      <c r="L813" s="56"/>
      <c r="M813" s="57"/>
      <c r="N813" s="346"/>
    </row>
    <row r="814" spans="2:14" x14ac:dyDescent="0.25">
      <c r="B814" s="14"/>
      <c r="C814" s="51"/>
      <c r="D814" s="52"/>
      <c r="E814" s="42"/>
      <c r="F814" s="53"/>
      <c r="G814" s="40"/>
      <c r="H814" s="40"/>
      <c r="I814" s="54"/>
      <c r="J814" s="55"/>
      <c r="K814" s="55"/>
      <c r="L814" s="56"/>
      <c r="M814" s="57"/>
      <c r="N814" s="346"/>
    </row>
    <row r="815" spans="2:14" x14ac:dyDescent="0.25">
      <c r="B815" s="14"/>
      <c r="C815" s="51"/>
      <c r="D815" s="52"/>
      <c r="E815" s="42"/>
      <c r="F815" s="53"/>
      <c r="G815" s="40"/>
      <c r="H815" s="40"/>
      <c r="I815" s="54"/>
      <c r="J815" s="55"/>
      <c r="K815" s="55"/>
      <c r="L815" s="56"/>
      <c r="M815" s="57"/>
      <c r="N815" s="346"/>
    </row>
    <row r="816" spans="2:14" x14ac:dyDescent="0.25">
      <c r="B816" s="14"/>
      <c r="C816" s="51"/>
      <c r="D816" s="52"/>
      <c r="E816" s="42"/>
      <c r="F816" s="53"/>
      <c r="G816" s="40"/>
      <c r="H816" s="40"/>
      <c r="I816" s="54"/>
      <c r="J816" s="55"/>
      <c r="K816" s="55"/>
      <c r="L816" s="56"/>
      <c r="M816" s="57"/>
      <c r="N816" s="346"/>
    </row>
    <row r="817" spans="2:14" x14ac:dyDescent="0.25">
      <c r="B817" s="14"/>
      <c r="C817" s="51"/>
      <c r="D817" s="52"/>
      <c r="E817" s="42"/>
      <c r="F817" s="53"/>
      <c r="G817" s="40"/>
      <c r="H817" s="40"/>
      <c r="I817" s="54"/>
      <c r="J817" s="55"/>
      <c r="K817" s="55"/>
      <c r="L817" s="56"/>
      <c r="M817" s="57"/>
      <c r="N817" s="346"/>
    </row>
    <row r="818" spans="2:14" x14ac:dyDescent="0.25">
      <c r="B818" s="14"/>
      <c r="C818" s="51"/>
      <c r="D818" s="52"/>
      <c r="E818" s="42"/>
      <c r="F818" s="53"/>
      <c r="G818" s="40"/>
      <c r="H818" s="40"/>
      <c r="I818" s="54"/>
      <c r="J818" s="55"/>
      <c r="K818" s="55"/>
      <c r="L818" s="56"/>
      <c r="M818" s="57"/>
      <c r="N818" s="346"/>
    </row>
    <row r="819" spans="2:14" x14ac:dyDescent="0.25">
      <c r="B819" s="14"/>
      <c r="C819" s="51"/>
      <c r="D819" s="52"/>
      <c r="E819" s="42"/>
      <c r="F819" s="53"/>
      <c r="G819" s="40"/>
      <c r="H819" s="40"/>
      <c r="I819" s="54"/>
      <c r="J819" s="55"/>
      <c r="K819" s="55"/>
      <c r="L819" s="56"/>
      <c r="M819" s="57"/>
      <c r="N819" s="346"/>
    </row>
    <row r="820" spans="2:14" x14ac:dyDescent="0.25">
      <c r="B820" s="14"/>
      <c r="C820" s="51"/>
      <c r="D820" s="52"/>
      <c r="E820" s="42"/>
      <c r="F820" s="53"/>
      <c r="G820" s="40"/>
      <c r="H820" s="40"/>
      <c r="I820" s="54"/>
      <c r="J820" s="55"/>
      <c r="K820" s="55"/>
      <c r="L820" s="56"/>
      <c r="M820" s="57"/>
      <c r="N820" s="346"/>
    </row>
    <row r="821" spans="2:14" x14ac:dyDescent="0.25">
      <c r="B821" s="14"/>
      <c r="C821" s="51"/>
      <c r="D821" s="52"/>
      <c r="E821" s="42"/>
      <c r="F821" s="53"/>
      <c r="G821" s="40"/>
      <c r="H821" s="40"/>
      <c r="I821" s="54"/>
      <c r="J821" s="55"/>
      <c r="K821" s="55"/>
      <c r="L821" s="56"/>
      <c r="M821" s="57"/>
      <c r="N821" s="346"/>
    </row>
    <row r="822" spans="2:14" x14ac:dyDescent="0.25">
      <c r="B822" s="14"/>
      <c r="C822" s="51"/>
      <c r="D822" s="52"/>
      <c r="E822" s="42"/>
      <c r="F822" s="53"/>
      <c r="G822" s="40"/>
      <c r="H822" s="40"/>
      <c r="I822" s="54"/>
      <c r="J822" s="55"/>
      <c r="K822" s="55"/>
      <c r="L822" s="56"/>
      <c r="M822" s="57"/>
      <c r="N822" s="346"/>
    </row>
    <row r="823" spans="2:14" x14ac:dyDescent="0.25">
      <c r="B823" s="14"/>
      <c r="C823" s="51"/>
      <c r="D823" s="52"/>
      <c r="E823" s="42"/>
      <c r="F823" s="53"/>
      <c r="G823" s="40"/>
      <c r="H823" s="40"/>
      <c r="I823" s="54"/>
      <c r="J823" s="55"/>
      <c r="K823" s="55"/>
      <c r="L823" s="56"/>
      <c r="M823" s="57"/>
      <c r="N823" s="346"/>
    </row>
    <row r="824" spans="2:14" x14ac:dyDescent="0.25">
      <c r="B824" s="14"/>
      <c r="C824" s="51"/>
      <c r="D824" s="52"/>
      <c r="E824" s="42"/>
      <c r="F824" s="53"/>
      <c r="G824" s="40"/>
      <c r="H824" s="40"/>
      <c r="I824" s="54"/>
      <c r="J824" s="55"/>
      <c r="K824" s="55"/>
      <c r="L824" s="56"/>
      <c r="M824" s="57"/>
      <c r="N824" s="346"/>
    </row>
    <row r="825" spans="2:14" x14ac:dyDescent="0.25">
      <c r="B825" s="14"/>
      <c r="C825" s="51"/>
      <c r="D825" s="52"/>
      <c r="E825" s="42"/>
      <c r="F825" s="53"/>
      <c r="G825" s="40"/>
      <c r="H825" s="40"/>
      <c r="I825" s="54"/>
      <c r="J825" s="55"/>
      <c r="K825" s="55"/>
      <c r="L825" s="56"/>
      <c r="M825" s="57"/>
      <c r="N825" s="346"/>
    </row>
    <row r="826" spans="2:14" x14ac:dyDescent="0.25">
      <c r="B826" s="14"/>
      <c r="C826" s="51"/>
      <c r="D826" s="52"/>
      <c r="E826" s="42"/>
      <c r="F826" s="53"/>
      <c r="G826" s="40"/>
      <c r="H826" s="40"/>
      <c r="I826" s="54"/>
      <c r="J826" s="55"/>
      <c r="K826" s="55"/>
      <c r="L826" s="56"/>
      <c r="M826" s="57"/>
      <c r="N826" s="346"/>
    </row>
    <row r="827" spans="2:14" x14ac:dyDescent="0.25">
      <c r="B827" s="14"/>
      <c r="C827" s="51"/>
      <c r="D827" s="52"/>
      <c r="E827" s="42"/>
      <c r="F827" s="53"/>
      <c r="G827" s="40"/>
      <c r="H827" s="40"/>
      <c r="I827" s="54"/>
      <c r="J827" s="55"/>
      <c r="K827" s="55"/>
      <c r="L827" s="56"/>
      <c r="M827" s="57"/>
      <c r="N827" s="346"/>
    </row>
    <row r="828" spans="2:14" x14ac:dyDescent="0.25">
      <c r="B828" s="14"/>
      <c r="C828" s="51"/>
      <c r="D828" s="52"/>
      <c r="E828" s="42"/>
      <c r="F828" s="53"/>
      <c r="G828" s="40"/>
      <c r="H828" s="40"/>
      <c r="I828" s="54"/>
      <c r="J828" s="55"/>
      <c r="K828" s="55"/>
      <c r="L828" s="56"/>
      <c r="M828" s="57"/>
      <c r="N828" s="346"/>
    </row>
    <row r="829" spans="2:14" x14ac:dyDescent="0.25">
      <c r="B829" s="14"/>
      <c r="C829" s="51"/>
      <c r="D829" s="52"/>
      <c r="E829" s="42"/>
      <c r="F829" s="53"/>
      <c r="G829" s="40"/>
      <c r="H829" s="40"/>
      <c r="I829" s="54"/>
      <c r="J829" s="55"/>
      <c r="K829" s="55"/>
      <c r="L829" s="56"/>
      <c r="M829" s="57"/>
      <c r="N829" s="346"/>
    </row>
    <row r="830" spans="2:14" x14ac:dyDescent="0.25">
      <c r="B830" s="14"/>
      <c r="C830" s="51"/>
      <c r="D830" s="52"/>
      <c r="E830" s="42"/>
      <c r="F830" s="53"/>
      <c r="G830" s="40"/>
      <c r="H830" s="40"/>
      <c r="I830" s="54"/>
      <c r="J830" s="55"/>
      <c r="K830" s="55"/>
      <c r="L830" s="56"/>
      <c r="M830" s="57"/>
      <c r="N830" s="346"/>
    </row>
    <row r="831" spans="2:14" x14ac:dyDescent="0.25">
      <c r="B831" s="14"/>
      <c r="C831" s="51"/>
      <c r="D831" s="52"/>
      <c r="E831" s="42"/>
      <c r="F831" s="53"/>
      <c r="G831" s="40"/>
      <c r="H831" s="40"/>
      <c r="I831" s="54"/>
      <c r="J831" s="55"/>
      <c r="K831" s="55"/>
      <c r="L831" s="56"/>
      <c r="M831" s="57"/>
      <c r="N831" s="346"/>
    </row>
    <row r="832" spans="2:14" x14ac:dyDescent="0.25">
      <c r="B832" s="14"/>
      <c r="C832" s="51"/>
      <c r="D832" s="52"/>
      <c r="E832" s="42"/>
      <c r="F832" s="53"/>
      <c r="G832" s="40"/>
      <c r="H832" s="40"/>
      <c r="I832" s="54"/>
      <c r="J832" s="55"/>
      <c r="K832" s="55"/>
      <c r="L832" s="56"/>
      <c r="M832" s="57"/>
      <c r="N832" s="346"/>
    </row>
    <row r="833" spans="2:14" x14ac:dyDescent="0.25">
      <c r="B833" s="14"/>
      <c r="C833" s="51"/>
      <c r="D833" s="52"/>
      <c r="E833" s="42"/>
      <c r="F833" s="53"/>
      <c r="G833" s="40"/>
      <c r="H833" s="40"/>
      <c r="I833" s="54"/>
      <c r="J833" s="55"/>
      <c r="K833" s="55"/>
      <c r="L833" s="56"/>
      <c r="M833" s="57"/>
      <c r="N833" s="346"/>
    </row>
    <row r="834" spans="2:14" x14ac:dyDescent="0.25">
      <c r="B834" s="14"/>
      <c r="C834" s="51"/>
      <c r="D834" s="52"/>
      <c r="E834" s="42"/>
      <c r="F834" s="53"/>
      <c r="G834" s="40"/>
      <c r="H834" s="40"/>
      <c r="I834" s="54"/>
      <c r="J834" s="55"/>
      <c r="K834" s="55"/>
      <c r="L834" s="56"/>
      <c r="M834" s="57"/>
      <c r="N834" s="346"/>
    </row>
    <row r="835" spans="2:14" x14ac:dyDescent="0.25">
      <c r="B835" s="14"/>
      <c r="C835" s="51"/>
      <c r="D835" s="52"/>
      <c r="E835" s="42"/>
      <c r="F835" s="53"/>
      <c r="G835" s="40"/>
      <c r="H835" s="40"/>
      <c r="I835" s="54"/>
      <c r="J835" s="55"/>
      <c r="K835" s="55"/>
      <c r="L835" s="56"/>
      <c r="M835" s="57"/>
      <c r="N835" s="346"/>
    </row>
    <row r="836" spans="2:14" x14ac:dyDescent="0.25">
      <c r="B836" s="14"/>
      <c r="C836" s="51"/>
      <c r="D836" s="52"/>
      <c r="E836" s="42"/>
      <c r="F836" s="53"/>
      <c r="G836" s="40"/>
      <c r="H836" s="40"/>
      <c r="I836" s="54"/>
      <c r="J836" s="55"/>
      <c r="K836" s="55"/>
      <c r="L836" s="56"/>
      <c r="M836" s="57"/>
      <c r="N836" s="346"/>
    </row>
    <row r="837" spans="2:14" x14ac:dyDescent="0.25">
      <c r="B837" s="14"/>
      <c r="C837" s="51"/>
      <c r="D837" s="52"/>
      <c r="E837" s="42"/>
      <c r="F837" s="53"/>
      <c r="G837" s="40"/>
      <c r="H837" s="40"/>
      <c r="I837" s="54"/>
      <c r="J837" s="55"/>
      <c r="K837" s="55"/>
      <c r="L837" s="56"/>
      <c r="M837" s="57"/>
      <c r="N837" s="346"/>
    </row>
    <row r="838" spans="2:14" x14ac:dyDescent="0.25">
      <c r="B838" s="14"/>
      <c r="C838" s="51"/>
      <c r="D838" s="52"/>
      <c r="E838" s="42"/>
      <c r="F838" s="53"/>
      <c r="G838" s="40"/>
      <c r="H838" s="40"/>
      <c r="I838" s="54"/>
      <c r="J838" s="55"/>
      <c r="K838" s="55"/>
      <c r="L838" s="56"/>
      <c r="M838" s="57"/>
      <c r="N838" s="346"/>
    </row>
    <row r="839" spans="2:14" x14ac:dyDescent="0.25">
      <c r="B839" s="14"/>
      <c r="C839" s="51"/>
      <c r="D839" s="52"/>
      <c r="E839" s="42"/>
      <c r="F839" s="53"/>
      <c r="G839" s="40"/>
      <c r="H839" s="40"/>
      <c r="I839" s="54"/>
      <c r="J839" s="55"/>
      <c r="K839" s="55"/>
      <c r="L839" s="56"/>
      <c r="M839" s="57"/>
      <c r="N839" s="346"/>
    </row>
    <row r="840" spans="2:14" x14ac:dyDescent="0.25">
      <c r="B840" s="14"/>
      <c r="C840" s="51"/>
      <c r="D840" s="52"/>
      <c r="E840" s="42"/>
      <c r="F840" s="53"/>
      <c r="G840" s="40"/>
      <c r="H840" s="40"/>
      <c r="I840" s="54"/>
      <c r="J840" s="55"/>
      <c r="K840" s="55"/>
      <c r="L840" s="56"/>
      <c r="M840" s="57"/>
      <c r="N840" s="346"/>
    </row>
    <row r="841" spans="2:14" x14ac:dyDescent="0.25">
      <c r="B841" s="14"/>
      <c r="C841" s="51"/>
      <c r="D841" s="52"/>
      <c r="E841" s="42"/>
      <c r="F841" s="53"/>
      <c r="G841" s="40"/>
      <c r="H841" s="40"/>
      <c r="I841" s="54"/>
      <c r="J841" s="55"/>
      <c r="K841" s="55"/>
      <c r="L841" s="56"/>
      <c r="M841" s="57"/>
      <c r="N841" s="346"/>
    </row>
    <row r="842" spans="2:14" x14ac:dyDescent="0.25">
      <c r="B842" s="14"/>
      <c r="C842" s="51"/>
      <c r="D842" s="52"/>
      <c r="E842" s="42"/>
      <c r="F842" s="53"/>
      <c r="G842" s="40"/>
      <c r="H842" s="40"/>
      <c r="I842" s="54"/>
      <c r="J842" s="55"/>
      <c r="K842" s="55"/>
      <c r="L842" s="56"/>
      <c r="M842" s="57"/>
      <c r="N842" s="346"/>
    </row>
    <row r="843" spans="2:14" x14ac:dyDescent="0.25">
      <c r="B843" s="14"/>
      <c r="C843" s="51"/>
      <c r="D843" s="52"/>
      <c r="E843" s="42"/>
      <c r="F843" s="53"/>
      <c r="G843" s="40"/>
      <c r="H843" s="40"/>
      <c r="I843" s="54"/>
      <c r="J843" s="55"/>
      <c r="K843" s="55"/>
      <c r="L843" s="56"/>
      <c r="M843" s="57"/>
      <c r="N843" s="346"/>
    </row>
    <row r="844" spans="2:14" x14ac:dyDescent="0.25">
      <c r="B844" s="14"/>
      <c r="C844" s="51"/>
      <c r="D844" s="52"/>
      <c r="E844" s="42"/>
      <c r="F844" s="53"/>
      <c r="G844" s="40"/>
      <c r="H844" s="40"/>
      <c r="I844" s="54"/>
      <c r="J844" s="55"/>
      <c r="K844" s="55"/>
      <c r="L844" s="56"/>
      <c r="M844" s="57"/>
      <c r="N844" s="346"/>
    </row>
    <row r="845" spans="2:14" x14ac:dyDescent="0.25">
      <c r="B845" s="14"/>
      <c r="C845" s="51"/>
      <c r="D845" s="52"/>
      <c r="E845" s="42"/>
      <c r="F845" s="53"/>
      <c r="G845" s="40"/>
      <c r="H845" s="40"/>
      <c r="I845" s="54"/>
      <c r="J845" s="55"/>
      <c r="K845" s="55"/>
      <c r="L845" s="56"/>
      <c r="M845" s="57"/>
      <c r="N845" s="346"/>
    </row>
    <row r="846" spans="2:14" x14ac:dyDescent="0.25">
      <c r="B846" s="14"/>
      <c r="C846" s="51"/>
      <c r="D846" s="52"/>
      <c r="E846" s="42"/>
      <c r="F846" s="53"/>
      <c r="G846" s="40"/>
      <c r="H846" s="40"/>
      <c r="I846" s="54"/>
      <c r="J846" s="55"/>
      <c r="K846" s="55"/>
      <c r="L846" s="56"/>
      <c r="M846" s="57"/>
      <c r="N846" s="346"/>
    </row>
    <row r="847" spans="2:14" x14ac:dyDescent="0.25">
      <c r="B847" s="14"/>
      <c r="C847" s="51"/>
      <c r="D847" s="52"/>
      <c r="E847" s="42"/>
      <c r="F847" s="53"/>
      <c r="G847" s="40"/>
      <c r="H847" s="40"/>
      <c r="I847" s="54"/>
      <c r="J847" s="55"/>
      <c r="K847" s="55"/>
      <c r="L847" s="56"/>
      <c r="M847" s="57"/>
      <c r="N847" s="346"/>
    </row>
    <row r="848" spans="2:14" x14ac:dyDescent="0.25">
      <c r="B848" s="14"/>
      <c r="C848" s="51"/>
      <c r="D848" s="52"/>
      <c r="E848" s="42"/>
      <c r="F848" s="53"/>
      <c r="G848" s="40"/>
      <c r="H848" s="40"/>
      <c r="I848" s="54"/>
      <c r="J848" s="55"/>
      <c r="K848" s="55"/>
      <c r="L848" s="56"/>
      <c r="M848" s="57"/>
      <c r="N848" s="346"/>
    </row>
    <row r="849" spans="2:14" x14ac:dyDescent="0.25">
      <c r="B849" s="14"/>
      <c r="C849" s="51"/>
      <c r="D849" s="52"/>
      <c r="E849" s="42"/>
      <c r="F849" s="53"/>
      <c r="G849" s="40"/>
      <c r="H849" s="40"/>
      <c r="I849" s="54"/>
      <c r="J849" s="55"/>
      <c r="K849" s="55"/>
      <c r="L849" s="56"/>
      <c r="M849" s="57"/>
      <c r="N849" s="346"/>
    </row>
    <row r="850" spans="2:14" x14ac:dyDescent="0.25">
      <c r="B850" s="14"/>
      <c r="C850" s="51"/>
      <c r="D850" s="52"/>
      <c r="E850" s="42"/>
      <c r="F850" s="53"/>
      <c r="G850" s="40"/>
      <c r="H850" s="40"/>
      <c r="I850" s="54"/>
      <c r="J850" s="55"/>
      <c r="K850" s="55"/>
      <c r="L850" s="56"/>
      <c r="M850" s="57"/>
      <c r="N850" s="346"/>
    </row>
    <row r="851" spans="2:14" x14ac:dyDescent="0.25">
      <c r="B851" s="14"/>
      <c r="C851" s="51"/>
      <c r="D851" s="52"/>
      <c r="E851" s="42"/>
      <c r="F851" s="53"/>
      <c r="G851" s="40"/>
      <c r="H851" s="40"/>
      <c r="I851" s="54"/>
      <c r="J851" s="55"/>
      <c r="K851" s="55"/>
      <c r="L851" s="56"/>
      <c r="M851" s="57"/>
      <c r="N851" s="346"/>
    </row>
    <row r="852" spans="2:14" x14ac:dyDescent="0.25">
      <c r="B852" s="14"/>
      <c r="C852" s="51"/>
      <c r="D852" s="52"/>
      <c r="E852" s="42"/>
      <c r="F852" s="53"/>
      <c r="G852" s="40"/>
      <c r="H852" s="40"/>
      <c r="I852" s="54"/>
      <c r="J852" s="55"/>
      <c r="K852" s="55"/>
      <c r="L852" s="56"/>
      <c r="M852" s="57"/>
      <c r="N852" s="346"/>
    </row>
    <row r="853" spans="2:14" x14ac:dyDescent="0.25">
      <c r="B853" s="14"/>
      <c r="C853" s="51"/>
      <c r="D853" s="52"/>
      <c r="E853" s="42"/>
      <c r="F853" s="53"/>
      <c r="G853" s="40"/>
      <c r="H853" s="40"/>
      <c r="I853" s="54"/>
      <c r="J853" s="55"/>
      <c r="K853" s="55"/>
      <c r="L853" s="56"/>
      <c r="M853" s="57"/>
      <c r="N853" s="346"/>
    </row>
    <row r="854" spans="2:14" x14ac:dyDescent="0.25">
      <c r="B854" s="14"/>
      <c r="C854" s="51"/>
      <c r="D854" s="52"/>
      <c r="E854" s="42"/>
      <c r="F854" s="53"/>
      <c r="G854" s="40"/>
      <c r="H854" s="40"/>
      <c r="I854" s="54"/>
      <c r="J854" s="55"/>
      <c r="K854" s="55"/>
      <c r="L854" s="56"/>
      <c r="M854" s="57"/>
      <c r="N854" s="346"/>
    </row>
    <row r="855" spans="2:14" x14ac:dyDescent="0.25">
      <c r="B855" s="14"/>
      <c r="C855" s="51"/>
      <c r="D855" s="52"/>
      <c r="E855" s="42"/>
      <c r="F855" s="53"/>
      <c r="G855" s="40"/>
      <c r="H855" s="40"/>
      <c r="I855" s="54"/>
      <c r="J855" s="55"/>
      <c r="K855" s="55"/>
      <c r="L855" s="56"/>
      <c r="M855" s="57"/>
      <c r="N855" s="346"/>
    </row>
    <row r="856" spans="2:14" x14ac:dyDescent="0.25">
      <c r="B856" s="14"/>
      <c r="C856" s="51"/>
      <c r="D856" s="52"/>
      <c r="E856" s="42"/>
      <c r="F856" s="53"/>
      <c r="G856" s="40"/>
      <c r="H856" s="40"/>
      <c r="I856" s="54"/>
      <c r="J856" s="55"/>
      <c r="K856" s="55"/>
      <c r="L856" s="56"/>
      <c r="M856" s="57"/>
      <c r="N856" s="346"/>
    </row>
    <row r="857" spans="2:14" x14ac:dyDescent="0.25">
      <c r="B857" s="14"/>
      <c r="C857" s="51"/>
      <c r="D857" s="52"/>
      <c r="E857" s="42"/>
      <c r="F857" s="53"/>
      <c r="G857" s="40"/>
      <c r="H857" s="40"/>
      <c r="I857" s="54"/>
      <c r="J857" s="55"/>
      <c r="K857" s="55"/>
      <c r="L857" s="56"/>
      <c r="M857" s="57"/>
      <c r="N857" s="346"/>
    </row>
    <row r="858" spans="2:14" x14ac:dyDescent="0.25">
      <c r="B858" s="14"/>
      <c r="C858" s="51"/>
      <c r="D858" s="52"/>
      <c r="E858" s="42"/>
      <c r="F858" s="53"/>
      <c r="G858" s="40"/>
      <c r="H858" s="40"/>
      <c r="I858" s="54"/>
      <c r="J858" s="55"/>
      <c r="K858" s="55"/>
      <c r="L858" s="56"/>
      <c r="M858" s="57"/>
      <c r="N858" s="346"/>
    </row>
    <row r="859" spans="2:14" x14ac:dyDescent="0.25">
      <c r="B859" s="14"/>
      <c r="C859" s="51"/>
      <c r="D859" s="52"/>
      <c r="E859" s="42"/>
      <c r="F859" s="53"/>
      <c r="G859" s="40"/>
      <c r="H859" s="40"/>
      <c r="I859" s="54"/>
      <c r="J859" s="55"/>
      <c r="K859" s="55"/>
      <c r="L859" s="56"/>
      <c r="M859" s="57"/>
      <c r="N859" s="346"/>
    </row>
    <row r="860" spans="2:14" x14ac:dyDescent="0.25">
      <c r="B860" s="14"/>
      <c r="C860" s="51"/>
      <c r="D860" s="52"/>
      <c r="E860" s="42"/>
      <c r="F860" s="53"/>
      <c r="G860" s="40"/>
      <c r="H860" s="40"/>
      <c r="I860" s="54"/>
      <c r="J860" s="55"/>
      <c r="K860" s="55"/>
      <c r="L860" s="56"/>
      <c r="M860" s="57"/>
      <c r="N860" s="346"/>
    </row>
    <row r="861" spans="2:14" x14ac:dyDescent="0.25">
      <c r="B861" s="14"/>
      <c r="C861" s="51"/>
      <c r="D861" s="52"/>
      <c r="E861" s="42"/>
      <c r="F861" s="53"/>
      <c r="G861" s="40"/>
      <c r="H861" s="40"/>
      <c r="I861" s="54"/>
      <c r="J861" s="55"/>
      <c r="K861" s="55"/>
      <c r="L861" s="56"/>
      <c r="M861" s="57"/>
      <c r="N861" s="346"/>
    </row>
    <row r="862" spans="2:14" x14ac:dyDescent="0.25">
      <c r="B862" s="14"/>
      <c r="C862" s="51"/>
      <c r="D862" s="52"/>
      <c r="E862" s="42"/>
      <c r="F862" s="53"/>
      <c r="G862" s="40"/>
      <c r="H862" s="40"/>
      <c r="I862" s="54"/>
      <c r="J862" s="55"/>
      <c r="K862" s="55"/>
      <c r="L862" s="56"/>
      <c r="M862" s="57"/>
      <c r="N862" s="346"/>
    </row>
    <row r="863" spans="2:14" x14ac:dyDescent="0.25">
      <c r="B863" s="14"/>
      <c r="C863" s="51"/>
      <c r="D863" s="52"/>
      <c r="E863" s="42"/>
      <c r="F863" s="53"/>
      <c r="G863" s="40"/>
      <c r="H863" s="40"/>
      <c r="I863" s="54"/>
      <c r="J863" s="55"/>
      <c r="K863" s="55"/>
      <c r="L863" s="56"/>
      <c r="M863" s="57"/>
      <c r="N863" s="346"/>
    </row>
    <row r="864" spans="2:14" x14ac:dyDescent="0.25">
      <c r="B864" s="14"/>
      <c r="C864" s="51"/>
      <c r="D864" s="52"/>
      <c r="E864" s="42"/>
      <c r="F864" s="53"/>
      <c r="G864" s="40"/>
      <c r="H864" s="40"/>
      <c r="I864" s="54"/>
      <c r="J864" s="55"/>
      <c r="K864" s="55"/>
      <c r="L864" s="56"/>
      <c r="M864" s="57"/>
      <c r="N864" s="346"/>
    </row>
    <row r="865" spans="2:14" x14ac:dyDescent="0.25">
      <c r="B865" s="14"/>
      <c r="C865" s="51"/>
      <c r="D865" s="52"/>
      <c r="E865" s="42"/>
      <c r="F865" s="53"/>
      <c r="G865" s="40"/>
      <c r="H865" s="40"/>
      <c r="I865" s="54"/>
      <c r="J865" s="55"/>
      <c r="K865" s="55"/>
      <c r="L865" s="56"/>
      <c r="M865" s="57"/>
      <c r="N865" s="346"/>
    </row>
    <row r="866" spans="2:14" x14ac:dyDescent="0.25">
      <c r="B866" s="14"/>
      <c r="C866" s="51"/>
      <c r="D866" s="52"/>
      <c r="E866" s="42"/>
      <c r="F866" s="53"/>
      <c r="G866" s="40"/>
      <c r="H866" s="40"/>
      <c r="I866" s="54"/>
      <c r="J866" s="55"/>
      <c r="K866" s="55"/>
      <c r="L866" s="56"/>
      <c r="M866" s="57"/>
      <c r="N866" s="346"/>
    </row>
    <row r="867" spans="2:14" x14ac:dyDescent="0.25">
      <c r="B867" s="14"/>
      <c r="C867" s="51"/>
      <c r="D867" s="52"/>
      <c r="E867" s="42"/>
      <c r="F867" s="53"/>
      <c r="G867" s="40"/>
      <c r="H867" s="40"/>
      <c r="I867" s="54"/>
      <c r="J867" s="55"/>
      <c r="K867" s="55"/>
      <c r="L867" s="56"/>
      <c r="M867" s="57"/>
      <c r="N867" s="346"/>
    </row>
    <row r="868" spans="2:14" x14ac:dyDescent="0.25">
      <c r="B868" s="14"/>
      <c r="C868" s="51"/>
      <c r="D868" s="52"/>
      <c r="E868" s="42"/>
      <c r="F868" s="53"/>
      <c r="G868" s="40"/>
      <c r="H868" s="40"/>
      <c r="I868" s="54"/>
      <c r="J868" s="55"/>
      <c r="K868" s="55"/>
      <c r="L868" s="56"/>
      <c r="M868" s="57"/>
      <c r="N868" s="346"/>
    </row>
    <row r="869" spans="2:14" x14ac:dyDescent="0.25">
      <c r="B869" s="14"/>
      <c r="C869" s="51"/>
      <c r="D869" s="52"/>
      <c r="E869" s="42"/>
      <c r="F869" s="53"/>
      <c r="G869" s="40"/>
      <c r="H869" s="40"/>
      <c r="I869" s="54"/>
      <c r="J869" s="55"/>
      <c r="K869" s="55"/>
      <c r="L869" s="56"/>
      <c r="M869" s="57"/>
      <c r="N869" s="346"/>
    </row>
  </sheetData>
  <autoFilter ref="A3:Q3">
    <sortState ref="A4:Q136">
      <sortCondition ref="E3"/>
    </sortState>
  </autoFilter>
  <dataConsolidate/>
  <mergeCells count="3">
    <mergeCell ref="D1:F1"/>
    <mergeCell ref="G1:H1"/>
    <mergeCell ref="K1:M1"/>
  </mergeCells>
  <dataValidations count="3">
    <dataValidation type="custom" allowBlank="1" showInputMessage="1" showErrorMessage="1" error="DUPLICATE VALUE INSERTED" sqref="E5:E136">
      <formula1>COUNTIF($E$4:$E$201,E5)&lt;2</formula1>
    </dataValidation>
    <dataValidation type="custom" allowBlank="1" showInputMessage="1" showErrorMessage="1" error="BE VIGILANT TRYING TO TYPE DUPLICATE VALUE" sqref="L4:L151">
      <formula1>COUNTIF($L$4:$L$201,L4)&lt;2</formula1>
    </dataValidation>
    <dataValidation type="custom" allowBlank="1" showInputMessage="1" showErrorMessage="1" error="BE VIGILANT TRYING TO TYPE DUPLICATE VALUE" sqref="E4">
      <formula1>COUNTIF($E$4:$E$201,E4)&lt;2</formula1>
    </dataValidation>
  </dataValidations>
  <pageMargins left="0" right="0" top="0" bottom="0" header="0" footer="0"/>
  <pageSetup paperSize="9" scale="20" fitToHeight="0" orientation="landscape" cellComments="asDisplayed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2"/>
  <sheetViews>
    <sheetView view="pageBreakPreview" zoomScale="51" zoomScaleNormal="55" zoomScaleSheetLayoutView="51" workbookViewId="0">
      <pane ySplit="4" topLeftCell="A5" activePane="bottomLeft" state="frozen"/>
      <selection pane="bottomLeft" sqref="A1:XFD1048576"/>
    </sheetView>
  </sheetViews>
  <sheetFormatPr defaultRowHeight="45" x14ac:dyDescent="0.25"/>
  <cols>
    <col min="1" max="1" width="11.42578125" style="64" customWidth="1"/>
    <col min="2" max="2" width="35.42578125" style="64" customWidth="1"/>
    <col min="3" max="3" width="73.42578125" style="68" customWidth="1"/>
    <col min="4" max="5" width="21" style="65" customWidth="1"/>
    <col min="6" max="6" width="20" style="69" customWidth="1"/>
    <col min="7" max="7" width="25.5703125" style="70" customWidth="1"/>
    <col min="8" max="8" width="21.7109375" style="69" customWidth="1"/>
    <col min="9" max="9" width="22.140625" style="72" customWidth="1"/>
    <col min="10" max="10" width="20.5703125" style="73" customWidth="1"/>
    <col min="11" max="11" width="22.5703125" style="66" customWidth="1"/>
    <col min="12" max="12" width="65.42578125" style="64" customWidth="1"/>
    <col min="13" max="13" width="72" style="64" customWidth="1"/>
    <col min="14" max="14" width="67.85546875" style="63" customWidth="1"/>
    <col min="15" max="15" width="16.28515625" style="63" bestFit="1" customWidth="1"/>
    <col min="16" max="16" width="17.42578125" style="63" bestFit="1" customWidth="1"/>
    <col min="17" max="17" width="18.42578125" style="63" customWidth="1"/>
    <col min="18" max="18" width="27.5703125" style="63" customWidth="1"/>
    <col min="19" max="16384" width="9.140625" style="63"/>
  </cols>
  <sheetData>
    <row r="1" spans="1:19" s="61" customFormat="1" ht="45" customHeight="1" x14ac:dyDescent="0.25">
      <c r="A1" s="250" t="s">
        <v>955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N1" s="252"/>
    </row>
    <row r="2" spans="1:19" s="71" customFormat="1" ht="58.5" x14ac:dyDescent="0.25">
      <c r="A2" s="253">
        <f>'[1]LOGBOOK FORMAT'!B1</f>
        <v>45756</v>
      </c>
      <c r="B2" s="254"/>
      <c r="C2" s="255"/>
      <c r="D2" s="253">
        <f>A2</f>
        <v>45756</v>
      </c>
      <c r="E2" s="254"/>
      <c r="F2" s="254"/>
      <c r="G2" s="254"/>
      <c r="H2" s="254"/>
      <c r="I2" s="254"/>
      <c r="J2" s="254"/>
      <c r="K2" s="254"/>
      <c r="L2" s="254"/>
      <c r="M2" s="254"/>
      <c r="N2" s="255"/>
      <c r="O2" s="221"/>
      <c r="P2" s="221"/>
      <c r="Q2" s="221"/>
      <c r="R2" s="221"/>
      <c r="S2" s="221"/>
    </row>
    <row r="3" spans="1:19" s="67" customFormat="1" ht="78.75" customHeight="1" x14ac:dyDescent="0.25">
      <c r="A3" s="257" t="s">
        <v>956</v>
      </c>
      <c r="B3" s="258"/>
      <c r="C3" s="259"/>
      <c r="D3" s="260" t="s">
        <v>65</v>
      </c>
      <c r="E3" s="261"/>
      <c r="F3" s="262"/>
      <c r="G3" s="256" t="s">
        <v>66</v>
      </c>
      <c r="H3" s="256"/>
      <c r="I3" s="256"/>
      <c r="J3" s="256"/>
      <c r="K3" s="222" t="s">
        <v>67</v>
      </c>
      <c r="L3" s="263" t="s">
        <v>957</v>
      </c>
      <c r="M3" s="264"/>
      <c r="N3" s="223"/>
    </row>
    <row r="4" spans="1:19" s="62" customFormat="1" ht="76.5" x14ac:dyDescent="0.25">
      <c r="A4" s="224" t="s">
        <v>4</v>
      </c>
      <c r="B4" s="225" t="s">
        <v>9</v>
      </c>
      <c r="C4" s="226" t="s">
        <v>8</v>
      </c>
      <c r="D4" s="227" t="s">
        <v>64</v>
      </c>
      <c r="E4" s="228" t="s">
        <v>70</v>
      </c>
      <c r="F4" s="229" t="s">
        <v>71</v>
      </c>
      <c r="G4" s="230" t="s">
        <v>70</v>
      </c>
      <c r="H4" s="229" t="s">
        <v>71</v>
      </c>
      <c r="I4" s="231" t="s">
        <v>73</v>
      </c>
      <c r="J4" s="232" t="s">
        <v>71</v>
      </c>
      <c r="K4" s="233" t="s">
        <v>72</v>
      </c>
      <c r="L4" s="234" t="s">
        <v>68</v>
      </c>
      <c r="M4" s="235" t="s">
        <v>69</v>
      </c>
      <c r="N4" s="236" t="s">
        <v>15</v>
      </c>
    </row>
    <row r="5" spans="1:19" ht="174.95" customHeight="1" x14ac:dyDescent="0.25">
      <c r="A5" s="210"/>
      <c r="B5" s="211"/>
      <c r="C5" s="220"/>
      <c r="D5" s="213"/>
      <c r="E5" s="214"/>
      <c r="F5" s="215"/>
      <c r="G5" s="216"/>
      <c r="H5" s="215"/>
      <c r="I5" s="217"/>
      <c r="J5" s="215"/>
      <c r="K5" s="218"/>
      <c r="L5" s="213"/>
      <c r="M5" s="213"/>
      <c r="N5" s="213"/>
    </row>
    <row r="6" spans="1:19" ht="174.95" customHeight="1" x14ac:dyDescent="0.25">
      <c r="A6" s="210"/>
      <c r="B6" s="211"/>
      <c r="C6" s="220"/>
      <c r="D6" s="213"/>
      <c r="E6" s="214"/>
      <c r="F6" s="215"/>
      <c r="G6" s="216"/>
      <c r="H6" s="215"/>
      <c r="I6" s="237"/>
      <c r="J6" s="215"/>
      <c r="K6" s="218"/>
      <c r="L6" s="213"/>
      <c r="M6" s="238"/>
      <c r="N6" s="213"/>
    </row>
    <row r="7" spans="1:19" ht="174.95" customHeight="1" x14ac:dyDescent="0.25">
      <c r="A7" s="210"/>
      <c r="B7" s="211"/>
      <c r="C7" s="220"/>
      <c r="D7" s="213"/>
      <c r="E7" s="214"/>
      <c r="F7" s="215"/>
      <c r="G7" s="216"/>
      <c r="H7" s="215"/>
      <c r="I7" s="217"/>
      <c r="J7" s="215"/>
      <c r="K7" s="218"/>
      <c r="L7" s="213"/>
      <c r="M7" s="213"/>
      <c r="N7" s="213"/>
    </row>
    <row r="8" spans="1:19" ht="174.95" customHeight="1" x14ac:dyDescent="0.25">
      <c r="A8" s="210"/>
      <c r="B8" s="211"/>
      <c r="C8" s="220"/>
      <c r="D8" s="213"/>
      <c r="E8" s="214"/>
      <c r="F8" s="215"/>
      <c r="G8" s="216"/>
      <c r="H8" s="215"/>
      <c r="I8" s="217"/>
      <c r="J8" s="215"/>
      <c r="K8" s="218"/>
      <c r="L8" s="213"/>
      <c r="M8" s="213"/>
      <c r="N8" s="213"/>
    </row>
    <row r="9" spans="1:19" ht="174.95" customHeight="1" x14ac:dyDescent="0.25">
      <c r="A9" s="210"/>
      <c r="B9" s="211"/>
      <c r="C9" s="220"/>
      <c r="D9" s="213"/>
      <c r="E9" s="214"/>
      <c r="F9" s="215"/>
      <c r="G9" s="216"/>
      <c r="H9" s="215"/>
      <c r="I9" s="217"/>
      <c r="J9" s="215"/>
      <c r="K9" s="218"/>
      <c r="L9" s="213"/>
      <c r="M9" s="213"/>
      <c r="N9" s="213"/>
    </row>
    <row r="10" spans="1:19" ht="174.95" customHeight="1" x14ac:dyDescent="0.25">
      <c r="A10" s="210"/>
      <c r="B10" s="211"/>
      <c r="C10" s="220"/>
      <c r="D10" s="213"/>
      <c r="E10" s="214"/>
      <c r="F10" s="215"/>
      <c r="G10" s="216"/>
      <c r="H10" s="215"/>
      <c r="I10" s="217"/>
      <c r="J10" s="215"/>
      <c r="K10" s="218"/>
      <c r="L10" s="213"/>
      <c r="M10" s="213"/>
      <c r="N10" s="213"/>
    </row>
    <row r="11" spans="1:19" ht="174.95" customHeight="1" x14ac:dyDescent="0.25">
      <c r="A11" s="210"/>
      <c r="B11" s="211"/>
      <c r="C11" s="220"/>
      <c r="D11" s="213"/>
      <c r="E11" s="214"/>
      <c r="F11" s="215"/>
      <c r="G11" s="216"/>
      <c r="H11" s="215"/>
      <c r="I11" s="217"/>
      <c r="J11" s="215"/>
      <c r="K11" s="218"/>
      <c r="L11" s="213"/>
      <c r="M11" s="213"/>
      <c r="N11" s="213"/>
    </row>
    <row r="12" spans="1:19" ht="174.95" customHeight="1" x14ac:dyDescent="0.25">
      <c r="A12" s="210"/>
      <c r="B12" s="211"/>
      <c r="C12" s="220"/>
      <c r="D12" s="213"/>
      <c r="E12" s="214"/>
      <c r="F12" s="215"/>
      <c r="G12" s="216"/>
      <c r="H12" s="215"/>
      <c r="I12" s="217"/>
      <c r="J12" s="215"/>
      <c r="K12" s="218"/>
      <c r="L12" s="213"/>
      <c r="M12" s="213"/>
      <c r="N12" s="213"/>
    </row>
    <row r="13" spans="1:19" ht="174.95" customHeight="1" x14ac:dyDescent="0.25">
      <c r="A13" s="210"/>
      <c r="B13" s="211"/>
      <c r="C13" s="220"/>
      <c r="D13" s="213"/>
      <c r="E13" s="214"/>
      <c r="F13" s="215"/>
      <c r="G13" s="216"/>
      <c r="H13" s="215"/>
      <c r="I13" s="217"/>
      <c r="J13" s="215"/>
      <c r="K13" s="218"/>
      <c r="L13" s="213"/>
      <c r="M13" s="213"/>
      <c r="N13" s="213"/>
    </row>
    <row r="14" spans="1:19" ht="174.95" customHeight="1" x14ac:dyDescent="0.25">
      <c r="A14" s="210"/>
      <c r="B14" s="211"/>
      <c r="C14" s="220"/>
      <c r="D14" s="213"/>
      <c r="E14" s="214"/>
      <c r="F14" s="215"/>
      <c r="G14" s="216"/>
      <c r="H14" s="215"/>
      <c r="I14" s="217"/>
      <c r="J14" s="215"/>
      <c r="K14" s="218"/>
      <c r="L14" s="213"/>
      <c r="M14" s="213"/>
      <c r="N14" s="213"/>
    </row>
    <row r="15" spans="1:19" ht="174.95" customHeight="1" x14ac:dyDescent="0.25">
      <c r="A15" s="210"/>
      <c r="B15" s="211"/>
      <c r="C15" s="220"/>
      <c r="D15" s="213"/>
      <c r="E15" s="214"/>
      <c r="F15" s="215"/>
      <c r="G15" s="216"/>
      <c r="H15" s="215"/>
      <c r="I15" s="217"/>
      <c r="J15" s="215"/>
      <c r="K15" s="218"/>
      <c r="L15" s="213"/>
      <c r="M15" s="213"/>
      <c r="N15" s="213"/>
    </row>
    <row r="16" spans="1:19" ht="174.95" customHeight="1" x14ac:dyDescent="0.25">
      <c r="A16" s="210"/>
      <c r="B16" s="211"/>
      <c r="C16" s="220"/>
      <c r="D16" s="213"/>
      <c r="E16" s="214"/>
      <c r="F16" s="215"/>
      <c r="G16" s="216"/>
      <c r="H16" s="215"/>
      <c r="I16" s="217"/>
      <c r="J16" s="215"/>
      <c r="K16" s="218"/>
      <c r="L16" s="213"/>
      <c r="M16" s="213"/>
      <c r="N16" s="213"/>
    </row>
    <row r="17" spans="1:14" ht="174.95" customHeight="1" x14ac:dyDescent="0.25">
      <c r="A17" s="210"/>
      <c r="B17" s="211"/>
      <c r="C17" s="220"/>
      <c r="D17" s="213"/>
      <c r="E17" s="214"/>
      <c r="F17" s="215"/>
      <c r="G17" s="216"/>
      <c r="H17" s="215"/>
      <c r="I17" s="217"/>
      <c r="J17" s="215"/>
      <c r="K17" s="218"/>
      <c r="L17" s="213"/>
      <c r="M17" s="213"/>
      <c r="N17" s="213"/>
    </row>
    <row r="18" spans="1:14" ht="174.95" customHeight="1" x14ac:dyDescent="0.25">
      <c r="A18" s="210"/>
      <c r="B18" s="211"/>
      <c r="C18" s="220"/>
      <c r="D18" s="213"/>
      <c r="E18" s="214"/>
      <c r="F18" s="215"/>
      <c r="G18" s="216"/>
      <c r="H18" s="215"/>
      <c r="I18" s="217"/>
      <c r="J18" s="215"/>
      <c r="K18" s="218"/>
      <c r="L18" s="213"/>
      <c r="M18" s="213"/>
      <c r="N18" s="213"/>
    </row>
    <row r="19" spans="1:14" ht="174.95" customHeight="1" x14ac:dyDescent="0.25">
      <c r="A19" s="210"/>
      <c r="B19" s="211"/>
      <c r="C19" s="220"/>
      <c r="D19" s="213"/>
      <c r="E19" s="214"/>
      <c r="F19" s="215"/>
      <c r="G19" s="216"/>
      <c r="H19" s="215"/>
      <c r="I19" s="217"/>
      <c r="J19" s="215"/>
      <c r="K19" s="218"/>
      <c r="L19" s="213"/>
      <c r="M19" s="213"/>
      <c r="N19" s="213"/>
    </row>
    <row r="20" spans="1:14" ht="174.95" customHeight="1" x14ac:dyDescent="0.25">
      <c r="A20" s="210"/>
      <c r="B20" s="211"/>
      <c r="C20" s="220"/>
      <c r="D20" s="213"/>
      <c r="E20" s="214"/>
      <c r="F20" s="215"/>
      <c r="G20" s="216"/>
      <c r="H20" s="215"/>
      <c r="I20" s="217"/>
      <c r="J20" s="215"/>
      <c r="K20" s="218"/>
      <c r="L20" s="213"/>
      <c r="M20" s="213"/>
      <c r="N20" s="213"/>
    </row>
    <row r="21" spans="1:14" ht="120" customHeight="1" x14ac:dyDescent="0.25">
      <c r="A21" s="210"/>
      <c r="B21" s="211"/>
      <c r="C21" s="212"/>
      <c r="D21" s="213"/>
      <c r="E21" s="214"/>
      <c r="F21" s="215"/>
      <c r="G21" s="216"/>
      <c r="H21" s="215"/>
      <c r="I21" s="217"/>
      <c r="J21" s="215"/>
      <c r="K21" s="218"/>
      <c r="L21" s="213"/>
      <c r="M21" s="213"/>
      <c r="N21" s="213"/>
    </row>
    <row r="22" spans="1:14" x14ac:dyDescent="0.25">
      <c r="B22" s="219"/>
    </row>
  </sheetData>
  <mergeCells count="7">
    <mergeCell ref="A1:N1"/>
    <mergeCell ref="D2:N2"/>
    <mergeCell ref="G3:J3"/>
    <mergeCell ref="A2:C2"/>
    <mergeCell ref="A3:C3"/>
    <mergeCell ref="D3:F3"/>
    <mergeCell ref="L3:M3"/>
  </mergeCells>
  <pageMargins left="0" right="0" top="0" bottom="0" header="0" footer="0"/>
  <pageSetup scale="27" fitToHeight="0" orientation="landscape" cellComments="asDisplayed" r:id="rId1"/>
  <colBreaks count="1" manualBreakCount="1">
    <brk id="15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7"/>
  <sheetViews>
    <sheetView zoomScale="85" zoomScaleNormal="85" workbookViewId="0">
      <pane ySplit="3" topLeftCell="A4" activePane="bottomLeft" state="frozen"/>
      <selection pane="bottomLeft" activeCell="E82" sqref="E82"/>
    </sheetView>
  </sheetViews>
  <sheetFormatPr defaultRowHeight="18.75" x14ac:dyDescent="0.3"/>
  <cols>
    <col min="2" max="2" width="25.28515625" customWidth="1"/>
    <col min="3" max="3" width="14.7109375" style="27" customWidth="1"/>
    <col min="4" max="4" width="36.5703125" style="87" customWidth="1"/>
    <col min="5" max="5" width="41.7109375" style="179" customWidth="1"/>
    <col min="6" max="6" width="45" style="197" customWidth="1"/>
    <col min="7" max="7" width="22.28515625" style="160" customWidth="1"/>
    <col min="8" max="8" width="23.85546875" style="160" customWidth="1"/>
    <col min="9" max="9" width="59.42578125" customWidth="1"/>
    <col min="10" max="10" width="29.85546875" customWidth="1"/>
    <col min="11" max="11" width="30.7109375" customWidth="1"/>
  </cols>
  <sheetData>
    <row r="1" spans="1:13" ht="15" customHeight="1" x14ac:dyDescent="0.25">
      <c r="A1" s="74"/>
      <c r="B1" s="75"/>
      <c r="C1" s="310" t="s">
        <v>74</v>
      </c>
      <c r="D1" s="311"/>
      <c r="E1" s="311"/>
      <c r="F1" s="311"/>
      <c r="G1" s="311"/>
      <c r="H1" s="311"/>
      <c r="I1" s="312"/>
      <c r="J1" s="294" t="s">
        <v>291</v>
      </c>
      <c r="K1" s="296" t="s">
        <v>292</v>
      </c>
      <c r="L1" s="75"/>
      <c r="M1" s="76"/>
    </row>
    <row r="2" spans="1:13" ht="15.75" customHeight="1" thickBot="1" x14ac:dyDescent="0.3">
      <c r="A2" s="77"/>
      <c r="B2" s="78"/>
      <c r="C2" s="313"/>
      <c r="D2" s="314"/>
      <c r="E2" s="314"/>
      <c r="F2" s="314"/>
      <c r="G2" s="314"/>
      <c r="H2" s="314"/>
      <c r="I2" s="315"/>
      <c r="J2" s="295"/>
      <c r="K2" s="297"/>
      <c r="L2" s="78"/>
      <c r="M2" s="79"/>
    </row>
    <row r="3" spans="1:13" s="83" customFormat="1" x14ac:dyDescent="0.3">
      <c r="A3" s="80" t="s">
        <v>75</v>
      </c>
      <c r="B3" s="80" t="s">
        <v>9</v>
      </c>
      <c r="C3" s="81" t="s">
        <v>76</v>
      </c>
      <c r="D3" s="82" t="s">
        <v>9</v>
      </c>
      <c r="E3" s="167" t="s">
        <v>77</v>
      </c>
      <c r="F3" s="180" t="s">
        <v>78</v>
      </c>
      <c r="G3" s="149" t="s">
        <v>79</v>
      </c>
      <c r="H3" s="149" t="s">
        <v>80</v>
      </c>
      <c r="I3" s="80" t="s">
        <v>162</v>
      </c>
      <c r="J3" s="80"/>
      <c r="K3" s="80"/>
      <c r="L3" s="80"/>
      <c r="M3" s="80"/>
    </row>
    <row r="4" spans="1:13" x14ac:dyDescent="0.3">
      <c r="A4" s="80"/>
      <c r="B4" s="80"/>
      <c r="C4" s="81"/>
      <c r="D4" s="84"/>
      <c r="E4" s="167"/>
      <c r="F4" s="180"/>
      <c r="G4" s="150"/>
      <c r="H4" s="161"/>
      <c r="I4" s="80"/>
      <c r="J4" s="80"/>
      <c r="K4" s="80"/>
      <c r="L4" s="80"/>
      <c r="M4" s="80"/>
    </row>
    <row r="5" spans="1:13" x14ac:dyDescent="0.3">
      <c r="A5" s="85">
        <v>1</v>
      </c>
      <c r="B5" s="85" t="s">
        <v>81</v>
      </c>
      <c r="C5" s="5" t="s">
        <v>82</v>
      </c>
      <c r="D5" s="86"/>
      <c r="E5" s="168"/>
      <c r="F5" s="181"/>
      <c r="G5" s="151"/>
      <c r="H5" s="157"/>
      <c r="I5" s="85"/>
      <c r="J5" s="85"/>
      <c r="K5" s="85"/>
      <c r="L5" s="85"/>
      <c r="M5" s="85"/>
    </row>
    <row r="6" spans="1:13" s="104" customFormat="1" ht="20.100000000000001" customHeight="1" x14ac:dyDescent="0.25">
      <c r="A6" s="98">
        <v>2</v>
      </c>
      <c r="B6" s="102" t="s">
        <v>83</v>
      </c>
      <c r="C6" s="103" t="s">
        <v>84</v>
      </c>
      <c r="D6" s="106">
        <v>9589492235</v>
      </c>
      <c r="E6" s="169">
        <v>9425426476</v>
      </c>
      <c r="F6" s="135" t="s">
        <v>250</v>
      </c>
      <c r="G6" s="277" t="s">
        <v>254</v>
      </c>
      <c r="H6" s="280" t="s">
        <v>255</v>
      </c>
      <c r="I6" s="102"/>
      <c r="J6" s="102"/>
      <c r="K6" s="102"/>
      <c r="L6" s="102"/>
      <c r="M6" s="102"/>
    </row>
    <row r="7" spans="1:13" s="104" customFormat="1" ht="20.100000000000001" customHeight="1" x14ac:dyDescent="0.25">
      <c r="A7" s="85">
        <v>3</v>
      </c>
      <c r="B7" s="102" t="s">
        <v>85</v>
      </c>
      <c r="C7" s="103" t="s">
        <v>86</v>
      </c>
      <c r="D7" s="106">
        <v>7587951358</v>
      </c>
      <c r="E7" s="169" t="s">
        <v>87</v>
      </c>
      <c r="F7" s="135" t="s">
        <v>250</v>
      </c>
      <c r="G7" s="278"/>
      <c r="H7" s="281"/>
      <c r="I7" s="102"/>
      <c r="J7" s="102"/>
      <c r="K7" s="102"/>
      <c r="L7" s="102"/>
      <c r="M7" s="102"/>
    </row>
    <row r="8" spans="1:13" s="104" customFormat="1" ht="20.100000000000001" customHeight="1" x14ac:dyDescent="0.25">
      <c r="A8" s="98">
        <v>4</v>
      </c>
      <c r="B8" s="102" t="s">
        <v>88</v>
      </c>
      <c r="C8" s="103" t="s">
        <v>86</v>
      </c>
      <c r="D8" s="106">
        <v>9425803180</v>
      </c>
      <c r="E8" s="169" t="s">
        <v>87</v>
      </c>
      <c r="F8" s="135" t="s">
        <v>251</v>
      </c>
      <c r="G8" s="278"/>
      <c r="H8" s="281"/>
      <c r="I8" s="102"/>
      <c r="J8" s="102"/>
      <c r="K8" s="102"/>
      <c r="L8" s="102"/>
      <c r="M8" s="102"/>
    </row>
    <row r="9" spans="1:13" s="104" customFormat="1" ht="20.100000000000001" customHeight="1" x14ac:dyDescent="0.25">
      <c r="A9" s="85">
        <v>5</v>
      </c>
      <c r="B9" s="102" t="s">
        <v>89</v>
      </c>
      <c r="C9" s="103" t="s">
        <v>84</v>
      </c>
      <c r="D9" s="106">
        <v>9144995797</v>
      </c>
      <c r="E9" s="169">
        <v>6268252465</v>
      </c>
      <c r="F9" s="135" t="s">
        <v>252</v>
      </c>
      <c r="G9" s="278"/>
      <c r="H9" s="281"/>
      <c r="I9" s="102"/>
      <c r="J9" s="102"/>
      <c r="K9" s="102"/>
      <c r="L9" s="102"/>
      <c r="M9" s="102"/>
    </row>
    <row r="10" spans="1:13" s="104" customFormat="1" ht="24.95" customHeight="1" x14ac:dyDescent="0.25">
      <c r="A10" s="98">
        <v>6</v>
      </c>
      <c r="B10" s="102" t="s">
        <v>90</v>
      </c>
      <c r="C10" s="103" t="s">
        <v>84</v>
      </c>
      <c r="D10" s="106">
        <v>9755407562</v>
      </c>
      <c r="E10" s="169">
        <v>9479480113</v>
      </c>
      <c r="F10" s="135" t="s">
        <v>252</v>
      </c>
      <c r="G10" s="278"/>
      <c r="H10" s="281"/>
      <c r="I10" s="102"/>
      <c r="J10" s="102"/>
      <c r="K10" s="102"/>
      <c r="L10" s="102"/>
      <c r="M10" s="102"/>
    </row>
    <row r="11" spans="1:13" s="104" customFormat="1" ht="24.95" customHeight="1" x14ac:dyDescent="0.25">
      <c r="A11" s="85">
        <v>7</v>
      </c>
      <c r="B11" s="102" t="s">
        <v>91</v>
      </c>
      <c r="C11" s="103" t="s">
        <v>84</v>
      </c>
      <c r="D11" s="106">
        <v>8982363852</v>
      </c>
      <c r="E11" s="169">
        <v>8982133032</v>
      </c>
      <c r="F11" s="135" t="s">
        <v>249</v>
      </c>
      <c r="G11" s="278"/>
      <c r="H11" s="281"/>
      <c r="I11" s="102"/>
      <c r="J11" s="102"/>
      <c r="K11" s="102"/>
      <c r="L11" s="102"/>
      <c r="M11" s="102"/>
    </row>
    <row r="12" spans="1:13" s="104" customFormat="1" ht="24.95" customHeight="1" x14ac:dyDescent="0.25">
      <c r="A12" s="98">
        <v>8</v>
      </c>
      <c r="B12" s="102" t="s">
        <v>92</v>
      </c>
      <c r="C12" s="103" t="s">
        <v>84</v>
      </c>
      <c r="D12" s="106">
        <v>9109751102</v>
      </c>
      <c r="E12" s="169">
        <v>8269439533</v>
      </c>
      <c r="F12" s="135" t="s">
        <v>251</v>
      </c>
      <c r="G12" s="278"/>
      <c r="H12" s="281"/>
      <c r="I12" s="102"/>
      <c r="J12" s="102"/>
      <c r="K12" s="102"/>
      <c r="L12" s="102"/>
      <c r="M12" s="102"/>
    </row>
    <row r="13" spans="1:13" s="104" customFormat="1" ht="24.95" customHeight="1" x14ac:dyDescent="0.25">
      <c r="A13" s="85">
        <v>9</v>
      </c>
      <c r="B13" s="102" t="s">
        <v>93</v>
      </c>
      <c r="C13" s="103" t="s">
        <v>84</v>
      </c>
      <c r="D13" s="106">
        <v>7587951362</v>
      </c>
      <c r="E13" s="169">
        <v>9425802347</v>
      </c>
      <c r="F13" s="135" t="s">
        <v>251</v>
      </c>
      <c r="G13" s="278"/>
      <c r="H13" s="281"/>
      <c r="I13" s="102"/>
      <c r="J13" s="102"/>
      <c r="K13" s="102"/>
      <c r="L13" s="102"/>
      <c r="M13" s="102"/>
    </row>
    <row r="14" spans="1:13" s="104" customFormat="1" ht="24.95" customHeight="1" x14ac:dyDescent="0.25">
      <c r="A14" s="98">
        <v>10</v>
      </c>
      <c r="B14" s="102" t="s">
        <v>94</v>
      </c>
      <c r="C14" s="103" t="s">
        <v>84</v>
      </c>
      <c r="D14" s="106">
        <v>7587951360</v>
      </c>
      <c r="E14" s="169">
        <v>9425802349</v>
      </c>
      <c r="F14" s="135" t="s">
        <v>253</v>
      </c>
      <c r="G14" s="278"/>
      <c r="H14" s="281"/>
      <c r="I14" s="102"/>
      <c r="J14" s="102"/>
      <c r="K14" s="102"/>
      <c r="L14" s="102"/>
      <c r="M14" s="102"/>
    </row>
    <row r="15" spans="1:13" s="104" customFormat="1" ht="24.95" customHeight="1" x14ac:dyDescent="0.25">
      <c r="A15" s="85">
        <v>11</v>
      </c>
      <c r="B15" s="102" t="s">
        <v>95</v>
      </c>
      <c r="C15" s="103" t="s">
        <v>84</v>
      </c>
      <c r="D15" s="106">
        <v>7587951365</v>
      </c>
      <c r="E15" s="169">
        <v>9179221925</v>
      </c>
      <c r="F15" s="135" t="s">
        <v>253</v>
      </c>
      <c r="G15" s="278"/>
      <c r="H15" s="281"/>
      <c r="I15" s="102"/>
      <c r="J15" s="102"/>
      <c r="K15" s="102"/>
      <c r="L15" s="102"/>
      <c r="M15" s="102"/>
    </row>
    <row r="16" spans="1:13" s="104" customFormat="1" ht="24.95" customHeight="1" x14ac:dyDescent="0.25">
      <c r="A16" s="98">
        <v>12</v>
      </c>
      <c r="B16" s="102" t="s">
        <v>153</v>
      </c>
      <c r="C16" s="103" t="s">
        <v>84</v>
      </c>
      <c r="D16" s="106"/>
      <c r="E16" s="169"/>
      <c r="F16" s="135"/>
      <c r="G16" s="279"/>
      <c r="H16" s="282"/>
      <c r="I16" s="102"/>
      <c r="J16" s="102"/>
      <c r="K16" s="102"/>
      <c r="L16" s="102"/>
      <c r="M16" s="102"/>
    </row>
    <row r="17" spans="1:13" ht="24.95" customHeight="1" x14ac:dyDescent="0.25">
      <c r="A17" s="85">
        <v>13</v>
      </c>
      <c r="B17" s="102" t="s">
        <v>112</v>
      </c>
      <c r="C17" s="103" t="s">
        <v>86</v>
      </c>
      <c r="D17" s="106" t="s">
        <v>164</v>
      </c>
      <c r="E17" s="169"/>
      <c r="F17" s="135" t="s">
        <v>240</v>
      </c>
      <c r="G17" s="152"/>
      <c r="H17" s="162"/>
      <c r="I17" s="85"/>
      <c r="J17" s="85"/>
      <c r="K17" s="85"/>
      <c r="L17" s="85"/>
      <c r="M17" s="85"/>
    </row>
    <row r="18" spans="1:13" s="128" customFormat="1" ht="24.95" customHeight="1" x14ac:dyDescent="0.25">
      <c r="A18" s="98">
        <v>14</v>
      </c>
      <c r="B18" s="125" t="s">
        <v>138</v>
      </c>
      <c r="C18" s="126"/>
      <c r="D18" s="127" t="s">
        <v>173</v>
      </c>
      <c r="E18" s="170" t="s">
        <v>245</v>
      </c>
      <c r="F18" s="182" t="s">
        <v>259</v>
      </c>
      <c r="G18" s="304" t="s">
        <v>265</v>
      </c>
      <c r="H18" s="304" t="s">
        <v>293</v>
      </c>
      <c r="I18" s="125"/>
      <c r="J18" s="143"/>
      <c r="K18" s="301"/>
      <c r="L18" s="125"/>
      <c r="M18" s="125"/>
    </row>
    <row r="19" spans="1:13" s="128" customFormat="1" ht="24.95" customHeight="1" x14ac:dyDescent="0.25">
      <c r="A19" s="85">
        <v>15</v>
      </c>
      <c r="B19" s="125" t="s">
        <v>241</v>
      </c>
      <c r="C19" s="126"/>
      <c r="D19" s="127">
        <v>7805973696</v>
      </c>
      <c r="E19" s="170" t="s">
        <v>257</v>
      </c>
      <c r="F19" s="182" t="s">
        <v>259</v>
      </c>
      <c r="G19" s="305"/>
      <c r="H19" s="305"/>
      <c r="I19" s="125"/>
      <c r="J19" s="144"/>
      <c r="K19" s="302"/>
      <c r="L19" s="125"/>
      <c r="M19" s="125"/>
    </row>
    <row r="20" spans="1:13" s="128" customFormat="1" ht="24.95" customHeight="1" x14ac:dyDescent="0.25">
      <c r="A20" s="98">
        <v>16</v>
      </c>
      <c r="B20" s="125" t="s">
        <v>123</v>
      </c>
      <c r="C20" s="126"/>
      <c r="D20" s="127">
        <v>7582798839</v>
      </c>
      <c r="E20" s="170" t="s">
        <v>256</v>
      </c>
      <c r="F20" s="182" t="s">
        <v>259</v>
      </c>
      <c r="G20" s="305"/>
      <c r="H20" s="305"/>
      <c r="I20" s="125"/>
      <c r="J20" s="144"/>
      <c r="K20" s="302"/>
      <c r="L20" s="125"/>
      <c r="M20" s="125"/>
    </row>
    <row r="21" spans="1:13" s="128" customFormat="1" ht="24.95" customHeight="1" x14ac:dyDescent="0.25">
      <c r="A21" s="85">
        <v>17</v>
      </c>
      <c r="B21" s="125" t="s">
        <v>147</v>
      </c>
      <c r="C21" s="126" t="s">
        <v>84</v>
      </c>
      <c r="D21" s="127">
        <v>7587951392</v>
      </c>
      <c r="E21" s="170" t="s">
        <v>258</v>
      </c>
      <c r="F21" s="182" t="s">
        <v>259</v>
      </c>
      <c r="G21" s="305"/>
      <c r="H21" s="305"/>
      <c r="I21" s="125"/>
      <c r="J21" s="144"/>
      <c r="K21" s="302"/>
      <c r="L21" s="125"/>
      <c r="M21" s="125"/>
    </row>
    <row r="22" spans="1:13" s="128" customFormat="1" ht="30.75" x14ac:dyDescent="0.25">
      <c r="A22" s="98">
        <v>18</v>
      </c>
      <c r="B22" s="125" t="s">
        <v>146</v>
      </c>
      <c r="C22" s="126" t="s">
        <v>84</v>
      </c>
      <c r="D22" s="127">
        <v>7587951393</v>
      </c>
      <c r="E22" s="170" t="s">
        <v>260</v>
      </c>
      <c r="F22" s="182" t="s">
        <v>259</v>
      </c>
      <c r="G22" s="305"/>
      <c r="H22" s="305"/>
      <c r="I22" s="125"/>
      <c r="J22" s="144"/>
      <c r="K22" s="302"/>
      <c r="L22" s="125"/>
      <c r="M22" s="125"/>
    </row>
    <row r="23" spans="1:13" s="128" customFormat="1" ht="24.95" customHeight="1" x14ac:dyDescent="0.25">
      <c r="A23" s="85">
        <v>19</v>
      </c>
      <c r="B23" s="125" t="s">
        <v>148</v>
      </c>
      <c r="C23" s="126" t="s">
        <v>84</v>
      </c>
      <c r="D23" s="127">
        <v>7587951394</v>
      </c>
      <c r="E23" s="170" t="s">
        <v>261</v>
      </c>
      <c r="F23" s="182" t="s">
        <v>259</v>
      </c>
      <c r="G23" s="305"/>
      <c r="H23" s="305"/>
      <c r="I23" s="125"/>
      <c r="J23" s="144"/>
      <c r="K23" s="302"/>
      <c r="L23" s="125"/>
      <c r="M23" s="125"/>
    </row>
    <row r="24" spans="1:13" s="128" customFormat="1" ht="24.95" customHeight="1" x14ac:dyDescent="0.25">
      <c r="A24" s="98">
        <v>20</v>
      </c>
      <c r="B24" s="125" t="s">
        <v>144</v>
      </c>
      <c r="C24" s="126" t="s">
        <v>84</v>
      </c>
      <c r="D24" s="127"/>
      <c r="E24" s="170" t="s">
        <v>256</v>
      </c>
      <c r="F24" s="182" t="s">
        <v>259</v>
      </c>
      <c r="G24" s="305"/>
      <c r="H24" s="305"/>
      <c r="I24" s="125"/>
      <c r="J24" s="144"/>
      <c r="K24" s="302"/>
      <c r="L24" s="125"/>
      <c r="M24" s="125"/>
    </row>
    <row r="25" spans="1:13" s="128" customFormat="1" ht="24.95" customHeight="1" x14ac:dyDescent="0.25">
      <c r="A25" s="85">
        <v>21</v>
      </c>
      <c r="B25" s="125" t="s">
        <v>145</v>
      </c>
      <c r="C25" s="126" t="s">
        <v>84</v>
      </c>
      <c r="D25" s="127"/>
      <c r="E25" s="170" t="s">
        <v>256</v>
      </c>
      <c r="F25" s="182" t="s">
        <v>259</v>
      </c>
      <c r="G25" s="305"/>
      <c r="H25" s="305"/>
      <c r="I25" s="125"/>
      <c r="J25" s="144"/>
      <c r="K25" s="302"/>
      <c r="L25" s="125"/>
      <c r="M25" s="125"/>
    </row>
    <row r="26" spans="1:13" s="101" customFormat="1" ht="24.95" customHeight="1" x14ac:dyDescent="0.25">
      <c r="A26" s="98">
        <v>22</v>
      </c>
      <c r="B26" s="99" t="s">
        <v>221</v>
      </c>
      <c r="C26" s="100" t="s">
        <v>82</v>
      </c>
      <c r="D26" s="109">
        <v>9425804879</v>
      </c>
      <c r="E26" s="171"/>
      <c r="F26" s="183" t="s">
        <v>262</v>
      </c>
      <c r="G26" s="305"/>
      <c r="H26" s="305"/>
      <c r="I26" s="99"/>
      <c r="J26" s="145"/>
      <c r="K26" s="302"/>
      <c r="L26" s="99"/>
      <c r="M26" s="99"/>
    </row>
    <row r="27" spans="1:13" s="101" customFormat="1" ht="24.95" customHeight="1" x14ac:dyDescent="0.25">
      <c r="A27" s="85">
        <v>23</v>
      </c>
      <c r="B27" s="99" t="s">
        <v>152</v>
      </c>
      <c r="C27" s="100" t="s">
        <v>84</v>
      </c>
      <c r="D27" s="109">
        <v>8085921051</v>
      </c>
      <c r="E27" s="171"/>
      <c r="F27" s="183" t="s">
        <v>262</v>
      </c>
      <c r="G27" s="305"/>
      <c r="H27" s="305"/>
      <c r="I27" s="99"/>
      <c r="J27" s="145"/>
      <c r="K27" s="302"/>
      <c r="L27" s="99"/>
      <c r="M27" s="99"/>
    </row>
    <row r="28" spans="1:13" s="101" customFormat="1" ht="24.95" customHeight="1" x14ac:dyDescent="0.25">
      <c r="A28" s="98">
        <v>24</v>
      </c>
      <c r="B28" s="99" t="s">
        <v>149</v>
      </c>
      <c r="C28" s="100" t="s">
        <v>84</v>
      </c>
      <c r="D28" s="109">
        <v>7587951397</v>
      </c>
      <c r="E28" s="171" t="s">
        <v>267</v>
      </c>
      <c r="F28" s="183" t="s">
        <v>262</v>
      </c>
      <c r="G28" s="305"/>
      <c r="H28" s="305"/>
      <c r="I28" s="99"/>
      <c r="J28" s="145"/>
      <c r="K28" s="302"/>
      <c r="L28" s="99"/>
      <c r="M28" s="99"/>
    </row>
    <row r="29" spans="1:13" s="101" customFormat="1" ht="30.75" x14ac:dyDescent="0.25">
      <c r="A29" s="85">
        <v>25</v>
      </c>
      <c r="B29" s="99" t="s">
        <v>150</v>
      </c>
      <c r="C29" s="100" t="s">
        <v>84</v>
      </c>
      <c r="D29" s="109">
        <v>9424090853</v>
      </c>
      <c r="E29" s="171" t="s">
        <v>263</v>
      </c>
      <c r="F29" s="183" t="s">
        <v>262</v>
      </c>
      <c r="G29" s="305"/>
      <c r="H29" s="305"/>
      <c r="I29" s="99"/>
      <c r="J29" s="145"/>
      <c r="K29" s="302"/>
      <c r="L29" s="99"/>
      <c r="M29" s="99"/>
    </row>
    <row r="30" spans="1:13" s="101" customFormat="1" ht="30.75" x14ac:dyDescent="0.25">
      <c r="A30" s="98">
        <v>26</v>
      </c>
      <c r="B30" s="99" t="s">
        <v>151</v>
      </c>
      <c r="C30" s="100" t="s">
        <v>246</v>
      </c>
      <c r="D30" s="109">
        <v>7587951396</v>
      </c>
      <c r="E30" s="171" t="s">
        <v>266</v>
      </c>
      <c r="F30" s="183" t="s">
        <v>262</v>
      </c>
      <c r="G30" s="305"/>
      <c r="H30" s="305"/>
      <c r="I30" s="99"/>
      <c r="J30" s="145"/>
      <c r="K30" s="302"/>
      <c r="L30" s="99"/>
      <c r="M30" s="99"/>
    </row>
    <row r="31" spans="1:13" s="101" customFormat="1" ht="24.95" customHeight="1" x14ac:dyDescent="0.25">
      <c r="A31" s="85">
        <v>27</v>
      </c>
      <c r="B31" s="99" t="s">
        <v>247</v>
      </c>
      <c r="C31" s="100" t="s">
        <v>248</v>
      </c>
      <c r="D31" s="109">
        <v>7587951395</v>
      </c>
      <c r="E31" s="171" t="s">
        <v>264</v>
      </c>
      <c r="F31" s="183" t="s">
        <v>262</v>
      </c>
      <c r="G31" s="306"/>
      <c r="H31" s="306"/>
      <c r="I31" s="99"/>
      <c r="J31" s="146"/>
      <c r="K31" s="303"/>
      <c r="L31" s="99"/>
      <c r="M31" s="99"/>
    </row>
    <row r="32" spans="1:13" s="117" customFormat="1" ht="24.95" customHeight="1" x14ac:dyDescent="0.25">
      <c r="A32" s="98">
        <v>28</v>
      </c>
      <c r="B32" s="114" t="s">
        <v>222</v>
      </c>
      <c r="C32" s="115" t="s">
        <v>86</v>
      </c>
      <c r="D32" s="116">
        <v>9425804876</v>
      </c>
      <c r="E32" s="172" t="s">
        <v>87</v>
      </c>
      <c r="F32" s="184" t="s">
        <v>268</v>
      </c>
      <c r="G32" s="274" t="s">
        <v>272</v>
      </c>
      <c r="H32" s="274" t="s">
        <v>273</v>
      </c>
      <c r="I32" s="114"/>
      <c r="J32" s="114"/>
      <c r="K32" s="114"/>
      <c r="L32" s="114"/>
      <c r="M32" s="114"/>
    </row>
    <row r="33" spans="1:13" s="117" customFormat="1" ht="24.95" customHeight="1" x14ac:dyDescent="0.25">
      <c r="A33" s="85">
        <v>29</v>
      </c>
      <c r="B33" s="114" t="s">
        <v>239</v>
      </c>
      <c r="C33" s="115" t="s">
        <v>84</v>
      </c>
      <c r="D33" s="116">
        <v>7812223107</v>
      </c>
      <c r="E33" s="172" t="s">
        <v>87</v>
      </c>
      <c r="F33" s="185" t="s">
        <v>269</v>
      </c>
      <c r="G33" s="275"/>
      <c r="H33" s="275"/>
      <c r="I33" s="114"/>
      <c r="J33" s="114"/>
      <c r="K33" s="114"/>
      <c r="L33" s="114"/>
      <c r="M33" s="114"/>
    </row>
    <row r="34" spans="1:13" s="117" customFormat="1" ht="24.95" customHeight="1" x14ac:dyDescent="0.25">
      <c r="A34" s="98">
        <v>30</v>
      </c>
      <c r="B34" s="114" t="s">
        <v>217</v>
      </c>
      <c r="C34" s="115" t="s">
        <v>84</v>
      </c>
      <c r="D34" s="116">
        <v>7587951384</v>
      </c>
      <c r="E34" s="172" t="s">
        <v>276</v>
      </c>
      <c r="F34" s="185" t="s">
        <v>269</v>
      </c>
      <c r="G34" s="275"/>
      <c r="H34" s="275"/>
      <c r="I34" s="114"/>
      <c r="J34" s="114"/>
      <c r="K34" s="114"/>
      <c r="L34" s="114"/>
      <c r="M34" s="114"/>
    </row>
    <row r="35" spans="1:13" s="117" customFormat="1" ht="24.95" customHeight="1" x14ac:dyDescent="0.25">
      <c r="A35" s="85">
        <v>31</v>
      </c>
      <c r="B35" s="114" t="s">
        <v>218</v>
      </c>
      <c r="C35" s="115" t="s">
        <v>84</v>
      </c>
      <c r="D35" s="116"/>
      <c r="E35" s="172" t="s">
        <v>87</v>
      </c>
      <c r="F35" s="185" t="s">
        <v>269</v>
      </c>
      <c r="G35" s="275"/>
      <c r="H35" s="275"/>
      <c r="I35" s="114"/>
      <c r="J35" s="114"/>
      <c r="K35" s="114"/>
      <c r="L35" s="114"/>
      <c r="M35" s="114"/>
    </row>
    <row r="36" spans="1:13" s="117" customFormat="1" ht="24.95" customHeight="1" x14ac:dyDescent="0.25">
      <c r="A36" s="98">
        <v>32</v>
      </c>
      <c r="B36" s="114" t="s">
        <v>219</v>
      </c>
      <c r="C36" s="115" t="s">
        <v>84</v>
      </c>
      <c r="D36" s="116"/>
      <c r="E36" s="172" t="s">
        <v>277</v>
      </c>
      <c r="F36" s="185" t="s">
        <v>269</v>
      </c>
      <c r="G36" s="275"/>
      <c r="H36" s="275"/>
      <c r="I36" s="114"/>
      <c r="J36" s="114"/>
      <c r="K36" s="114"/>
      <c r="L36" s="114"/>
      <c r="M36" s="114"/>
    </row>
    <row r="37" spans="1:13" s="117" customFormat="1" ht="24.95" customHeight="1" x14ac:dyDescent="0.25">
      <c r="A37" s="85">
        <v>33</v>
      </c>
      <c r="B37" s="114" t="s">
        <v>128</v>
      </c>
      <c r="C37" s="115" t="s">
        <v>107</v>
      </c>
      <c r="D37" s="116" t="s">
        <v>167</v>
      </c>
      <c r="E37" s="172" t="s">
        <v>87</v>
      </c>
      <c r="F37" s="185" t="s">
        <v>270</v>
      </c>
      <c r="G37" s="275"/>
      <c r="H37" s="275"/>
      <c r="I37" s="114"/>
      <c r="J37" s="114"/>
      <c r="K37" s="114"/>
      <c r="L37" s="114"/>
      <c r="M37" s="114"/>
    </row>
    <row r="38" spans="1:13" s="117" customFormat="1" ht="24.95" customHeight="1" x14ac:dyDescent="0.25">
      <c r="A38" s="98">
        <v>34</v>
      </c>
      <c r="B38" s="114" t="s">
        <v>166</v>
      </c>
      <c r="C38" s="115" t="s">
        <v>84</v>
      </c>
      <c r="D38" s="116">
        <v>8349923021</v>
      </c>
      <c r="E38" s="172" t="s">
        <v>278</v>
      </c>
      <c r="F38" s="186" t="s">
        <v>271</v>
      </c>
      <c r="G38" s="275"/>
      <c r="H38" s="275"/>
      <c r="I38" s="114"/>
      <c r="J38" s="114"/>
      <c r="K38" s="114"/>
      <c r="L38" s="114"/>
      <c r="M38" s="114"/>
    </row>
    <row r="39" spans="1:13" s="117" customFormat="1" ht="24.95" customHeight="1" x14ac:dyDescent="0.25">
      <c r="A39" s="85">
        <v>35</v>
      </c>
      <c r="B39" s="114" t="s">
        <v>201</v>
      </c>
      <c r="C39" s="115" t="s">
        <v>84</v>
      </c>
      <c r="D39" s="116">
        <v>7587951387</v>
      </c>
      <c r="E39" s="172" t="s">
        <v>279</v>
      </c>
      <c r="F39" s="185" t="s">
        <v>270</v>
      </c>
      <c r="G39" s="275"/>
      <c r="H39" s="275"/>
      <c r="I39" s="114"/>
      <c r="J39" s="114"/>
      <c r="K39" s="114"/>
      <c r="L39" s="114"/>
      <c r="M39" s="114"/>
    </row>
    <row r="40" spans="1:13" s="117" customFormat="1" ht="24.95" customHeight="1" x14ac:dyDescent="0.25">
      <c r="A40" s="98">
        <v>36</v>
      </c>
      <c r="B40" s="114" t="s">
        <v>168</v>
      </c>
      <c r="C40" s="115" t="s">
        <v>84</v>
      </c>
      <c r="D40" s="116">
        <v>7587951389</v>
      </c>
      <c r="E40" s="172"/>
      <c r="F40" s="185" t="s">
        <v>270</v>
      </c>
      <c r="G40" s="275"/>
      <c r="H40" s="275"/>
      <c r="I40" s="114"/>
      <c r="J40" s="114"/>
      <c r="K40" s="114"/>
      <c r="L40" s="114"/>
      <c r="M40" s="114"/>
    </row>
    <row r="41" spans="1:13" s="117" customFormat="1" ht="24.95" customHeight="1" x14ac:dyDescent="0.25">
      <c r="A41" s="85">
        <v>37</v>
      </c>
      <c r="B41" s="114" t="s">
        <v>169</v>
      </c>
      <c r="C41" s="115" t="s">
        <v>84</v>
      </c>
      <c r="D41" s="116">
        <v>9752355094</v>
      </c>
      <c r="E41" s="172"/>
      <c r="F41" s="185" t="s">
        <v>270</v>
      </c>
      <c r="G41" s="275"/>
      <c r="H41" s="275"/>
      <c r="I41" s="114"/>
      <c r="J41" s="114"/>
      <c r="K41" s="114"/>
      <c r="L41" s="114"/>
      <c r="M41" s="114"/>
    </row>
    <row r="42" spans="1:13" s="117" customFormat="1" ht="24.95" customHeight="1" x14ac:dyDescent="0.25">
      <c r="A42" s="98">
        <v>38</v>
      </c>
      <c r="B42" s="114" t="s">
        <v>170</v>
      </c>
      <c r="C42" s="115" t="s">
        <v>84</v>
      </c>
      <c r="D42" s="116">
        <v>8516007068</v>
      </c>
      <c r="E42" s="172" t="s">
        <v>280</v>
      </c>
      <c r="F42" s="185" t="s">
        <v>270</v>
      </c>
      <c r="G42" s="275"/>
      <c r="H42" s="275"/>
      <c r="I42" s="114"/>
      <c r="J42" s="114"/>
      <c r="K42" s="114"/>
      <c r="L42" s="114"/>
      <c r="M42" s="114"/>
    </row>
    <row r="43" spans="1:13" s="117" customFormat="1" ht="24.95" customHeight="1" x14ac:dyDescent="0.25">
      <c r="A43" s="85">
        <v>39</v>
      </c>
      <c r="B43" s="114" t="s">
        <v>220</v>
      </c>
      <c r="C43" s="115" t="s">
        <v>84</v>
      </c>
      <c r="D43" s="116"/>
      <c r="E43" s="172"/>
      <c r="F43" s="185" t="s">
        <v>244</v>
      </c>
      <c r="G43" s="276"/>
      <c r="H43" s="276"/>
      <c r="I43" s="114"/>
      <c r="J43" s="114"/>
      <c r="K43" s="114"/>
      <c r="L43" s="114"/>
      <c r="M43" s="114"/>
    </row>
    <row r="44" spans="1:13" s="121" customFormat="1" ht="24.95" customHeight="1" x14ac:dyDescent="0.25">
      <c r="A44" s="98">
        <v>40</v>
      </c>
      <c r="B44" s="118" t="s">
        <v>101</v>
      </c>
      <c r="C44" s="119" t="s">
        <v>84</v>
      </c>
      <c r="D44" s="120">
        <v>9425802986</v>
      </c>
      <c r="E44" s="173" t="s">
        <v>87</v>
      </c>
      <c r="F44" s="187" t="s">
        <v>204</v>
      </c>
      <c r="G44" s="268" t="s">
        <v>274</v>
      </c>
      <c r="H44" s="271" t="s">
        <v>275</v>
      </c>
      <c r="I44" s="118"/>
      <c r="J44" s="118"/>
      <c r="K44" s="118"/>
      <c r="L44" s="118"/>
      <c r="M44" s="118"/>
    </row>
    <row r="45" spans="1:13" s="121" customFormat="1" ht="24.95" customHeight="1" x14ac:dyDescent="0.25">
      <c r="A45" s="85">
        <v>41</v>
      </c>
      <c r="B45" s="118" t="s">
        <v>102</v>
      </c>
      <c r="C45" s="119" t="s">
        <v>82</v>
      </c>
      <c r="D45" s="120">
        <v>9425803147</v>
      </c>
      <c r="E45" s="173" t="s">
        <v>87</v>
      </c>
      <c r="F45" s="187" t="s">
        <v>210</v>
      </c>
      <c r="G45" s="269"/>
      <c r="H45" s="272"/>
      <c r="I45" s="118"/>
      <c r="J45" s="118"/>
      <c r="K45" s="118"/>
      <c r="L45" s="118"/>
      <c r="M45" s="118"/>
    </row>
    <row r="46" spans="1:13" s="124" customFormat="1" ht="24.95" customHeight="1" x14ac:dyDescent="0.25">
      <c r="A46" s="98">
        <v>42</v>
      </c>
      <c r="B46" s="122" t="s">
        <v>140</v>
      </c>
      <c r="C46" s="119" t="s">
        <v>84</v>
      </c>
      <c r="D46" s="123">
        <v>7587951353</v>
      </c>
      <c r="E46" s="173">
        <v>9575281512</v>
      </c>
      <c r="F46" s="188">
        <v>9425804318</v>
      </c>
      <c r="G46" s="269"/>
      <c r="H46" s="272"/>
      <c r="I46" s="122"/>
      <c r="J46" s="122"/>
      <c r="K46" s="122"/>
      <c r="L46" s="122"/>
      <c r="M46" s="122"/>
    </row>
    <row r="47" spans="1:13" s="121" customFormat="1" ht="24.95" customHeight="1" x14ac:dyDescent="0.25">
      <c r="A47" s="85">
        <v>43</v>
      </c>
      <c r="B47" s="118" t="s">
        <v>122</v>
      </c>
      <c r="C47" s="119" t="s">
        <v>86</v>
      </c>
      <c r="D47" s="120">
        <v>9425803153</v>
      </c>
      <c r="E47" s="173" t="s">
        <v>87</v>
      </c>
      <c r="F47" s="189" t="s">
        <v>207</v>
      </c>
      <c r="G47" s="269"/>
      <c r="H47" s="272"/>
      <c r="I47" s="118"/>
      <c r="J47" s="118"/>
      <c r="K47" s="118"/>
      <c r="L47" s="118"/>
      <c r="M47" s="118"/>
    </row>
    <row r="48" spans="1:13" s="121" customFormat="1" ht="24.95" customHeight="1" x14ac:dyDescent="0.25">
      <c r="A48" s="98">
        <v>44</v>
      </c>
      <c r="B48" s="118" t="s">
        <v>159</v>
      </c>
      <c r="C48" s="119" t="s">
        <v>84</v>
      </c>
      <c r="D48" s="120">
        <v>7587951354</v>
      </c>
      <c r="E48" s="173" t="s">
        <v>208</v>
      </c>
      <c r="F48" s="189" t="s">
        <v>87</v>
      </c>
      <c r="G48" s="269"/>
      <c r="H48" s="272"/>
      <c r="I48" s="118"/>
      <c r="J48" s="118"/>
      <c r="K48" s="118"/>
      <c r="L48" s="118"/>
      <c r="M48" s="118"/>
    </row>
    <row r="49" spans="1:13" s="121" customFormat="1" ht="24.95" customHeight="1" x14ac:dyDescent="0.25">
      <c r="A49" s="85">
        <v>45</v>
      </c>
      <c r="B49" s="118" t="s">
        <v>109</v>
      </c>
      <c r="C49" s="119" t="s">
        <v>84</v>
      </c>
      <c r="D49" s="120">
        <v>7587951356</v>
      </c>
      <c r="E49" s="173" t="s">
        <v>209</v>
      </c>
      <c r="F49" s="187" t="s">
        <v>210</v>
      </c>
      <c r="G49" s="269"/>
      <c r="H49" s="272"/>
      <c r="I49" s="118"/>
      <c r="J49" s="118"/>
      <c r="K49" s="118"/>
      <c r="L49" s="118"/>
      <c r="M49" s="118"/>
    </row>
    <row r="50" spans="1:13" s="121" customFormat="1" ht="24.95" customHeight="1" x14ac:dyDescent="0.25">
      <c r="A50" s="98">
        <v>46</v>
      </c>
      <c r="B50" s="118" t="s">
        <v>160</v>
      </c>
      <c r="C50" s="119" t="s">
        <v>84</v>
      </c>
      <c r="D50" s="120">
        <v>7587951357</v>
      </c>
      <c r="E50" s="173"/>
      <c r="F50" s="187" t="s">
        <v>210</v>
      </c>
      <c r="G50" s="269"/>
      <c r="H50" s="272"/>
      <c r="I50" s="118"/>
      <c r="J50" s="118"/>
      <c r="K50" s="118"/>
      <c r="L50" s="118"/>
      <c r="M50" s="118"/>
    </row>
    <row r="51" spans="1:13" s="121" customFormat="1" ht="24.95" customHeight="1" x14ac:dyDescent="0.25">
      <c r="A51" s="85">
        <v>47</v>
      </c>
      <c r="B51" s="118" t="s">
        <v>161</v>
      </c>
      <c r="C51" s="119" t="s">
        <v>84</v>
      </c>
      <c r="D51" s="120">
        <v>7587951355</v>
      </c>
      <c r="E51" s="173" t="s">
        <v>211</v>
      </c>
      <c r="F51" s="187" t="s">
        <v>210</v>
      </c>
      <c r="G51" s="269"/>
      <c r="H51" s="272"/>
      <c r="I51" s="118"/>
      <c r="J51" s="118"/>
      <c r="K51" s="118"/>
      <c r="L51" s="118"/>
      <c r="M51" s="118"/>
    </row>
    <row r="52" spans="1:13" s="121" customFormat="1" ht="24.95" customHeight="1" x14ac:dyDescent="0.25">
      <c r="A52" s="98">
        <v>48</v>
      </c>
      <c r="B52" s="118" t="s">
        <v>205</v>
      </c>
      <c r="C52" s="119" t="s">
        <v>84</v>
      </c>
      <c r="D52" s="120">
        <v>8989854185</v>
      </c>
      <c r="E52" s="173"/>
      <c r="F52" s="187"/>
      <c r="G52" s="269"/>
      <c r="H52" s="272"/>
      <c r="I52" s="118"/>
      <c r="J52" s="118"/>
      <c r="K52" s="118"/>
      <c r="L52" s="118"/>
      <c r="M52" s="118"/>
    </row>
    <row r="53" spans="1:13" s="121" customFormat="1" ht="30.75" x14ac:dyDescent="0.25">
      <c r="A53" s="85">
        <v>49</v>
      </c>
      <c r="B53" s="118" t="s">
        <v>206</v>
      </c>
      <c r="C53" s="119" t="s">
        <v>84</v>
      </c>
      <c r="D53" s="120">
        <v>9424998542</v>
      </c>
      <c r="E53" s="173" t="s">
        <v>212</v>
      </c>
      <c r="F53" s="187" t="s">
        <v>204</v>
      </c>
      <c r="G53" s="270"/>
      <c r="H53" s="273"/>
      <c r="I53" s="118"/>
      <c r="J53" s="118"/>
      <c r="K53" s="118"/>
      <c r="L53" s="118"/>
      <c r="M53" s="118"/>
    </row>
    <row r="54" spans="1:13" s="104" customFormat="1" ht="24.95" customHeight="1" x14ac:dyDescent="0.25">
      <c r="A54" s="98">
        <v>50</v>
      </c>
      <c r="B54" s="102" t="s">
        <v>131</v>
      </c>
      <c r="C54" s="103" t="s">
        <v>86</v>
      </c>
      <c r="D54" s="106" t="s">
        <v>171</v>
      </c>
      <c r="E54" s="169" t="s">
        <v>87</v>
      </c>
      <c r="F54" s="135" t="s">
        <v>177</v>
      </c>
      <c r="G54" s="277" t="s">
        <v>286</v>
      </c>
      <c r="H54" s="280" t="s">
        <v>287</v>
      </c>
      <c r="I54" s="102"/>
      <c r="J54" s="136"/>
      <c r="K54" s="307" t="s">
        <v>282</v>
      </c>
      <c r="L54" s="102"/>
      <c r="M54" s="102"/>
    </row>
    <row r="55" spans="1:13" s="104" customFormat="1" ht="24.95" customHeight="1" x14ac:dyDescent="0.25">
      <c r="A55" s="85">
        <v>51</v>
      </c>
      <c r="B55" s="102" t="s">
        <v>175</v>
      </c>
      <c r="C55" s="103" t="s">
        <v>82</v>
      </c>
      <c r="D55" s="137">
        <v>9425803176</v>
      </c>
      <c r="E55" s="169" t="s">
        <v>87</v>
      </c>
      <c r="F55" s="135" t="s">
        <v>182</v>
      </c>
      <c r="G55" s="278"/>
      <c r="H55" s="281"/>
      <c r="I55" s="102"/>
      <c r="J55" s="147"/>
      <c r="K55" s="308"/>
      <c r="L55" s="102"/>
      <c r="M55" s="102"/>
    </row>
    <row r="56" spans="1:13" s="104" customFormat="1" ht="24.95" customHeight="1" x14ac:dyDescent="0.25">
      <c r="A56" s="98">
        <v>52</v>
      </c>
      <c r="B56" s="102" t="s">
        <v>283</v>
      </c>
      <c r="C56" s="103" t="s">
        <v>82</v>
      </c>
      <c r="D56" s="106">
        <v>9425803175</v>
      </c>
      <c r="E56" s="169" t="s">
        <v>87</v>
      </c>
      <c r="F56" s="135" t="s">
        <v>184</v>
      </c>
      <c r="G56" s="278"/>
      <c r="H56" s="281"/>
      <c r="I56" s="102"/>
      <c r="J56" s="147"/>
      <c r="K56" s="308"/>
      <c r="L56" s="102"/>
      <c r="M56" s="102"/>
    </row>
    <row r="57" spans="1:13" s="104" customFormat="1" ht="24.95" customHeight="1" x14ac:dyDescent="0.25">
      <c r="A57" s="85">
        <v>53</v>
      </c>
      <c r="B57" s="102" t="s">
        <v>174</v>
      </c>
      <c r="C57" s="103" t="s">
        <v>84</v>
      </c>
      <c r="D57" s="108"/>
      <c r="E57" s="169" t="s">
        <v>183</v>
      </c>
      <c r="F57" s="135" t="s">
        <v>184</v>
      </c>
      <c r="G57" s="278"/>
      <c r="H57" s="281"/>
      <c r="I57" s="102"/>
      <c r="J57" s="147"/>
      <c r="K57" s="308"/>
      <c r="L57" s="102"/>
      <c r="M57" s="102"/>
    </row>
    <row r="58" spans="1:13" s="104" customFormat="1" ht="24.95" customHeight="1" x14ac:dyDescent="0.25">
      <c r="A58" s="98">
        <v>54</v>
      </c>
      <c r="B58" s="102" t="s">
        <v>178</v>
      </c>
      <c r="C58" s="103" t="s">
        <v>84</v>
      </c>
      <c r="D58" s="106">
        <v>7587951370</v>
      </c>
      <c r="E58" s="169" t="s">
        <v>180</v>
      </c>
      <c r="F58" s="135" t="s">
        <v>286</v>
      </c>
      <c r="G58" s="278"/>
      <c r="H58" s="281"/>
      <c r="I58" s="102"/>
      <c r="J58" s="147"/>
      <c r="K58" s="308"/>
      <c r="L58" s="102"/>
      <c r="M58" s="102"/>
    </row>
    <row r="59" spans="1:13" s="104" customFormat="1" ht="24.95" customHeight="1" x14ac:dyDescent="0.25">
      <c r="A59" s="85">
        <v>55</v>
      </c>
      <c r="B59" s="102" t="s">
        <v>113</v>
      </c>
      <c r="C59" s="103" t="s">
        <v>84</v>
      </c>
      <c r="D59" s="106">
        <v>7587951369</v>
      </c>
      <c r="E59" s="169" t="s">
        <v>185</v>
      </c>
      <c r="F59" s="135" t="s">
        <v>184</v>
      </c>
      <c r="G59" s="278"/>
      <c r="H59" s="281"/>
      <c r="I59" s="102"/>
      <c r="J59" s="147"/>
      <c r="K59" s="308"/>
      <c r="L59" s="102"/>
      <c r="M59" s="102"/>
    </row>
    <row r="60" spans="1:13" s="104" customFormat="1" ht="24.95" customHeight="1" x14ac:dyDescent="0.25">
      <c r="A60" s="98">
        <v>56</v>
      </c>
      <c r="B60" s="102" t="s">
        <v>139</v>
      </c>
      <c r="C60" s="103" t="s">
        <v>84</v>
      </c>
      <c r="D60" s="106">
        <v>7587951367</v>
      </c>
      <c r="E60" s="169" t="s">
        <v>181</v>
      </c>
      <c r="F60" s="135" t="s">
        <v>182</v>
      </c>
      <c r="G60" s="278"/>
      <c r="H60" s="281"/>
      <c r="I60" s="102"/>
      <c r="J60" s="147"/>
      <c r="K60" s="308"/>
      <c r="L60" s="102"/>
      <c r="M60" s="102"/>
    </row>
    <row r="61" spans="1:13" s="104" customFormat="1" ht="24.95" customHeight="1" x14ac:dyDescent="0.25">
      <c r="A61" s="85">
        <v>57</v>
      </c>
      <c r="B61" s="102" t="s">
        <v>179</v>
      </c>
      <c r="C61" s="103" t="s">
        <v>84</v>
      </c>
      <c r="D61" s="106">
        <v>7587951373</v>
      </c>
      <c r="E61" s="169" t="s">
        <v>284</v>
      </c>
      <c r="F61" s="135" t="s">
        <v>281</v>
      </c>
      <c r="G61" s="279"/>
      <c r="H61" s="282"/>
      <c r="I61" s="102"/>
      <c r="J61" s="148"/>
      <c r="K61" s="309"/>
      <c r="L61" s="102"/>
      <c r="M61" s="102"/>
    </row>
    <row r="62" spans="1:13" s="141" customFormat="1" ht="24.95" customHeight="1" x14ac:dyDescent="0.25">
      <c r="A62" s="98">
        <v>58</v>
      </c>
      <c r="B62" s="138" t="s">
        <v>165</v>
      </c>
      <c r="C62" s="139" t="s">
        <v>86</v>
      </c>
      <c r="D62" s="140">
        <v>9425803188</v>
      </c>
      <c r="E62" s="174" t="s">
        <v>87</v>
      </c>
      <c r="F62" s="190" t="s">
        <v>186</v>
      </c>
      <c r="G62" s="283" t="s">
        <v>285</v>
      </c>
      <c r="H62" s="283" t="s">
        <v>243</v>
      </c>
      <c r="I62" s="138"/>
      <c r="J62" s="138"/>
      <c r="K62" s="138"/>
      <c r="L62" s="138"/>
      <c r="M62" s="138"/>
    </row>
    <row r="63" spans="1:13" s="141" customFormat="1" ht="24.95" customHeight="1" x14ac:dyDescent="0.25">
      <c r="A63" s="85">
        <v>59</v>
      </c>
      <c r="B63" s="138" t="s">
        <v>136</v>
      </c>
      <c r="C63" s="139" t="s">
        <v>86</v>
      </c>
      <c r="D63" s="140"/>
      <c r="E63" s="174" t="s">
        <v>87</v>
      </c>
      <c r="F63" s="190" t="s">
        <v>190</v>
      </c>
      <c r="G63" s="284"/>
      <c r="H63" s="284"/>
      <c r="I63" s="138"/>
      <c r="J63" s="138"/>
      <c r="K63" s="138"/>
      <c r="L63" s="138"/>
      <c r="M63" s="138"/>
    </row>
    <row r="64" spans="1:13" s="141" customFormat="1" ht="24.95" customHeight="1" x14ac:dyDescent="0.25">
      <c r="A64" s="98">
        <v>60</v>
      </c>
      <c r="B64" s="138" t="s">
        <v>127</v>
      </c>
      <c r="C64" s="139" t="s">
        <v>84</v>
      </c>
      <c r="D64" s="140">
        <v>7587951375</v>
      </c>
      <c r="E64" s="174" t="s">
        <v>191</v>
      </c>
      <c r="F64" s="190" t="s">
        <v>186</v>
      </c>
      <c r="G64" s="284"/>
      <c r="H64" s="284"/>
      <c r="I64" s="138"/>
      <c r="J64" s="138"/>
      <c r="K64" s="138"/>
      <c r="L64" s="138"/>
      <c r="M64" s="138"/>
    </row>
    <row r="65" spans="1:13" s="141" customFormat="1" ht="24.95" customHeight="1" x14ac:dyDescent="0.25">
      <c r="A65" s="85">
        <v>61</v>
      </c>
      <c r="B65" s="138" t="s">
        <v>118</v>
      </c>
      <c r="C65" s="139" t="s">
        <v>84</v>
      </c>
      <c r="D65" s="140">
        <v>7587951377</v>
      </c>
      <c r="E65" s="174"/>
      <c r="F65" s="190" t="s">
        <v>190</v>
      </c>
      <c r="G65" s="284"/>
      <c r="H65" s="284"/>
      <c r="I65" s="138"/>
      <c r="J65" s="138"/>
      <c r="K65" s="138"/>
      <c r="L65" s="138"/>
      <c r="M65" s="138"/>
    </row>
    <row r="66" spans="1:13" s="141" customFormat="1" ht="24.95" customHeight="1" x14ac:dyDescent="0.25">
      <c r="A66" s="98">
        <v>62</v>
      </c>
      <c r="B66" s="138" t="s">
        <v>188</v>
      </c>
      <c r="C66" s="139" t="s">
        <v>84</v>
      </c>
      <c r="D66" s="140">
        <v>9425805330</v>
      </c>
      <c r="E66" s="174" t="s">
        <v>192</v>
      </c>
      <c r="F66" s="190" t="s">
        <v>187</v>
      </c>
      <c r="G66" s="284"/>
      <c r="H66" s="284"/>
      <c r="I66" s="138"/>
      <c r="J66" s="138"/>
      <c r="K66" s="138"/>
      <c r="L66" s="138"/>
      <c r="M66" s="138"/>
    </row>
    <row r="67" spans="1:13" s="141" customFormat="1" ht="24.95" customHeight="1" x14ac:dyDescent="0.25">
      <c r="A67" s="85">
        <v>63</v>
      </c>
      <c r="B67" s="138" t="s">
        <v>108</v>
      </c>
      <c r="C67" s="139" t="s">
        <v>84</v>
      </c>
      <c r="D67" s="140">
        <v>7587951383</v>
      </c>
      <c r="E67" s="174" t="s">
        <v>193</v>
      </c>
      <c r="F67" s="190" t="s">
        <v>190</v>
      </c>
      <c r="G67" s="284"/>
      <c r="H67" s="284"/>
      <c r="I67" s="138"/>
      <c r="J67" s="138"/>
      <c r="K67" s="138"/>
      <c r="L67" s="138"/>
      <c r="M67" s="138"/>
    </row>
    <row r="68" spans="1:13" s="141" customFormat="1" ht="30.75" x14ac:dyDescent="0.25">
      <c r="A68" s="98">
        <v>64</v>
      </c>
      <c r="B68" s="138" t="s">
        <v>176</v>
      </c>
      <c r="C68" s="139" t="s">
        <v>84</v>
      </c>
      <c r="D68" s="140">
        <v>9630417572</v>
      </c>
      <c r="E68" s="174" t="s">
        <v>194</v>
      </c>
      <c r="F68" s="190" t="s">
        <v>190</v>
      </c>
      <c r="G68" s="284"/>
      <c r="H68" s="284"/>
      <c r="I68" s="138"/>
      <c r="J68" s="138"/>
      <c r="K68" s="138"/>
      <c r="L68" s="138"/>
      <c r="M68" s="138"/>
    </row>
    <row r="69" spans="1:13" s="141" customFormat="1" ht="24.95" customHeight="1" x14ac:dyDescent="0.25">
      <c r="A69" s="85">
        <v>65</v>
      </c>
      <c r="B69" s="138" t="s">
        <v>126</v>
      </c>
      <c r="C69" s="139" t="s">
        <v>84</v>
      </c>
      <c r="D69" s="140">
        <v>6232683551</v>
      </c>
      <c r="E69" s="174" t="s">
        <v>195</v>
      </c>
      <c r="F69" s="190" t="s">
        <v>187</v>
      </c>
      <c r="G69" s="284"/>
      <c r="H69" s="284"/>
      <c r="I69" s="138"/>
      <c r="J69" s="138"/>
      <c r="K69" s="138"/>
      <c r="L69" s="138"/>
      <c r="M69" s="138"/>
    </row>
    <row r="70" spans="1:13" s="141" customFormat="1" ht="24.95" customHeight="1" x14ac:dyDescent="0.25">
      <c r="A70" s="98">
        <v>66</v>
      </c>
      <c r="B70" s="138" t="s">
        <v>125</v>
      </c>
      <c r="C70" s="139" t="s">
        <v>84</v>
      </c>
      <c r="D70" s="140">
        <v>7587951363</v>
      </c>
      <c r="E70" s="174" t="s">
        <v>242</v>
      </c>
      <c r="F70" s="190" t="s">
        <v>186</v>
      </c>
      <c r="G70" s="284"/>
      <c r="H70" s="284"/>
      <c r="I70" s="138"/>
      <c r="J70" s="138"/>
      <c r="K70" s="138"/>
      <c r="L70" s="138"/>
      <c r="M70" s="138"/>
    </row>
    <row r="71" spans="1:13" s="141" customFormat="1" ht="24.95" customHeight="1" x14ac:dyDescent="0.25">
      <c r="A71" s="85">
        <v>67</v>
      </c>
      <c r="B71" s="138" t="s">
        <v>189</v>
      </c>
      <c r="C71" s="139" t="s">
        <v>84</v>
      </c>
      <c r="D71" s="140">
        <v>9109747982</v>
      </c>
      <c r="E71" s="174"/>
      <c r="F71" s="190" t="s">
        <v>186</v>
      </c>
      <c r="G71" s="285"/>
      <c r="H71" s="285"/>
      <c r="I71" s="138"/>
      <c r="J71" s="138"/>
      <c r="K71" s="138"/>
      <c r="L71" s="138"/>
      <c r="M71" s="138"/>
    </row>
    <row r="72" spans="1:13" s="134" customFormat="1" ht="24.95" customHeight="1" x14ac:dyDescent="0.25">
      <c r="A72" s="98">
        <v>68</v>
      </c>
      <c r="B72" s="131" t="s">
        <v>129</v>
      </c>
      <c r="C72" s="132" t="s">
        <v>84</v>
      </c>
      <c r="D72" s="133">
        <v>9425802983</v>
      </c>
      <c r="E72" s="175">
        <v>7587951054</v>
      </c>
      <c r="F72" s="191" t="s">
        <v>288</v>
      </c>
      <c r="G72" s="298" t="s">
        <v>298</v>
      </c>
      <c r="H72" s="298" t="s">
        <v>290</v>
      </c>
      <c r="I72" s="131"/>
      <c r="J72" s="164"/>
      <c r="K72" s="291" t="s">
        <v>289</v>
      </c>
      <c r="L72" s="131"/>
      <c r="M72" s="131"/>
    </row>
    <row r="73" spans="1:13" s="134" customFormat="1" ht="24.95" customHeight="1" x14ac:dyDescent="0.25">
      <c r="A73" s="85">
        <v>69</v>
      </c>
      <c r="B73" s="131" t="s">
        <v>130</v>
      </c>
      <c r="C73" s="132" t="s">
        <v>86</v>
      </c>
      <c r="D73" s="133">
        <v>9425803143</v>
      </c>
      <c r="E73" s="175" t="s">
        <v>87</v>
      </c>
      <c r="F73" s="191" t="s">
        <v>288</v>
      </c>
      <c r="G73" s="299"/>
      <c r="H73" s="299"/>
      <c r="I73" s="131"/>
      <c r="J73" s="165"/>
      <c r="K73" s="292"/>
      <c r="L73" s="131"/>
      <c r="M73" s="131"/>
    </row>
    <row r="74" spans="1:13" s="134" customFormat="1" ht="24.95" customHeight="1" x14ac:dyDescent="0.25">
      <c r="A74" s="98">
        <v>70</v>
      </c>
      <c r="B74" s="131" t="s">
        <v>120</v>
      </c>
      <c r="C74" s="132" t="s">
        <v>84</v>
      </c>
      <c r="D74" s="133">
        <v>7587951348</v>
      </c>
      <c r="E74" s="175"/>
      <c r="F74" s="191" t="s">
        <v>288</v>
      </c>
      <c r="G74" s="299"/>
      <c r="H74" s="299"/>
      <c r="I74" s="131"/>
      <c r="J74" s="165"/>
      <c r="K74" s="292"/>
      <c r="L74" s="131"/>
      <c r="M74" s="131"/>
    </row>
    <row r="75" spans="1:13" s="134" customFormat="1" ht="24.95" customHeight="1" x14ac:dyDescent="0.25">
      <c r="A75" s="85">
        <v>71</v>
      </c>
      <c r="B75" s="131" t="s">
        <v>114</v>
      </c>
      <c r="C75" s="132" t="s">
        <v>84</v>
      </c>
      <c r="D75" s="133"/>
      <c r="E75" s="175"/>
      <c r="F75" s="192" t="s">
        <v>295</v>
      </c>
      <c r="G75" s="299"/>
      <c r="H75" s="299"/>
      <c r="I75" s="131"/>
      <c r="J75" s="165"/>
      <c r="K75" s="292"/>
      <c r="L75" s="131"/>
      <c r="M75" s="131"/>
    </row>
    <row r="76" spans="1:13" s="134" customFormat="1" ht="24.95" customHeight="1" x14ac:dyDescent="0.25">
      <c r="A76" s="98">
        <v>72</v>
      </c>
      <c r="B76" s="131" t="s">
        <v>213</v>
      </c>
      <c r="C76" s="132" t="s">
        <v>84</v>
      </c>
      <c r="D76" s="133" t="s">
        <v>294</v>
      </c>
      <c r="E76" s="175"/>
      <c r="F76" s="192" t="s">
        <v>297</v>
      </c>
      <c r="G76" s="299"/>
      <c r="H76" s="299"/>
      <c r="I76" s="131"/>
      <c r="J76" s="165"/>
      <c r="K76" s="292"/>
      <c r="L76" s="131"/>
      <c r="M76" s="131"/>
    </row>
    <row r="77" spans="1:13" s="134" customFormat="1" ht="24.95" customHeight="1" x14ac:dyDescent="0.25">
      <c r="A77" s="85">
        <v>73</v>
      </c>
      <c r="B77" s="131" t="s">
        <v>143</v>
      </c>
      <c r="C77" s="132" t="s">
        <v>84</v>
      </c>
      <c r="D77" s="133"/>
      <c r="E77" s="175"/>
      <c r="F77" s="192" t="s">
        <v>295</v>
      </c>
      <c r="G77" s="299"/>
      <c r="H77" s="299"/>
      <c r="I77" s="131"/>
      <c r="J77" s="165"/>
      <c r="K77" s="292"/>
      <c r="L77" s="131"/>
      <c r="M77" s="131"/>
    </row>
    <row r="78" spans="1:13" s="134" customFormat="1" ht="24.95" customHeight="1" x14ac:dyDescent="0.25">
      <c r="A78" s="98">
        <v>74</v>
      </c>
      <c r="B78" s="131" t="s">
        <v>214</v>
      </c>
      <c r="C78" s="132" t="s">
        <v>84</v>
      </c>
      <c r="D78" s="133">
        <v>9425802985</v>
      </c>
      <c r="E78" s="175"/>
      <c r="F78" s="192" t="s">
        <v>295</v>
      </c>
      <c r="G78" s="299"/>
      <c r="H78" s="299"/>
      <c r="I78" s="131"/>
      <c r="J78" s="165"/>
      <c r="K78" s="292"/>
      <c r="L78" s="131"/>
      <c r="M78" s="131"/>
    </row>
    <row r="79" spans="1:13" s="134" customFormat="1" ht="24.95" customHeight="1" x14ac:dyDescent="0.25">
      <c r="A79" s="85">
        <v>75</v>
      </c>
      <c r="B79" s="131" t="s">
        <v>215</v>
      </c>
      <c r="C79" s="132" t="s">
        <v>84</v>
      </c>
      <c r="D79" s="133"/>
      <c r="E79" s="175"/>
      <c r="F79" s="192" t="s">
        <v>295</v>
      </c>
      <c r="G79" s="299"/>
      <c r="H79" s="299"/>
      <c r="I79" s="131"/>
      <c r="J79" s="165"/>
      <c r="K79" s="292"/>
      <c r="L79" s="131"/>
      <c r="M79" s="131"/>
    </row>
    <row r="80" spans="1:13" s="134" customFormat="1" ht="24.95" customHeight="1" x14ac:dyDescent="0.25">
      <c r="A80" s="98">
        <v>76</v>
      </c>
      <c r="B80" s="131" t="s">
        <v>296</v>
      </c>
      <c r="C80" s="132" t="s">
        <v>84</v>
      </c>
      <c r="D80" s="133"/>
      <c r="E80" s="175"/>
      <c r="F80" s="192" t="s">
        <v>297</v>
      </c>
      <c r="G80" s="299"/>
      <c r="H80" s="299"/>
      <c r="I80" s="131"/>
      <c r="J80" s="165"/>
      <c r="K80" s="292"/>
      <c r="L80" s="131"/>
      <c r="M80" s="131"/>
    </row>
    <row r="81" spans="1:13" s="134" customFormat="1" ht="24.95" customHeight="1" x14ac:dyDescent="0.25">
      <c r="A81" s="85">
        <v>77</v>
      </c>
      <c r="B81" s="131" t="s">
        <v>110</v>
      </c>
      <c r="C81" s="132" t="s">
        <v>111</v>
      </c>
      <c r="D81" s="133">
        <v>7648862955</v>
      </c>
      <c r="E81" s="175"/>
      <c r="F81" s="192" t="s">
        <v>299</v>
      </c>
      <c r="G81" s="299"/>
      <c r="H81" s="299"/>
      <c r="I81" s="131"/>
      <c r="J81" s="165"/>
      <c r="K81" s="292"/>
      <c r="L81" s="131"/>
      <c r="M81" s="131"/>
    </row>
    <row r="82" spans="1:13" s="134" customFormat="1" ht="24.95" customHeight="1" x14ac:dyDescent="0.25">
      <c r="A82" s="98">
        <v>78</v>
      </c>
      <c r="B82" s="131" t="s">
        <v>216</v>
      </c>
      <c r="C82" s="132" t="s">
        <v>84</v>
      </c>
      <c r="D82" s="133"/>
      <c r="E82" s="175"/>
      <c r="F82" s="192" t="s">
        <v>295</v>
      </c>
      <c r="G82" s="300"/>
      <c r="H82" s="300"/>
      <c r="I82" s="131"/>
      <c r="J82" s="166"/>
      <c r="K82" s="293"/>
      <c r="L82" s="131"/>
      <c r="M82" s="131"/>
    </row>
    <row r="83" spans="1:13" s="113" customFormat="1" ht="24.95" customHeight="1" x14ac:dyDescent="0.25">
      <c r="A83" s="85">
        <v>79</v>
      </c>
      <c r="B83" s="110" t="s">
        <v>133</v>
      </c>
      <c r="C83" s="111" t="s">
        <v>84</v>
      </c>
      <c r="D83" s="112">
        <v>7587951376</v>
      </c>
      <c r="E83" s="176" t="s">
        <v>87</v>
      </c>
      <c r="F83" s="193" t="s">
        <v>300</v>
      </c>
      <c r="G83" s="286" t="s">
        <v>300</v>
      </c>
      <c r="H83" s="286" t="s">
        <v>301</v>
      </c>
      <c r="I83" s="110"/>
      <c r="J83" s="288"/>
      <c r="K83" s="142"/>
      <c r="L83" s="110"/>
      <c r="M83" s="110"/>
    </row>
    <row r="84" spans="1:13" s="113" customFormat="1" ht="24.95" customHeight="1" x14ac:dyDescent="0.25">
      <c r="A84" s="98">
        <v>80</v>
      </c>
      <c r="B84" s="110" t="s">
        <v>134</v>
      </c>
      <c r="C84" s="111" t="s">
        <v>86</v>
      </c>
      <c r="D84" s="112">
        <v>7587951374</v>
      </c>
      <c r="E84" s="176" t="s">
        <v>87</v>
      </c>
      <c r="F84" s="193" t="s">
        <v>300</v>
      </c>
      <c r="G84" s="287"/>
      <c r="H84" s="287"/>
      <c r="I84" s="110"/>
      <c r="J84" s="289"/>
      <c r="K84" s="110"/>
      <c r="L84" s="110"/>
      <c r="M84" s="110"/>
    </row>
    <row r="85" spans="1:13" s="113" customFormat="1" ht="24.95" customHeight="1" x14ac:dyDescent="0.25">
      <c r="A85" s="85">
        <v>81</v>
      </c>
      <c r="B85" s="110" t="s">
        <v>135</v>
      </c>
      <c r="C85" s="111" t="s">
        <v>84</v>
      </c>
      <c r="D85" s="112">
        <v>8602974324</v>
      </c>
      <c r="E85" s="176" t="s">
        <v>87</v>
      </c>
      <c r="F85" s="193" t="s">
        <v>300</v>
      </c>
      <c r="G85" s="287"/>
      <c r="H85" s="287"/>
      <c r="I85" s="110"/>
      <c r="J85" s="289"/>
      <c r="K85" s="110"/>
      <c r="L85" s="110"/>
      <c r="M85" s="110"/>
    </row>
    <row r="86" spans="1:13" s="113" customFormat="1" ht="24.95" customHeight="1" x14ac:dyDescent="0.25">
      <c r="A86" s="98">
        <v>82</v>
      </c>
      <c r="B86" s="110" t="s">
        <v>116</v>
      </c>
      <c r="C86" s="111" t="s">
        <v>84</v>
      </c>
      <c r="D86" s="112">
        <v>9669419462</v>
      </c>
      <c r="E86" s="176" t="s">
        <v>306</v>
      </c>
      <c r="F86" s="193" t="s">
        <v>300</v>
      </c>
      <c r="G86" s="287"/>
      <c r="H86" s="287"/>
      <c r="I86" s="110"/>
      <c r="J86" s="289"/>
      <c r="K86" s="110"/>
      <c r="L86" s="110"/>
      <c r="M86" s="110"/>
    </row>
    <row r="87" spans="1:13" s="113" customFormat="1" ht="24.95" customHeight="1" x14ac:dyDescent="0.25">
      <c r="A87" s="85">
        <v>83</v>
      </c>
      <c r="B87" s="110" t="s">
        <v>163</v>
      </c>
      <c r="C87" s="111" t="s">
        <v>84</v>
      </c>
      <c r="D87" s="112">
        <v>7587951379</v>
      </c>
      <c r="E87" s="176" t="s">
        <v>302</v>
      </c>
      <c r="F87" s="193" t="s">
        <v>300</v>
      </c>
      <c r="G87" s="287"/>
      <c r="H87" s="287"/>
      <c r="I87" s="110"/>
      <c r="J87" s="289"/>
      <c r="K87" s="110"/>
      <c r="L87" s="110"/>
      <c r="M87" s="110"/>
    </row>
    <row r="88" spans="1:13" s="113" customFormat="1" ht="24.95" customHeight="1" x14ac:dyDescent="0.25">
      <c r="A88" s="98">
        <v>84</v>
      </c>
      <c r="B88" s="110" t="s">
        <v>105</v>
      </c>
      <c r="C88" s="111" t="s">
        <v>84</v>
      </c>
      <c r="D88" s="112"/>
      <c r="E88" s="176" t="s">
        <v>303</v>
      </c>
      <c r="F88" s="193" t="s">
        <v>300</v>
      </c>
      <c r="G88" s="287"/>
      <c r="H88" s="287"/>
      <c r="I88" s="110"/>
      <c r="J88" s="289"/>
      <c r="K88" s="110"/>
      <c r="L88" s="110"/>
      <c r="M88" s="110"/>
    </row>
    <row r="89" spans="1:13" s="113" customFormat="1" ht="24.95" customHeight="1" x14ac:dyDescent="0.25">
      <c r="A89" s="85">
        <v>85</v>
      </c>
      <c r="B89" s="110" t="s">
        <v>124</v>
      </c>
      <c r="C89" s="111" t="s">
        <v>84</v>
      </c>
      <c r="D89" s="130">
        <v>8349185300</v>
      </c>
      <c r="E89" s="176" t="s">
        <v>304</v>
      </c>
      <c r="F89" s="193" t="s">
        <v>300</v>
      </c>
      <c r="G89" s="287"/>
      <c r="H89" s="287"/>
      <c r="I89" s="110"/>
      <c r="J89" s="289"/>
      <c r="K89" s="110"/>
      <c r="L89" s="110"/>
      <c r="M89" s="110"/>
    </row>
    <row r="90" spans="1:13" s="113" customFormat="1" ht="30.75" x14ac:dyDescent="0.25">
      <c r="A90" s="98">
        <v>86</v>
      </c>
      <c r="B90" s="129" t="s">
        <v>142</v>
      </c>
      <c r="C90" s="111" t="s">
        <v>84</v>
      </c>
      <c r="D90" s="130">
        <v>9425805331</v>
      </c>
      <c r="E90" s="176" t="s">
        <v>305</v>
      </c>
      <c r="F90" s="193" t="s">
        <v>300</v>
      </c>
      <c r="G90" s="287"/>
      <c r="H90" s="287"/>
      <c r="I90" s="110"/>
      <c r="J90" s="289"/>
      <c r="K90" s="110"/>
      <c r="L90" s="110"/>
      <c r="M90" s="110"/>
    </row>
    <row r="91" spans="1:13" s="113" customFormat="1" ht="24.95" customHeight="1" x14ac:dyDescent="0.25">
      <c r="A91" s="85">
        <v>87</v>
      </c>
      <c r="B91" s="110" t="s">
        <v>119</v>
      </c>
      <c r="C91" s="111" t="s">
        <v>84</v>
      </c>
      <c r="D91" s="130">
        <v>9425805329</v>
      </c>
      <c r="E91" s="176" t="s">
        <v>307</v>
      </c>
      <c r="F91" s="193" t="s">
        <v>300</v>
      </c>
      <c r="G91" s="287"/>
      <c r="H91" s="287"/>
      <c r="I91" s="110"/>
      <c r="J91" s="290"/>
      <c r="K91" s="110"/>
      <c r="L91" s="110"/>
      <c r="M91" s="110"/>
    </row>
    <row r="92" spans="1:13" ht="24.95" customHeight="1" x14ac:dyDescent="0.25">
      <c r="A92" s="98">
        <v>90</v>
      </c>
      <c r="B92" s="85" t="s">
        <v>104</v>
      </c>
      <c r="C92" s="5" t="s">
        <v>84</v>
      </c>
      <c r="D92" s="107"/>
      <c r="E92" s="168"/>
      <c r="F92" s="181"/>
      <c r="G92" s="151"/>
      <c r="H92" s="157"/>
      <c r="I92" s="85"/>
      <c r="J92" s="85"/>
      <c r="K92" s="85"/>
      <c r="L92" s="85"/>
      <c r="M92" s="85"/>
    </row>
    <row r="93" spans="1:13" ht="24.95" customHeight="1" x14ac:dyDescent="0.25">
      <c r="A93" s="85">
        <v>93</v>
      </c>
      <c r="B93" s="85" t="s">
        <v>106</v>
      </c>
      <c r="C93" s="5" t="s">
        <v>82</v>
      </c>
      <c r="D93" s="107"/>
      <c r="E93" s="168"/>
      <c r="F93" s="181"/>
      <c r="G93" s="151"/>
      <c r="H93" s="157"/>
      <c r="I93" s="85"/>
      <c r="J93" s="85"/>
      <c r="K93" s="85"/>
      <c r="L93" s="85"/>
      <c r="M93" s="85"/>
    </row>
    <row r="94" spans="1:13" ht="24.95" customHeight="1" x14ac:dyDescent="0.25">
      <c r="A94" s="85">
        <v>97</v>
      </c>
      <c r="B94" s="85" t="s">
        <v>115</v>
      </c>
      <c r="C94" s="5" t="s">
        <v>84</v>
      </c>
      <c r="D94" s="107">
        <v>7587951371</v>
      </c>
      <c r="E94" s="168"/>
      <c r="F94" s="181"/>
      <c r="G94" s="151"/>
      <c r="H94" s="157"/>
      <c r="I94" s="85"/>
      <c r="J94" s="85"/>
      <c r="K94" s="85"/>
      <c r="L94" s="85"/>
      <c r="M94" s="85"/>
    </row>
    <row r="95" spans="1:13" s="121" customFormat="1" ht="24.95" customHeight="1" x14ac:dyDescent="0.25">
      <c r="A95" s="98">
        <v>98</v>
      </c>
      <c r="B95" s="118" t="s">
        <v>117</v>
      </c>
      <c r="C95" s="119" t="s">
        <v>84</v>
      </c>
      <c r="D95" s="120">
        <v>7587951343</v>
      </c>
      <c r="E95" s="173" t="s">
        <v>196</v>
      </c>
      <c r="F95" s="265" t="s">
        <v>202</v>
      </c>
      <c r="G95" s="153" t="s">
        <v>197</v>
      </c>
      <c r="H95" s="163"/>
      <c r="I95" s="118"/>
      <c r="J95" s="118"/>
      <c r="K95" s="118"/>
      <c r="L95" s="118"/>
      <c r="M95" s="118"/>
    </row>
    <row r="96" spans="1:13" s="121" customFormat="1" ht="24.95" customHeight="1" x14ac:dyDescent="0.25">
      <c r="A96" s="85">
        <v>99</v>
      </c>
      <c r="B96" s="118" t="s">
        <v>198</v>
      </c>
      <c r="C96" s="119" t="s">
        <v>84</v>
      </c>
      <c r="D96" s="120">
        <v>8982364546</v>
      </c>
      <c r="E96" s="173" t="s">
        <v>203</v>
      </c>
      <c r="F96" s="266"/>
      <c r="G96" s="154"/>
      <c r="H96" s="163"/>
      <c r="I96" s="118"/>
      <c r="J96" s="118"/>
      <c r="K96" s="118"/>
      <c r="L96" s="118"/>
      <c r="M96" s="118"/>
    </row>
    <row r="97" spans="1:13" s="121" customFormat="1" ht="24.95" customHeight="1" x14ac:dyDescent="0.25">
      <c r="A97" s="98">
        <v>100</v>
      </c>
      <c r="B97" s="118" t="s">
        <v>199</v>
      </c>
      <c r="C97" s="119" t="s">
        <v>84</v>
      </c>
      <c r="D97" s="120">
        <v>7587951346</v>
      </c>
      <c r="E97" s="173" t="s">
        <v>87</v>
      </c>
      <c r="F97" s="267"/>
      <c r="G97" s="155"/>
      <c r="H97" s="163"/>
      <c r="I97" s="118"/>
      <c r="J97" s="118"/>
      <c r="K97" s="118"/>
      <c r="L97" s="118"/>
      <c r="M97" s="118"/>
    </row>
    <row r="98" spans="1:13" ht="24.95" customHeight="1" x14ac:dyDescent="0.25">
      <c r="A98" s="98">
        <v>106</v>
      </c>
      <c r="B98" s="85" t="s">
        <v>121</v>
      </c>
      <c r="C98" s="5" t="s">
        <v>86</v>
      </c>
      <c r="D98" s="107">
        <v>9425807099</v>
      </c>
      <c r="E98" s="168"/>
      <c r="F98" s="194"/>
      <c r="G98" s="156"/>
      <c r="H98" s="157"/>
      <c r="I98" s="85"/>
      <c r="J98" s="85"/>
      <c r="K98" s="85"/>
      <c r="L98" s="85"/>
      <c r="M98" s="85"/>
    </row>
    <row r="99" spans="1:13" s="104" customFormat="1" ht="24.95" customHeight="1" x14ac:dyDescent="0.25">
      <c r="A99" s="85">
        <v>109</v>
      </c>
      <c r="B99" s="102" t="s">
        <v>99</v>
      </c>
      <c r="C99" s="103" t="s">
        <v>82</v>
      </c>
      <c r="D99" s="106">
        <v>9425804878</v>
      </c>
      <c r="E99" s="169"/>
      <c r="F99" s="135"/>
      <c r="G99" s="152"/>
      <c r="H99" s="162"/>
      <c r="I99" s="102"/>
      <c r="J99" s="102"/>
      <c r="K99" s="102"/>
      <c r="L99" s="102"/>
      <c r="M99" s="102"/>
    </row>
    <row r="100" spans="1:13" s="104" customFormat="1" ht="24.95" customHeight="1" x14ac:dyDescent="0.25">
      <c r="A100" s="98">
        <v>110</v>
      </c>
      <c r="B100" s="102" t="s">
        <v>100</v>
      </c>
      <c r="C100" s="103"/>
      <c r="D100" s="106">
        <v>9425803011</v>
      </c>
      <c r="E100" s="169"/>
      <c r="F100" s="135"/>
      <c r="G100" s="152"/>
      <c r="H100" s="162"/>
      <c r="I100" s="102"/>
      <c r="J100" s="102"/>
      <c r="K100" s="102"/>
      <c r="L100" s="102"/>
      <c r="M100" s="102"/>
    </row>
    <row r="101" spans="1:13" ht="24.95" customHeight="1" x14ac:dyDescent="0.25">
      <c r="A101" s="98">
        <v>112</v>
      </c>
      <c r="B101" s="85" t="s">
        <v>132</v>
      </c>
      <c r="C101" s="5"/>
      <c r="D101" s="107" t="s">
        <v>172</v>
      </c>
      <c r="E101" s="168"/>
      <c r="F101" s="181"/>
      <c r="G101" s="151"/>
      <c r="H101" s="157"/>
      <c r="I101" s="85"/>
      <c r="J101" s="85"/>
      <c r="K101" s="85"/>
      <c r="L101" s="85"/>
      <c r="M101" s="85"/>
    </row>
    <row r="102" spans="1:13" ht="24.95" customHeight="1" x14ac:dyDescent="0.25">
      <c r="A102" s="85">
        <v>113</v>
      </c>
      <c r="B102" s="85" t="s">
        <v>137</v>
      </c>
      <c r="C102" s="5"/>
      <c r="D102" s="107">
        <v>9425803140</v>
      </c>
      <c r="E102" s="168"/>
      <c r="F102" s="181"/>
      <c r="G102" s="151"/>
      <c r="H102" s="157"/>
      <c r="I102" s="85"/>
      <c r="J102" s="85"/>
      <c r="K102" s="85"/>
      <c r="L102" s="85"/>
      <c r="M102" s="85"/>
    </row>
    <row r="103" spans="1:13" ht="24.95" customHeight="1" x14ac:dyDescent="0.25">
      <c r="A103" s="98">
        <v>114</v>
      </c>
      <c r="B103" s="85" t="s">
        <v>141</v>
      </c>
      <c r="C103" s="5"/>
      <c r="D103" s="107">
        <v>9425802980</v>
      </c>
      <c r="E103" s="168"/>
      <c r="F103" s="181"/>
      <c r="G103" s="151"/>
      <c r="H103" s="157"/>
      <c r="I103" s="85"/>
      <c r="J103" s="85"/>
      <c r="K103" s="85"/>
      <c r="L103" s="85"/>
      <c r="M103" s="85"/>
    </row>
    <row r="104" spans="1:13" ht="24.95" customHeight="1" x14ac:dyDescent="0.25">
      <c r="A104" s="98">
        <v>116</v>
      </c>
      <c r="B104" s="85" t="s">
        <v>154</v>
      </c>
      <c r="C104" s="5" t="s">
        <v>84</v>
      </c>
      <c r="D104" s="107">
        <v>7587951418</v>
      </c>
      <c r="E104" s="168"/>
      <c r="F104" s="181"/>
      <c r="G104" s="151"/>
      <c r="H104" s="157"/>
      <c r="I104" s="85"/>
      <c r="J104" s="85"/>
      <c r="K104" s="85"/>
      <c r="L104" s="85"/>
      <c r="M104" s="85"/>
    </row>
    <row r="105" spans="1:13" ht="24.95" customHeight="1" x14ac:dyDescent="0.3">
      <c r="A105" s="85">
        <v>117</v>
      </c>
      <c r="B105" s="85" t="s">
        <v>200</v>
      </c>
      <c r="C105" s="5" t="s">
        <v>86</v>
      </c>
      <c r="D105" s="105">
        <v>9425331665</v>
      </c>
      <c r="E105" s="168"/>
      <c r="F105" s="181"/>
      <c r="G105" s="157"/>
      <c r="H105" s="157"/>
      <c r="I105" s="85"/>
      <c r="J105" s="85"/>
      <c r="K105" s="85"/>
      <c r="L105" s="85"/>
      <c r="M105" s="85"/>
    </row>
    <row r="106" spans="1:13" ht="24.95" customHeight="1" x14ac:dyDescent="0.25">
      <c r="A106" s="98">
        <v>118</v>
      </c>
      <c r="B106" s="85" t="s">
        <v>96</v>
      </c>
      <c r="C106" s="5"/>
      <c r="D106" s="107"/>
      <c r="E106" s="168"/>
      <c r="F106" s="181"/>
      <c r="G106" s="151"/>
      <c r="H106" s="157"/>
      <c r="I106" s="85"/>
      <c r="J106" s="85"/>
      <c r="K106" s="85"/>
      <c r="L106" s="85"/>
      <c r="M106" s="85"/>
    </row>
    <row r="107" spans="1:13" ht="24.95" customHeight="1" x14ac:dyDescent="0.25">
      <c r="A107" s="85">
        <v>119</v>
      </c>
      <c r="B107" s="85" t="s">
        <v>97</v>
      </c>
      <c r="C107" s="5"/>
      <c r="D107" s="107"/>
      <c r="E107" s="168"/>
      <c r="F107" s="181"/>
      <c r="G107" s="151"/>
      <c r="H107" s="157"/>
      <c r="I107" s="85"/>
      <c r="J107" s="85"/>
      <c r="K107" s="85"/>
      <c r="L107" s="85"/>
      <c r="M107" s="85"/>
    </row>
    <row r="108" spans="1:13" ht="24.95" customHeight="1" x14ac:dyDescent="0.25">
      <c r="A108" s="98">
        <v>120</v>
      </c>
      <c r="B108" s="85" t="s">
        <v>98</v>
      </c>
      <c r="C108" s="5" t="s">
        <v>84</v>
      </c>
      <c r="D108" s="107">
        <v>9009852391</v>
      </c>
      <c r="E108" s="168"/>
      <c r="F108" s="181"/>
      <c r="G108" s="151"/>
      <c r="H108" s="157"/>
      <c r="I108" s="85"/>
      <c r="J108" s="85"/>
      <c r="K108" s="85"/>
      <c r="L108" s="85"/>
      <c r="M108" s="85"/>
    </row>
    <row r="109" spans="1:13" ht="24.95" customHeight="1" x14ac:dyDescent="0.25">
      <c r="A109" s="85">
        <v>89</v>
      </c>
      <c r="B109" s="85" t="s">
        <v>103</v>
      </c>
      <c r="C109" s="5" t="s">
        <v>84</v>
      </c>
      <c r="D109" s="107"/>
      <c r="E109" s="168"/>
      <c r="F109" s="181"/>
      <c r="G109" s="151"/>
      <c r="H109" s="157"/>
      <c r="I109" s="85"/>
      <c r="J109" s="85"/>
      <c r="K109" s="85"/>
      <c r="L109" s="85"/>
      <c r="M109" s="85"/>
    </row>
    <row r="110" spans="1:13" ht="24.95" customHeight="1" x14ac:dyDescent="0.3">
      <c r="A110" s="85">
        <v>121</v>
      </c>
      <c r="B110" s="85"/>
      <c r="C110" s="5"/>
      <c r="D110" s="86"/>
      <c r="E110" s="168"/>
      <c r="F110" s="181"/>
      <c r="G110" s="157"/>
      <c r="H110" s="157"/>
      <c r="I110" s="85"/>
      <c r="J110" s="85"/>
      <c r="K110" s="85"/>
      <c r="L110" s="85"/>
      <c r="M110" s="85"/>
    </row>
    <row r="111" spans="1:13" ht="24.95" customHeight="1" x14ac:dyDescent="0.3">
      <c r="A111" s="98">
        <v>122</v>
      </c>
      <c r="B111" s="85"/>
      <c r="C111" s="5"/>
      <c r="D111" s="86"/>
      <c r="E111" s="168"/>
      <c r="F111" s="181"/>
      <c r="G111" s="157"/>
      <c r="H111" s="157"/>
      <c r="I111" s="85"/>
      <c r="J111" s="85"/>
      <c r="K111" s="85"/>
      <c r="L111" s="85"/>
      <c r="M111" s="85"/>
    </row>
    <row r="112" spans="1:13" ht="24.95" customHeight="1" x14ac:dyDescent="0.3">
      <c r="A112" s="85">
        <v>123</v>
      </c>
      <c r="B112" s="85"/>
      <c r="C112" s="5"/>
      <c r="D112" s="86"/>
      <c r="E112" s="168"/>
      <c r="F112" s="181"/>
      <c r="G112" s="157"/>
      <c r="H112" s="157"/>
      <c r="I112" s="85"/>
      <c r="J112" s="85"/>
      <c r="K112" s="85"/>
      <c r="L112" s="85"/>
      <c r="M112" s="85"/>
    </row>
    <row r="113" spans="1:13" ht="24.95" customHeight="1" x14ac:dyDescent="0.3">
      <c r="A113" s="98">
        <v>124</v>
      </c>
      <c r="B113" s="85"/>
      <c r="C113" s="5"/>
      <c r="D113" s="86"/>
      <c r="E113" s="168"/>
      <c r="F113" s="181"/>
      <c r="G113" s="157"/>
      <c r="H113" s="157"/>
      <c r="I113" s="85"/>
      <c r="J113" s="85"/>
      <c r="K113" s="85"/>
      <c r="L113" s="85"/>
      <c r="M113" s="85"/>
    </row>
    <row r="114" spans="1:13" ht="24.95" customHeight="1" x14ac:dyDescent="0.3">
      <c r="A114" s="85">
        <v>125</v>
      </c>
      <c r="B114" s="85"/>
      <c r="C114" s="5"/>
      <c r="D114" s="86"/>
      <c r="E114" s="168"/>
      <c r="F114" s="181"/>
      <c r="G114" s="157"/>
      <c r="H114" s="157"/>
      <c r="I114" s="85"/>
      <c r="J114" s="85"/>
      <c r="K114" s="85"/>
      <c r="L114" s="85"/>
      <c r="M114" s="85"/>
    </row>
    <row r="115" spans="1:13" ht="24.95" customHeight="1" x14ac:dyDescent="0.3">
      <c r="A115" s="98">
        <v>126</v>
      </c>
      <c r="B115" s="85"/>
      <c r="C115" s="5"/>
      <c r="D115" s="86"/>
      <c r="E115" s="168"/>
      <c r="F115" s="181"/>
      <c r="G115" s="157"/>
      <c r="H115" s="157"/>
      <c r="I115" s="85"/>
      <c r="J115" s="85"/>
      <c r="K115" s="85"/>
      <c r="L115" s="85"/>
      <c r="M115" s="85"/>
    </row>
    <row r="116" spans="1:13" ht="24.95" customHeight="1" x14ac:dyDescent="0.3">
      <c r="A116" s="85">
        <v>127</v>
      </c>
      <c r="B116" s="85"/>
      <c r="C116" s="5"/>
      <c r="D116" s="86"/>
      <c r="E116" s="168"/>
      <c r="F116" s="181"/>
      <c r="G116" s="157"/>
      <c r="H116" s="157"/>
      <c r="I116" s="85"/>
      <c r="J116" s="85"/>
      <c r="K116" s="85"/>
      <c r="L116" s="85"/>
      <c r="M116" s="85"/>
    </row>
    <row r="117" spans="1:13" ht="24.95" customHeight="1" x14ac:dyDescent="0.3">
      <c r="A117" s="98">
        <v>128</v>
      </c>
      <c r="B117" s="85"/>
      <c r="C117" s="5"/>
      <c r="D117" s="86"/>
      <c r="E117" s="168"/>
      <c r="F117" s="181"/>
      <c r="G117" s="157"/>
      <c r="H117" s="157"/>
      <c r="I117" s="85"/>
      <c r="J117" s="85"/>
      <c r="K117" s="85"/>
      <c r="L117" s="85"/>
      <c r="M117" s="85"/>
    </row>
    <row r="118" spans="1:13" ht="24.95" customHeight="1" x14ac:dyDescent="0.3">
      <c r="A118" s="85">
        <v>129</v>
      </c>
      <c r="B118" s="85"/>
      <c r="C118" s="5"/>
      <c r="D118" s="86"/>
      <c r="E118" s="168"/>
      <c r="F118" s="181"/>
      <c r="G118" s="157"/>
      <c r="H118" s="157"/>
      <c r="I118" s="85"/>
      <c r="J118" s="85"/>
      <c r="K118" s="85"/>
      <c r="L118" s="85"/>
      <c r="M118" s="85"/>
    </row>
    <row r="119" spans="1:13" ht="24.95" customHeight="1" x14ac:dyDescent="0.3">
      <c r="A119" s="85">
        <v>127</v>
      </c>
      <c r="B119" s="85"/>
      <c r="C119" s="5"/>
      <c r="D119" s="86"/>
      <c r="E119" s="168"/>
      <c r="F119" s="181"/>
      <c r="G119" s="157"/>
      <c r="H119" s="157"/>
      <c r="I119" s="85"/>
      <c r="J119" s="85"/>
      <c r="K119" s="85"/>
      <c r="L119" s="85"/>
      <c r="M119" s="85"/>
    </row>
    <row r="120" spans="1:13" ht="24.95" customHeight="1" x14ac:dyDescent="0.3">
      <c r="A120" s="98">
        <v>128</v>
      </c>
      <c r="B120" s="85"/>
      <c r="C120" s="5"/>
      <c r="D120" s="86"/>
      <c r="E120" s="168"/>
      <c r="F120" s="181"/>
      <c r="G120" s="157"/>
      <c r="H120" s="157"/>
      <c r="I120" s="85"/>
      <c r="J120" s="85"/>
      <c r="K120" s="85"/>
      <c r="L120" s="85"/>
      <c r="M120" s="85"/>
    </row>
    <row r="121" spans="1:13" ht="24.95" customHeight="1" x14ac:dyDescent="0.3">
      <c r="A121" s="85">
        <v>129</v>
      </c>
      <c r="B121" s="85"/>
      <c r="C121" s="5"/>
      <c r="D121" s="86"/>
      <c r="E121" s="168"/>
      <c r="F121" s="181"/>
      <c r="G121" s="157"/>
      <c r="H121" s="157"/>
      <c r="I121" s="85"/>
      <c r="J121" s="85"/>
      <c r="K121" s="85"/>
      <c r="L121" s="85"/>
      <c r="M121" s="85"/>
    </row>
    <row r="122" spans="1:13" ht="24.95" customHeight="1" x14ac:dyDescent="0.3">
      <c r="A122" s="98">
        <v>130</v>
      </c>
      <c r="B122" s="85"/>
      <c r="C122" s="5"/>
      <c r="D122" s="86"/>
      <c r="E122" s="168"/>
      <c r="F122" s="181"/>
      <c r="G122" s="157"/>
      <c r="H122" s="157"/>
      <c r="I122" s="85"/>
      <c r="J122" s="85"/>
      <c r="K122" s="85"/>
      <c r="L122" s="85"/>
      <c r="M122" s="85"/>
    </row>
    <row r="123" spans="1:13" ht="24.95" customHeight="1" x14ac:dyDescent="0.3">
      <c r="A123" s="85">
        <v>131</v>
      </c>
      <c r="B123" s="85"/>
      <c r="C123" s="5"/>
      <c r="D123" s="86"/>
      <c r="E123" s="168"/>
      <c r="F123" s="181"/>
      <c r="G123" s="157"/>
      <c r="H123" s="157"/>
      <c r="I123" s="85"/>
      <c r="J123" s="85"/>
      <c r="K123" s="85"/>
      <c r="L123" s="85"/>
      <c r="M123" s="85"/>
    </row>
    <row r="124" spans="1:13" ht="24.95" customHeight="1" x14ac:dyDescent="0.3">
      <c r="A124" s="98">
        <v>132</v>
      </c>
      <c r="B124" s="85"/>
      <c r="C124" s="5"/>
      <c r="D124" s="86"/>
      <c r="E124" s="168"/>
      <c r="F124" s="181"/>
      <c r="G124" s="157"/>
      <c r="H124" s="157"/>
      <c r="I124" s="85"/>
      <c r="J124" s="85"/>
      <c r="K124" s="85"/>
      <c r="L124" s="85"/>
      <c r="M124" s="85"/>
    </row>
    <row r="125" spans="1:13" ht="24.95" customHeight="1" x14ac:dyDescent="0.3">
      <c r="A125" s="85">
        <v>133</v>
      </c>
      <c r="B125" s="85"/>
      <c r="C125" s="5"/>
      <c r="D125" s="86"/>
      <c r="E125" s="168"/>
      <c r="F125" s="181"/>
      <c r="G125" s="157"/>
      <c r="H125" s="157"/>
      <c r="I125" s="85"/>
      <c r="J125" s="85"/>
      <c r="K125" s="85"/>
      <c r="L125" s="85"/>
      <c r="M125" s="85"/>
    </row>
    <row r="126" spans="1:13" ht="24.95" customHeight="1" x14ac:dyDescent="0.3">
      <c r="A126" s="98">
        <v>134</v>
      </c>
      <c r="B126" s="85"/>
      <c r="C126" s="5"/>
      <c r="D126" s="86"/>
      <c r="E126" s="168"/>
      <c r="F126" s="181"/>
      <c r="G126" s="157"/>
      <c r="H126" s="157"/>
      <c r="I126" s="85"/>
      <c r="J126" s="85"/>
      <c r="K126" s="85"/>
      <c r="L126" s="85"/>
      <c r="M126" s="85"/>
    </row>
    <row r="127" spans="1:13" ht="24.95" customHeight="1" x14ac:dyDescent="0.3">
      <c r="A127" s="85">
        <v>135</v>
      </c>
      <c r="B127" s="85"/>
      <c r="C127" s="5"/>
      <c r="D127" s="86"/>
      <c r="E127" s="168"/>
      <c r="F127" s="181"/>
      <c r="G127" s="157"/>
      <c r="H127" s="157"/>
      <c r="I127" s="85"/>
      <c r="J127" s="85"/>
      <c r="K127" s="85"/>
      <c r="L127" s="85"/>
      <c r="M127" s="85"/>
    </row>
    <row r="128" spans="1:13" ht="24.95" customHeight="1" x14ac:dyDescent="0.3">
      <c r="A128" s="98">
        <v>136</v>
      </c>
      <c r="B128" s="85"/>
      <c r="C128" s="5"/>
      <c r="D128" s="86"/>
      <c r="E128" s="168"/>
      <c r="F128" s="181"/>
      <c r="G128" s="157"/>
      <c r="H128" s="157"/>
      <c r="I128" s="85"/>
      <c r="J128" s="85"/>
      <c r="K128" s="85"/>
      <c r="L128" s="85"/>
      <c r="M128" s="85"/>
    </row>
    <row r="129" spans="1:13" ht="24.95" customHeight="1" x14ac:dyDescent="0.3">
      <c r="A129" s="85">
        <v>137</v>
      </c>
      <c r="B129" s="85"/>
      <c r="C129" s="5"/>
      <c r="D129" s="86"/>
      <c r="E129" s="168"/>
      <c r="F129" s="181"/>
      <c r="G129" s="157"/>
      <c r="H129" s="157"/>
      <c r="I129" s="85"/>
      <c r="J129" s="85"/>
      <c r="K129" s="85"/>
      <c r="L129" s="85"/>
      <c r="M129" s="85"/>
    </row>
    <row r="130" spans="1:13" ht="24.95" customHeight="1" x14ac:dyDescent="0.3">
      <c r="A130" s="98">
        <v>138</v>
      </c>
      <c r="B130" s="85"/>
      <c r="C130" s="5"/>
      <c r="D130" s="86"/>
      <c r="E130" s="168"/>
      <c r="F130" s="181"/>
      <c r="G130" s="157"/>
      <c r="H130" s="157"/>
      <c r="I130" s="85"/>
      <c r="J130" s="85"/>
      <c r="K130" s="85"/>
      <c r="L130" s="85"/>
      <c r="M130" s="85"/>
    </row>
    <row r="131" spans="1:13" ht="24.95" customHeight="1" x14ac:dyDescent="0.3">
      <c r="A131" s="85">
        <v>139</v>
      </c>
      <c r="B131" s="85"/>
      <c r="C131" s="5"/>
      <c r="D131" s="86"/>
      <c r="E131" s="168"/>
      <c r="F131" s="181"/>
      <c r="G131" s="157"/>
      <c r="H131" s="157"/>
      <c r="I131" s="85"/>
      <c r="J131" s="85"/>
      <c r="K131" s="85"/>
      <c r="L131" s="85"/>
      <c r="M131" s="85"/>
    </row>
    <row r="132" spans="1:13" ht="24.95" customHeight="1" x14ac:dyDescent="0.3">
      <c r="A132" s="98">
        <v>140</v>
      </c>
      <c r="B132" s="85"/>
      <c r="C132" s="5"/>
      <c r="D132" s="86"/>
      <c r="E132" s="168"/>
      <c r="F132" s="181"/>
      <c r="G132" s="157"/>
      <c r="H132" s="157"/>
      <c r="I132" s="85"/>
      <c r="J132" s="85"/>
      <c r="K132" s="85"/>
      <c r="L132" s="85"/>
      <c r="M132" s="85"/>
    </row>
    <row r="133" spans="1:13" ht="24.95" customHeight="1" x14ac:dyDescent="0.3">
      <c r="A133" s="85">
        <v>141</v>
      </c>
      <c r="B133" s="85"/>
      <c r="C133" s="5"/>
      <c r="D133" s="86"/>
      <c r="E133" s="168"/>
      <c r="F133" s="181"/>
      <c r="G133" s="157"/>
      <c r="H133" s="157"/>
      <c r="I133" s="85"/>
      <c r="J133" s="85"/>
      <c r="K133" s="85"/>
      <c r="L133" s="85"/>
      <c r="M133" s="85"/>
    </row>
    <row r="134" spans="1:13" ht="24.95" customHeight="1" x14ac:dyDescent="0.3">
      <c r="A134" s="98">
        <v>142</v>
      </c>
      <c r="B134" s="85"/>
      <c r="C134" s="5"/>
      <c r="D134" s="86"/>
      <c r="E134" s="168"/>
      <c r="F134" s="181"/>
      <c r="G134" s="157"/>
      <c r="H134" s="157"/>
      <c r="I134" s="85"/>
      <c r="J134" s="85"/>
      <c r="K134" s="85"/>
      <c r="L134" s="85"/>
      <c r="M134" s="85"/>
    </row>
    <row r="135" spans="1:13" ht="24.95" customHeight="1" x14ac:dyDescent="0.3">
      <c r="A135" s="85">
        <v>143</v>
      </c>
      <c r="B135" s="85"/>
      <c r="C135" s="5"/>
      <c r="D135" s="86"/>
      <c r="E135" s="168"/>
      <c r="F135" s="181"/>
      <c r="G135" s="157"/>
      <c r="H135" s="157"/>
      <c r="I135" s="85"/>
      <c r="J135" s="85"/>
      <c r="K135" s="85"/>
      <c r="L135" s="85"/>
      <c r="M135" s="85"/>
    </row>
    <row r="136" spans="1:13" ht="24.95" customHeight="1" x14ac:dyDescent="0.3">
      <c r="A136" s="98">
        <v>144</v>
      </c>
      <c r="B136" s="85"/>
      <c r="C136" s="5"/>
      <c r="D136" s="86"/>
      <c r="E136" s="168"/>
      <c r="F136" s="181"/>
      <c r="G136" s="157"/>
      <c r="H136" s="157"/>
      <c r="I136" s="85"/>
      <c r="J136" s="85"/>
      <c r="K136" s="85"/>
      <c r="L136" s="85"/>
      <c r="M136" s="85"/>
    </row>
    <row r="137" spans="1:13" ht="24.95" customHeight="1" x14ac:dyDescent="0.3">
      <c r="A137" s="85">
        <v>145</v>
      </c>
      <c r="B137" s="85"/>
      <c r="C137" s="5"/>
      <c r="D137" s="86"/>
      <c r="E137" s="168"/>
      <c r="F137" s="181"/>
      <c r="G137" s="157"/>
      <c r="H137" s="157"/>
      <c r="I137" s="85"/>
      <c r="J137" s="85"/>
      <c r="K137" s="85"/>
      <c r="L137" s="85"/>
      <c r="M137" s="85"/>
    </row>
    <row r="138" spans="1:13" ht="24.95" customHeight="1" x14ac:dyDescent="0.3">
      <c r="A138" s="98">
        <v>146</v>
      </c>
      <c r="B138" s="85"/>
      <c r="C138" s="5"/>
      <c r="D138" s="86"/>
      <c r="E138" s="168"/>
      <c r="F138" s="181"/>
      <c r="G138" s="157"/>
      <c r="H138" s="157"/>
      <c r="I138" s="85"/>
      <c r="J138" s="85"/>
      <c r="K138" s="85"/>
      <c r="L138" s="85"/>
      <c r="M138" s="85"/>
    </row>
    <row r="139" spans="1:13" ht="24.95" customHeight="1" x14ac:dyDescent="0.3">
      <c r="A139" s="85">
        <v>147</v>
      </c>
      <c r="B139" s="85"/>
      <c r="C139" s="5"/>
      <c r="D139" s="86"/>
      <c r="E139" s="168"/>
      <c r="F139" s="181"/>
      <c r="G139" s="157"/>
      <c r="H139" s="157"/>
      <c r="I139" s="85"/>
      <c r="J139" s="85"/>
      <c r="K139" s="85"/>
      <c r="L139" s="85"/>
      <c r="M139" s="85"/>
    </row>
    <row r="140" spans="1:13" ht="24.95" customHeight="1" x14ac:dyDescent="0.3">
      <c r="A140" s="98">
        <v>148</v>
      </c>
      <c r="B140" s="85"/>
      <c r="C140" s="5"/>
      <c r="D140" s="86"/>
      <c r="E140" s="168"/>
      <c r="F140" s="181"/>
      <c r="G140" s="157"/>
      <c r="H140" s="157"/>
      <c r="I140" s="85"/>
      <c r="J140" s="85"/>
      <c r="K140" s="85"/>
      <c r="L140" s="85"/>
      <c r="M140" s="85"/>
    </row>
    <row r="141" spans="1:13" ht="24.95" customHeight="1" x14ac:dyDescent="0.3">
      <c r="A141" s="85">
        <v>149</v>
      </c>
      <c r="B141" s="85"/>
      <c r="C141" s="5"/>
      <c r="D141" s="86"/>
      <c r="E141" s="168"/>
      <c r="F141" s="181"/>
      <c r="G141" s="157"/>
      <c r="H141" s="157"/>
      <c r="I141" s="85"/>
      <c r="J141" s="85"/>
      <c r="K141" s="85"/>
      <c r="L141" s="85"/>
      <c r="M141" s="85"/>
    </row>
    <row r="142" spans="1:13" ht="24.95" customHeight="1" x14ac:dyDescent="0.3">
      <c r="A142" s="98">
        <v>150</v>
      </c>
      <c r="B142" s="85"/>
      <c r="C142" s="5"/>
      <c r="D142" s="86"/>
      <c r="E142" s="168"/>
      <c r="F142" s="181"/>
      <c r="G142" s="157"/>
      <c r="H142" s="157"/>
      <c r="I142" s="85"/>
      <c r="J142" s="85"/>
      <c r="K142" s="85"/>
      <c r="L142" s="85"/>
      <c r="M142" s="85"/>
    </row>
    <row r="143" spans="1:13" x14ac:dyDescent="0.3">
      <c r="A143" s="85">
        <v>151</v>
      </c>
      <c r="B143" s="85"/>
      <c r="C143" s="5"/>
      <c r="D143" s="86"/>
      <c r="E143" s="168"/>
      <c r="F143" s="181"/>
      <c r="G143" s="157"/>
      <c r="H143" s="157"/>
      <c r="I143" s="85"/>
      <c r="J143" s="85"/>
      <c r="K143" s="85"/>
      <c r="L143" s="85"/>
      <c r="M143" s="85"/>
    </row>
    <row r="144" spans="1:13" x14ac:dyDescent="0.3">
      <c r="A144" s="98">
        <v>152</v>
      </c>
      <c r="B144" s="85"/>
      <c r="C144" s="5"/>
      <c r="D144" s="86"/>
      <c r="E144" s="168"/>
      <c r="F144" s="181"/>
      <c r="G144" s="157"/>
      <c r="H144" s="157"/>
      <c r="I144" s="85"/>
      <c r="J144" s="85"/>
      <c r="K144" s="85"/>
      <c r="L144" s="85"/>
      <c r="M144" s="85"/>
    </row>
    <row r="145" spans="1:13" x14ac:dyDescent="0.3">
      <c r="A145" s="85">
        <v>153</v>
      </c>
      <c r="B145" s="85"/>
      <c r="C145" s="5"/>
      <c r="D145" s="86"/>
      <c r="E145" s="168"/>
      <c r="F145" s="181"/>
      <c r="G145" s="157"/>
      <c r="H145" s="157"/>
      <c r="I145" s="85"/>
      <c r="J145" s="85"/>
      <c r="K145" s="85"/>
      <c r="L145" s="85"/>
      <c r="M145" s="85"/>
    </row>
    <row r="146" spans="1:13" x14ac:dyDescent="0.3">
      <c r="A146" s="98">
        <v>154</v>
      </c>
      <c r="B146" s="85"/>
      <c r="C146" s="5"/>
      <c r="D146" s="86"/>
      <c r="E146" s="168"/>
      <c r="F146" s="181"/>
      <c r="G146" s="157"/>
      <c r="H146" s="157"/>
      <c r="I146" s="85"/>
      <c r="J146" s="85"/>
      <c r="K146" s="85"/>
      <c r="L146" s="85"/>
      <c r="M146" s="85"/>
    </row>
    <row r="147" spans="1:13" x14ac:dyDescent="0.3">
      <c r="A147" s="85">
        <v>155</v>
      </c>
      <c r="B147" s="85"/>
      <c r="C147" s="5"/>
      <c r="D147" s="86"/>
      <c r="E147" s="168"/>
      <c r="F147" s="181"/>
      <c r="G147" s="157"/>
      <c r="H147" s="157"/>
      <c r="I147" s="85"/>
      <c r="J147" s="85"/>
      <c r="K147" s="85"/>
      <c r="L147" s="85"/>
      <c r="M147" s="85"/>
    </row>
    <row r="148" spans="1:13" x14ac:dyDescent="0.3">
      <c r="A148" s="98">
        <v>156</v>
      </c>
      <c r="B148" s="85"/>
      <c r="C148" s="5"/>
      <c r="D148" s="86"/>
      <c r="E148" s="168"/>
      <c r="F148" s="181"/>
      <c r="G148" s="157"/>
      <c r="H148" s="157"/>
      <c r="I148" s="85"/>
      <c r="J148" s="85"/>
      <c r="K148" s="85"/>
      <c r="L148" s="85"/>
      <c r="M148" s="85"/>
    </row>
    <row r="149" spans="1:13" x14ac:dyDescent="0.3">
      <c r="A149" s="85">
        <v>157</v>
      </c>
      <c r="B149" s="85"/>
      <c r="C149" s="5"/>
      <c r="D149" s="86"/>
      <c r="E149" s="168"/>
      <c r="F149" s="181"/>
      <c r="G149" s="157"/>
      <c r="H149" s="157"/>
      <c r="I149" s="85"/>
      <c r="J149" s="85"/>
      <c r="K149" s="85"/>
      <c r="L149" s="85"/>
      <c r="M149" s="85"/>
    </row>
    <row r="150" spans="1:13" x14ac:dyDescent="0.3">
      <c r="A150" s="98">
        <v>158</v>
      </c>
      <c r="B150" s="85"/>
      <c r="C150" s="5"/>
      <c r="D150" s="86"/>
      <c r="E150" s="168"/>
      <c r="F150" s="181"/>
      <c r="G150" s="157"/>
      <c r="H150" s="157"/>
      <c r="I150" s="85"/>
      <c r="J150" s="85"/>
      <c r="K150" s="85"/>
      <c r="L150" s="85"/>
      <c r="M150" s="85"/>
    </row>
    <row r="151" spans="1:13" x14ac:dyDescent="0.3">
      <c r="A151" s="85">
        <v>159</v>
      </c>
      <c r="B151" s="85"/>
      <c r="C151" s="5"/>
      <c r="D151" s="86"/>
      <c r="E151" s="168"/>
      <c r="F151" s="181"/>
      <c r="G151" s="157"/>
      <c r="H151" s="157"/>
      <c r="I151" s="85"/>
      <c r="J151" s="85"/>
      <c r="K151" s="85"/>
      <c r="L151" s="85"/>
      <c r="M151" s="85"/>
    </row>
    <row r="152" spans="1:13" x14ac:dyDescent="0.3">
      <c r="A152" s="85">
        <v>159</v>
      </c>
      <c r="B152" s="85"/>
      <c r="C152" s="5"/>
      <c r="D152" s="86"/>
      <c r="E152" s="168"/>
      <c r="F152" s="181"/>
      <c r="G152" s="157"/>
      <c r="H152" s="157"/>
      <c r="I152" s="85"/>
      <c r="J152" s="85"/>
      <c r="K152" s="85"/>
      <c r="L152" s="85"/>
      <c r="M152" s="85"/>
    </row>
    <row r="153" spans="1:13" x14ac:dyDescent="0.3">
      <c r="A153" s="98">
        <v>160</v>
      </c>
      <c r="B153" s="85"/>
      <c r="C153" s="5"/>
      <c r="D153" s="86"/>
      <c r="E153" s="168"/>
      <c r="F153" s="181"/>
      <c r="G153" s="157"/>
      <c r="H153" s="157"/>
      <c r="I153" s="85"/>
      <c r="J153" s="85"/>
      <c r="K153" s="85"/>
      <c r="L153" s="85"/>
      <c r="M153" s="85"/>
    </row>
    <row r="154" spans="1:13" x14ac:dyDescent="0.3">
      <c r="A154" s="85">
        <v>161</v>
      </c>
      <c r="B154" s="89"/>
      <c r="C154" s="21"/>
      <c r="D154" s="90"/>
      <c r="E154" s="177"/>
      <c r="F154" s="195"/>
      <c r="G154" s="158"/>
      <c r="H154" s="158"/>
      <c r="I154" s="89"/>
      <c r="J154" s="89"/>
      <c r="K154" s="89"/>
      <c r="L154" s="89"/>
      <c r="M154" s="91"/>
    </row>
    <row r="155" spans="1:13" x14ac:dyDescent="0.3">
      <c r="A155" s="98">
        <v>162</v>
      </c>
      <c r="B155" s="89"/>
      <c r="C155" s="21"/>
      <c r="D155" s="90"/>
      <c r="E155" s="177"/>
      <c r="F155" s="195"/>
      <c r="G155" s="158"/>
      <c r="H155" s="158"/>
      <c r="I155" s="89"/>
      <c r="J155" s="89"/>
      <c r="K155" s="89"/>
      <c r="L155" s="89"/>
      <c r="M155" s="91"/>
    </row>
    <row r="156" spans="1:13" x14ac:dyDescent="0.3">
      <c r="A156" s="85">
        <v>163</v>
      </c>
      <c r="B156" s="89"/>
      <c r="C156" s="21"/>
      <c r="D156" s="90"/>
      <c r="E156" s="177"/>
      <c r="F156" s="195"/>
      <c r="G156" s="158"/>
      <c r="H156" s="158"/>
      <c r="I156" s="89"/>
      <c r="J156" s="89"/>
      <c r="K156" s="89"/>
      <c r="L156" s="89"/>
      <c r="M156" s="91"/>
    </row>
    <row r="157" spans="1:13" x14ac:dyDescent="0.3">
      <c r="A157" s="98">
        <v>164</v>
      </c>
      <c r="B157" s="89"/>
      <c r="C157" s="21"/>
      <c r="D157" s="90"/>
      <c r="E157" s="177"/>
      <c r="F157" s="195"/>
      <c r="G157" s="158"/>
      <c r="H157" s="158"/>
      <c r="I157" s="89"/>
      <c r="J157" s="89"/>
      <c r="K157" s="89"/>
      <c r="L157" s="89"/>
      <c r="M157" s="91"/>
    </row>
    <row r="158" spans="1:13" x14ac:dyDescent="0.3">
      <c r="A158" s="85">
        <v>165</v>
      </c>
      <c r="B158" s="89"/>
      <c r="C158" s="21"/>
      <c r="D158" s="90"/>
      <c r="E158" s="177"/>
      <c r="F158" s="195"/>
      <c r="G158" s="158"/>
      <c r="H158" s="158"/>
      <c r="I158" s="89"/>
      <c r="J158" s="89"/>
      <c r="K158" s="89"/>
      <c r="L158" s="89"/>
      <c r="M158" s="91"/>
    </row>
    <row r="159" spans="1:13" x14ac:dyDescent="0.3">
      <c r="A159" s="98">
        <v>166</v>
      </c>
      <c r="B159" s="89"/>
      <c r="C159" s="21"/>
      <c r="D159" s="90"/>
      <c r="E159" s="177"/>
      <c r="F159" s="195"/>
      <c r="G159" s="158"/>
      <c r="H159" s="158"/>
      <c r="I159" s="89"/>
      <c r="J159" s="89"/>
      <c r="K159" s="89"/>
      <c r="L159" s="89"/>
      <c r="M159" s="91"/>
    </row>
    <row r="160" spans="1:13" x14ac:dyDescent="0.3">
      <c r="A160" s="88"/>
      <c r="B160" s="89"/>
      <c r="C160" s="21"/>
      <c r="D160" s="90"/>
      <c r="E160" s="177"/>
      <c r="F160" s="195"/>
      <c r="G160" s="158"/>
      <c r="H160" s="158"/>
      <c r="I160" s="89"/>
      <c r="J160" s="89"/>
      <c r="K160" s="89"/>
      <c r="L160" s="89"/>
      <c r="M160" s="91"/>
    </row>
    <row r="161" spans="1:13" x14ac:dyDescent="0.3">
      <c r="A161" s="88"/>
      <c r="B161" s="89"/>
      <c r="C161" s="21"/>
      <c r="D161" s="90"/>
      <c r="E161" s="177"/>
      <c r="F161" s="195"/>
      <c r="G161" s="158"/>
      <c r="H161" s="158"/>
      <c r="I161" s="89"/>
      <c r="J161" s="89"/>
      <c r="K161" s="89"/>
      <c r="L161" s="89"/>
      <c r="M161" s="91"/>
    </row>
    <row r="162" spans="1:13" x14ac:dyDescent="0.3">
      <c r="A162" s="88"/>
      <c r="B162" s="89"/>
      <c r="C162" s="21"/>
      <c r="D162" s="90"/>
      <c r="E162" s="177"/>
      <c r="F162" s="195"/>
      <c r="G162" s="158"/>
      <c r="H162" s="158"/>
      <c r="I162" s="89"/>
      <c r="J162" s="89"/>
      <c r="K162" s="89"/>
      <c r="L162" s="89"/>
      <c r="M162" s="91"/>
    </row>
    <row r="163" spans="1:13" x14ac:dyDescent="0.3">
      <c r="A163" s="88"/>
      <c r="B163" s="89"/>
      <c r="C163" s="21"/>
      <c r="D163" s="90"/>
      <c r="E163" s="177"/>
      <c r="F163" s="195"/>
      <c r="G163" s="158"/>
      <c r="H163" s="158"/>
      <c r="I163" s="89"/>
      <c r="J163" s="89"/>
      <c r="K163" s="89"/>
      <c r="L163" s="89"/>
      <c r="M163" s="91"/>
    </row>
    <row r="164" spans="1:13" x14ac:dyDescent="0.3">
      <c r="A164" s="88"/>
      <c r="B164" s="89"/>
      <c r="C164" s="21"/>
      <c r="D164" s="90"/>
      <c r="E164" s="177"/>
      <c r="F164" s="195"/>
      <c r="G164" s="158"/>
      <c r="H164" s="158"/>
      <c r="I164" s="89"/>
      <c r="J164" s="89"/>
      <c r="K164" s="89"/>
      <c r="L164" s="89"/>
      <c r="M164" s="91"/>
    </row>
    <row r="165" spans="1:13" x14ac:dyDescent="0.3">
      <c r="A165" s="88"/>
      <c r="B165" s="89"/>
      <c r="C165" s="21"/>
      <c r="D165" s="90"/>
      <c r="E165" s="177"/>
      <c r="F165" s="195"/>
      <c r="G165" s="158"/>
      <c r="H165" s="158"/>
      <c r="I165" s="89"/>
      <c r="J165" s="89"/>
      <c r="K165" s="89"/>
      <c r="L165" s="89"/>
      <c r="M165" s="91"/>
    </row>
    <row r="166" spans="1:13" x14ac:dyDescent="0.3">
      <c r="A166" s="88"/>
      <c r="B166" s="89"/>
      <c r="C166" s="21"/>
      <c r="D166" s="90"/>
      <c r="E166" s="177"/>
      <c r="F166" s="195"/>
      <c r="G166" s="158"/>
      <c r="H166" s="158"/>
      <c r="I166" s="89"/>
      <c r="J166" s="89"/>
      <c r="K166" s="89"/>
      <c r="L166" s="89"/>
      <c r="M166" s="91"/>
    </row>
    <row r="167" spans="1:13" x14ac:dyDescent="0.3">
      <c r="A167" s="88"/>
      <c r="B167" s="89"/>
      <c r="C167" s="21"/>
      <c r="D167" s="90"/>
      <c r="E167" s="177"/>
      <c r="F167" s="195"/>
      <c r="G167" s="158"/>
      <c r="H167" s="158"/>
      <c r="I167" s="89"/>
      <c r="J167" s="89"/>
      <c r="K167" s="89"/>
      <c r="L167" s="89"/>
      <c r="M167" s="91"/>
    </row>
    <row r="168" spans="1:13" x14ac:dyDescent="0.3">
      <c r="A168" s="88"/>
      <c r="B168" s="89"/>
      <c r="C168" s="21"/>
      <c r="D168" s="90"/>
      <c r="E168" s="177"/>
      <c r="F168" s="195"/>
      <c r="G168" s="158"/>
      <c r="H168" s="158"/>
      <c r="I168" s="89"/>
      <c r="J168" s="89"/>
      <c r="K168" s="89"/>
      <c r="L168" s="89"/>
      <c r="M168" s="91"/>
    </row>
    <row r="169" spans="1:13" x14ac:dyDescent="0.3">
      <c r="A169" s="88"/>
      <c r="B169" s="89"/>
      <c r="C169" s="21"/>
      <c r="D169" s="90"/>
      <c r="E169" s="177"/>
      <c r="F169" s="195"/>
      <c r="G169" s="158"/>
      <c r="H169" s="158"/>
      <c r="I169" s="89"/>
      <c r="J169" s="89"/>
      <c r="K169" s="89"/>
      <c r="L169" s="89"/>
      <c r="M169" s="91"/>
    </row>
    <row r="170" spans="1:13" x14ac:dyDescent="0.3">
      <c r="A170" s="88"/>
      <c r="B170" s="89"/>
      <c r="C170" s="21"/>
      <c r="D170" s="90"/>
      <c r="E170" s="177"/>
      <c r="F170" s="195"/>
      <c r="G170" s="158"/>
      <c r="H170" s="158"/>
      <c r="I170" s="89"/>
      <c r="J170" s="89"/>
      <c r="K170" s="89"/>
      <c r="L170" s="89"/>
      <c r="M170" s="91"/>
    </row>
    <row r="171" spans="1:13" x14ac:dyDescent="0.3">
      <c r="A171" s="88"/>
      <c r="B171" s="89"/>
      <c r="C171" s="21"/>
      <c r="D171" s="90"/>
      <c r="E171" s="177"/>
      <c r="F171" s="195"/>
      <c r="G171" s="158"/>
      <c r="H171" s="158"/>
      <c r="I171" s="89"/>
      <c r="J171" s="89"/>
      <c r="K171" s="89"/>
      <c r="L171" s="89"/>
      <c r="M171" s="91"/>
    </row>
    <row r="172" spans="1:13" x14ac:dyDescent="0.3">
      <c r="A172" s="88"/>
      <c r="B172" s="89"/>
      <c r="C172" s="21"/>
      <c r="D172" s="90"/>
      <c r="E172" s="177"/>
      <c r="F172" s="195"/>
      <c r="G172" s="158"/>
      <c r="H172" s="158"/>
      <c r="I172" s="89"/>
      <c r="J172" s="89"/>
      <c r="K172" s="89"/>
      <c r="L172" s="89"/>
      <c r="M172" s="91"/>
    </row>
    <row r="173" spans="1:13" x14ac:dyDescent="0.3">
      <c r="A173" s="88"/>
      <c r="B173" s="89"/>
      <c r="C173" s="21"/>
      <c r="D173" s="90"/>
      <c r="E173" s="177"/>
      <c r="F173" s="195"/>
      <c r="G173" s="158"/>
      <c r="H173" s="158"/>
      <c r="I173" s="89"/>
      <c r="J173" s="89"/>
      <c r="K173" s="89"/>
      <c r="L173" s="89"/>
      <c r="M173" s="91"/>
    </row>
    <row r="174" spans="1:13" x14ac:dyDescent="0.3">
      <c r="A174" s="88"/>
      <c r="B174" s="89"/>
      <c r="C174" s="21"/>
      <c r="D174" s="90"/>
      <c r="E174" s="177"/>
      <c r="F174" s="195"/>
      <c r="G174" s="158"/>
      <c r="H174" s="158"/>
      <c r="I174" s="89"/>
      <c r="J174" s="89"/>
      <c r="K174" s="89"/>
      <c r="L174" s="89"/>
      <c r="M174" s="91"/>
    </row>
    <row r="175" spans="1:13" x14ac:dyDescent="0.3">
      <c r="A175" s="88"/>
      <c r="B175" s="89"/>
      <c r="C175" s="21"/>
      <c r="D175" s="90"/>
      <c r="E175" s="177"/>
      <c r="F175" s="195"/>
      <c r="G175" s="158"/>
      <c r="H175" s="158"/>
      <c r="I175" s="89"/>
      <c r="J175" s="89"/>
      <c r="K175" s="89"/>
      <c r="L175" s="89"/>
      <c r="M175" s="91"/>
    </row>
    <row r="176" spans="1:13" x14ac:dyDescent="0.3">
      <c r="A176" s="88"/>
      <c r="B176" s="89"/>
      <c r="C176" s="21"/>
      <c r="D176" s="90"/>
      <c r="E176" s="177"/>
      <c r="F176" s="195"/>
      <c r="G176" s="158"/>
      <c r="H176" s="158"/>
      <c r="I176" s="89"/>
      <c r="J176" s="89"/>
      <c r="K176" s="89"/>
      <c r="L176" s="89"/>
      <c r="M176" s="91"/>
    </row>
    <row r="177" spans="1:13" x14ac:dyDescent="0.3">
      <c r="A177" s="88"/>
      <c r="B177" s="89"/>
      <c r="C177" s="21"/>
      <c r="D177" s="90"/>
      <c r="E177" s="177"/>
      <c r="F177" s="195"/>
      <c r="G177" s="158"/>
      <c r="H177" s="158"/>
      <c r="I177" s="89"/>
      <c r="J177" s="89"/>
      <c r="K177" s="89"/>
      <c r="L177" s="89"/>
      <c r="M177" s="91"/>
    </row>
    <row r="178" spans="1:13" x14ac:dyDescent="0.3">
      <c r="A178" s="88"/>
      <c r="B178" s="89"/>
      <c r="C178" s="21"/>
      <c r="D178" s="90"/>
      <c r="E178" s="177"/>
      <c r="F178" s="195"/>
      <c r="G178" s="158"/>
      <c r="H178" s="158"/>
      <c r="I178" s="89"/>
      <c r="J178" s="89"/>
      <c r="K178" s="89"/>
      <c r="L178" s="89"/>
      <c r="M178" s="91"/>
    </row>
    <row r="179" spans="1:13" x14ac:dyDescent="0.3">
      <c r="A179" s="88"/>
      <c r="B179" s="89"/>
      <c r="C179" s="21"/>
      <c r="D179" s="90"/>
      <c r="E179" s="177"/>
      <c r="F179" s="195"/>
      <c r="G179" s="158"/>
      <c r="H179" s="158"/>
      <c r="I179" s="89"/>
      <c r="J179" s="89"/>
      <c r="K179" s="89"/>
      <c r="L179" s="89"/>
      <c r="M179" s="91"/>
    </row>
    <row r="180" spans="1:13" x14ac:dyDescent="0.3">
      <c r="A180" s="88"/>
      <c r="B180" s="89"/>
      <c r="C180" s="21"/>
      <c r="D180" s="90"/>
      <c r="E180" s="177"/>
      <c r="F180" s="195"/>
      <c r="G180" s="158"/>
      <c r="H180" s="158"/>
      <c r="I180" s="89"/>
      <c r="J180" s="89"/>
      <c r="K180" s="89"/>
      <c r="L180" s="89"/>
      <c r="M180" s="91"/>
    </row>
    <row r="181" spans="1:13" x14ac:dyDescent="0.3">
      <c r="A181" s="88"/>
      <c r="B181" s="89"/>
      <c r="C181" s="21"/>
      <c r="D181" s="90"/>
      <c r="E181" s="177"/>
      <c r="F181" s="195"/>
      <c r="G181" s="158"/>
      <c r="H181" s="158"/>
      <c r="I181" s="89"/>
      <c r="J181" s="89"/>
      <c r="K181" s="89"/>
      <c r="L181" s="89"/>
      <c r="M181" s="91"/>
    </row>
    <row r="182" spans="1:13" x14ac:dyDescent="0.3">
      <c r="A182" s="88"/>
      <c r="B182" s="89"/>
      <c r="C182" s="21"/>
      <c r="D182" s="90"/>
      <c r="E182" s="177"/>
      <c r="F182" s="195"/>
      <c r="G182" s="158"/>
      <c r="H182" s="158"/>
      <c r="I182" s="89"/>
      <c r="J182" s="89"/>
      <c r="K182" s="89"/>
      <c r="L182" s="89"/>
      <c r="M182" s="91"/>
    </row>
    <row r="183" spans="1:13" x14ac:dyDescent="0.3">
      <c r="A183" s="88"/>
      <c r="B183" s="89"/>
      <c r="C183" s="21"/>
      <c r="D183" s="90"/>
      <c r="E183" s="177"/>
      <c r="F183" s="195"/>
      <c r="G183" s="158"/>
      <c r="H183" s="158"/>
      <c r="I183" s="89"/>
      <c r="J183" s="89"/>
      <c r="K183" s="89"/>
      <c r="L183" s="89"/>
      <c r="M183" s="91"/>
    </row>
    <row r="184" spans="1:13" x14ac:dyDescent="0.3">
      <c r="A184" s="88"/>
      <c r="B184" s="89"/>
      <c r="C184" s="21"/>
      <c r="D184" s="90"/>
      <c r="E184" s="177"/>
      <c r="F184" s="195"/>
      <c r="G184" s="158"/>
      <c r="H184" s="158"/>
      <c r="I184" s="89"/>
      <c r="J184" s="89"/>
      <c r="K184" s="89"/>
      <c r="L184" s="89"/>
      <c r="M184" s="91"/>
    </row>
    <row r="185" spans="1:13" x14ac:dyDescent="0.3">
      <c r="A185" s="88"/>
      <c r="B185" s="89"/>
      <c r="C185" s="21"/>
      <c r="D185" s="90"/>
      <c r="E185" s="177"/>
      <c r="F185" s="195"/>
      <c r="G185" s="158"/>
      <c r="H185" s="158"/>
      <c r="I185" s="89"/>
      <c r="J185" s="89"/>
      <c r="K185" s="89"/>
      <c r="L185" s="89"/>
      <c r="M185" s="91"/>
    </row>
    <row r="186" spans="1:13" x14ac:dyDescent="0.3">
      <c r="A186" s="88"/>
      <c r="B186" s="89"/>
      <c r="C186" s="21"/>
      <c r="D186" s="90"/>
      <c r="E186" s="177"/>
      <c r="F186" s="195"/>
      <c r="G186" s="158"/>
      <c r="H186" s="158"/>
      <c r="I186" s="89"/>
      <c r="J186" s="89"/>
      <c r="K186" s="89"/>
      <c r="L186" s="89"/>
      <c r="M186" s="91"/>
    </row>
    <row r="187" spans="1:13" x14ac:dyDescent="0.3">
      <c r="A187" s="88"/>
      <c r="B187" s="89"/>
      <c r="C187" s="21"/>
      <c r="D187" s="90"/>
      <c r="E187" s="177"/>
      <c r="F187" s="195"/>
      <c r="G187" s="158"/>
      <c r="H187" s="158"/>
      <c r="I187" s="89"/>
      <c r="J187" s="89"/>
      <c r="K187" s="89"/>
      <c r="L187" s="89"/>
      <c r="M187" s="91"/>
    </row>
    <row r="188" spans="1:13" x14ac:dyDescent="0.3">
      <c r="A188" s="88"/>
      <c r="B188" s="89"/>
      <c r="C188" s="21"/>
      <c r="D188" s="90"/>
      <c r="E188" s="177"/>
      <c r="F188" s="195"/>
      <c r="G188" s="158"/>
      <c r="H188" s="158"/>
      <c r="I188" s="89"/>
      <c r="J188" s="89"/>
      <c r="K188" s="89"/>
      <c r="L188" s="89"/>
      <c r="M188" s="91"/>
    </row>
    <row r="189" spans="1:13" x14ac:dyDescent="0.3">
      <c r="A189" s="88"/>
      <c r="B189" s="89"/>
      <c r="C189" s="21"/>
      <c r="D189" s="90"/>
      <c r="E189" s="177"/>
      <c r="F189" s="195"/>
      <c r="G189" s="158"/>
      <c r="H189" s="158"/>
      <c r="I189" s="89"/>
      <c r="J189" s="89"/>
      <c r="K189" s="89"/>
      <c r="L189" s="89"/>
      <c r="M189" s="91"/>
    </row>
    <row r="190" spans="1:13" x14ac:dyDescent="0.3">
      <c r="A190" s="88"/>
      <c r="B190" s="89"/>
      <c r="C190" s="21"/>
      <c r="D190" s="90"/>
      <c r="E190" s="177"/>
      <c r="F190" s="195"/>
      <c r="G190" s="158"/>
      <c r="H190" s="158"/>
      <c r="I190" s="89"/>
      <c r="J190" s="89"/>
      <c r="K190" s="89"/>
      <c r="L190" s="89"/>
      <c r="M190" s="91"/>
    </row>
    <row r="191" spans="1:13" x14ac:dyDescent="0.3">
      <c r="A191" s="88"/>
      <c r="B191" s="89"/>
      <c r="C191" s="21"/>
      <c r="D191" s="90"/>
      <c r="E191" s="177"/>
      <c r="F191" s="195"/>
      <c r="G191" s="158"/>
      <c r="H191" s="158"/>
      <c r="I191" s="89"/>
      <c r="J191" s="89"/>
      <c r="K191" s="89"/>
      <c r="L191" s="89"/>
      <c r="M191" s="91"/>
    </row>
    <row r="192" spans="1:13" x14ac:dyDescent="0.3">
      <c r="A192" s="88"/>
      <c r="B192" s="89"/>
      <c r="C192" s="21"/>
      <c r="D192" s="90"/>
      <c r="E192" s="177"/>
      <c r="F192" s="195"/>
      <c r="G192" s="158"/>
      <c r="H192" s="158"/>
      <c r="I192" s="89"/>
      <c r="J192" s="89"/>
      <c r="K192" s="89"/>
      <c r="L192" s="89"/>
      <c r="M192" s="91"/>
    </row>
    <row r="193" spans="1:13" x14ac:dyDescent="0.3">
      <c r="A193" s="88"/>
      <c r="B193" s="89"/>
      <c r="C193" s="21"/>
      <c r="D193" s="90"/>
      <c r="E193" s="177"/>
      <c r="F193" s="195"/>
      <c r="G193" s="158"/>
      <c r="H193" s="158"/>
      <c r="I193" s="89"/>
      <c r="J193" s="89"/>
      <c r="K193" s="89"/>
      <c r="L193" s="89"/>
      <c r="M193" s="91"/>
    </row>
    <row r="194" spans="1:13" x14ac:dyDescent="0.3">
      <c r="A194" s="88"/>
      <c r="B194" s="89"/>
      <c r="C194" s="21"/>
      <c r="D194" s="90"/>
      <c r="E194" s="177"/>
      <c r="F194" s="195"/>
      <c r="G194" s="158"/>
      <c r="H194" s="158"/>
      <c r="I194" s="89"/>
      <c r="J194" s="89"/>
      <c r="K194" s="89"/>
      <c r="L194" s="89"/>
      <c r="M194" s="91"/>
    </row>
    <row r="195" spans="1:13" x14ac:dyDescent="0.3">
      <c r="A195" s="88"/>
      <c r="B195" s="89"/>
      <c r="C195" s="21"/>
      <c r="D195" s="90"/>
      <c r="E195" s="177"/>
      <c r="F195" s="195"/>
      <c r="G195" s="158"/>
      <c r="H195" s="158"/>
      <c r="I195" s="89"/>
      <c r="J195" s="89"/>
      <c r="K195" s="89"/>
      <c r="L195" s="89"/>
      <c r="M195" s="91"/>
    </row>
    <row r="196" spans="1:13" x14ac:dyDescent="0.3">
      <c r="A196" s="88"/>
      <c r="B196" s="89"/>
      <c r="C196" s="21"/>
      <c r="D196" s="90"/>
      <c r="E196" s="177"/>
      <c r="F196" s="195"/>
      <c r="G196" s="158"/>
      <c r="H196" s="158"/>
      <c r="I196" s="89"/>
      <c r="J196" s="89"/>
      <c r="K196" s="89"/>
      <c r="L196" s="89"/>
      <c r="M196" s="91"/>
    </row>
    <row r="197" spans="1:13" x14ac:dyDescent="0.3">
      <c r="A197" s="88"/>
      <c r="B197" s="89"/>
      <c r="C197" s="21"/>
      <c r="D197" s="90"/>
      <c r="E197" s="177"/>
      <c r="F197" s="195"/>
      <c r="G197" s="158"/>
      <c r="H197" s="158"/>
      <c r="I197" s="89"/>
      <c r="J197" s="89"/>
      <c r="K197" s="89"/>
      <c r="L197" s="89"/>
      <c r="M197" s="91"/>
    </row>
    <row r="198" spans="1:13" x14ac:dyDescent="0.3">
      <c r="A198" s="88"/>
      <c r="B198" s="89"/>
      <c r="C198" s="21"/>
      <c r="D198" s="90"/>
      <c r="E198" s="177"/>
      <c r="F198" s="195"/>
      <c r="G198" s="158"/>
      <c r="H198" s="158"/>
      <c r="I198" s="89"/>
      <c r="J198" s="89"/>
      <c r="K198" s="89"/>
      <c r="L198" s="89"/>
      <c r="M198" s="91"/>
    </row>
    <row r="199" spans="1:13" x14ac:dyDescent="0.3">
      <c r="A199" s="88"/>
      <c r="B199" s="89"/>
      <c r="C199" s="21"/>
      <c r="D199" s="90"/>
      <c r="E199" s="177"/>
      <c r="F199" s="195"/>
      <c r="G199" s="158"/>
      <c r="H199" s="158"/>
      <c r="I199" s="89"/>
      <c r="J199" s="89"/>
      <c r="K199" s="89"/>
      <c r="L199" s="89"/>
      <c r="M199" s="91"/>
    </row>
    <row r="200" spans="1:13" x14ac:dyDescent="0.3">
      <c r="A200" s="88"/>
      <c r="B200" s="89"/>
      <c r="C200" s="21"/>
      <c r="D200" s="90"/>
      <c r="E200" s="177"/>
      <c r="F200" s="195"/>
      <c r="G200" s="158"/>
      <c r="H200" s="158"/>
      <c r="I200" s="89"/>
      <c r="J200" s="89"/>
      <c r="K200" s="89"/>
      <c r="L200" s="89"/>
      <c r="M200" s="91"/>
    </row>
    <row r="201" spans="1:13" x14ac:dyDescent="0.3">
      <c r="A201" s="88"/>
      <c r="B201" s="89"/>
      <c r="C201" s="21"/>
      <c r="D201" s="90"/>
      <c r="E201" s="177"/>
      <c r="F201" s="195"/>
      <c r="G201" s="158"/>
      <c r="H201" s="158"/>
      <c r="I201" s="89"/>
      <c r="J201" s="89"/>
      <c r="K201" s="89"/>
      <c r="L201" s="89"/>
      <c r="M201" s="91"/>
    </row>
    <row r="202" spans="1:13" x14ac:dyDescent="0.3">
      <c r="A202" s="88"/>
      <c r="B202" s="89"/>
      <c r="C202" s="21"/>
      <c r="D202" s="90"/>
      <c r="E202" s="177"/>
      <c r="F202" s="195"/>
      <c r="G202" s="158"/>
      <c r="H202" s="158"/>
      <c r="I202" s="89"/>
      <c r="J202" s="89"/>
      <c r="K202" s="89"/>
      <c r="L202" s="89"/>
      <c r="M202" s="91"/>
    </row>
    <row r="203" spans="1:13" x14ac:dyDescent="0.3">
      <c r="A203" s="88"/>
      <c r="B203" s="89"/>
      <c r="C203" s="21"/>
      <c r="D203" s="90"/>
      <c r="E203" s="177"/>
      <c r="F203" s="195"/>
      <c r="G203" s="158"/>
      <c r="H203" s="158"/>
      <c r="I203" s="89"/>
      <c r="J203" s="89"/>
      <c r="K203" s="89"/>
      <c r="L203" s="89"/>
      <c r="M203" s="91"/>
    </row>
    <row r="204" spans="1:13" x14ac:dyDescent="0.3">
      <c r="A204" s="88"/>
      <c r="B204" s="89"/>
      <c r="C204" s="21"/>
      <c r="D204" s="90"/>
      <c r="E204" s="177"/>
      <c r="F204" s="195"/>
      <c r="G204" s="158"/>
      <c r="H204" s="158"/>
      <c r="I204" s="89"/>
      <c r="J204" s="89"/>
      <c r="K204" s="89"/>
      <c r="L204" s="89"/>
      <c r="M204" s="91"/>
    </row>
    <row r="205" spans="1:13" x14ac:dyDescent="0.3">
      <c r="A205" s="88"/>
      <c r="B205" s="89"/>
      <c r="C205" s="21"/>
      <c r="D205" s="90"/>
      <c r="E205" s="177"/>
      <c r="F205" s="195"/>
      <c r="G205" s="158"/>
      <c r="H205" s="158"/>
      <c r="I205" s="89"/>
      <c r="J205" s="89"/>
      <c r="K205" s="89"/>
      <c r="L205" s="89"/>
      <c r="M205" s="91"/>
    </row>
    <row r="206" spans="1:13" x14ac:dyDescent="0.3">
      <c r="A206" s="88"/>
      <c r="B206" s="89"/>
      <c r="C206" s="21"/>
      <c r="D206" s="90"/>
      <c r="E206" s="177"/>
      <c r="F206" s="195"/>
      <c r="G206" s="158"/>
      <c r="H206" s="158"/>
      <c r="I206" s="89"/>
      <c r="J206" s="89"/>
      <c r="K206" s="89"/>
      <c r="L206" s="89"/>
      <c r="M206" s="91"/>
    </row>
    <row r="207" spans="1:13" x14ac:dyDescent="0.3">
      <c r="A207" s="88"/>
      <c r="B207" s="89"/>
      <c r="C207" s="21"/>
      <c r="D207" s="90"/>
      <c r="E207" s="177"/>
      <c r="F207" s="195"/>
      <c r="G207" s="158"/>
      <c r="H207" s="158"/>
      <c r="I207" s="89"/>
      <c r="J207" s="89"/>
      <c r="K207" s="89"/>
      <c r="L207" s="89"/>
      <c r="M207" s="91"/>
    </row>
    <row r="208" spans="1:13" x14ac:dyDescent="0.3">
      <c r="A208" s="88"/>
      <c r="B208" s="89"/>
      <c r="C208" s="21"/>
      <c r="D208" s="90"/>
      <c r="E208" s="177"/>
      <c r="F208" s="195"/>
      <c r="G208" s="158"/>
      <c r="H208" s="158"/>
      <c r="I208" s="89"/>
      <c r="J208" s="89"/>
      <c r="K208" s="89"/>
      <c r="L208" s="89"/>
      <c r="M208" s="91"/>
    </row>
    <row r="209" spans="1:13" x14ac:dyDescent="0.3">
      <c r="A209" s="88"/>
      <c r="B209" s="89"/>
      <c r="C209" s="21"/>
      <c r="D209" s="90"/>
      <c r="E209" s="177"/>
      <c r="F209" s="195"/>
      <c r="G209" s="158"/>
      <c r="H209" s="158"/>
      <c r="I209" s="89"/>
      <c r="J209" s="89"/>
      <c r="K209" s="89"/>
      <c r="L209" s="89"/>
      <c r="M209" s="91"/>
    </row>
    <row r="210" spans="1:13" x14ac:dyDescent="0.3">
      <c r="A210" s="88"/>
      <c r="B210" s="89"/>
      <c r="C210" s="21"/>
      <c r="D210" s="90"/>
      <c r="E210" s="177"/>
      <c r="F210" s="195"/>
      <c r="G210" s="158"/>
      <c r="H210" s="158"/>
      <c r="I210" s="89"/>
      <c r="J210" s="89"/>
      <c r="K210" s="89"/>
      <c r="L210" s="89"/>
      <c r="M210" s="91"/>
    </row>
    <row r="211" spans="1:13" x14ac:dyDescent="0.3">
      <c r="A211" s="88"/>
      <c r="B211" s="89"/>
      <c r="C211" s="21"/>
      <c r="D211" s="90"/>
      <c r="E211" s="177"/>
      <c r="F211" s="195"/>
      <c r="G211" s="158"/>
      <c r="H211" s="158"/>
      <c r="I211" s="89"/>
      <c r="J211" s="89"/>
      <c r="K211" s="89"/>
      <c r="L211" s="89"/>
      <c r="M211" s="91"/>
    </row>
    <row r="212" spans="1:13" x14ac:dyDescent="0.3">
      <c r="A212" s="88"/>
      <c r="B212" s="89"/>
      <c r="C212" s="21"/>
      <c r="D212" s="90"/>
      <c r="E212" s="177"/>
      <c r="F212" s="195"/>
      <c r="G212" s="158"/>
      <c r="H212" s="158"/>
      <c r="I212" s="89"/>
      <c r="J212" s="89"/>
      <c r="K212" s="89"/>
      <c r="L212" s="89"/>
      <c r="M212" s="91"/>
    </row>
    <row r="213" spans="1:13" x14ac:dyDescent="0.3">
      <c r="A213" s="88"/>
      <c r="B213" s="89"/>
      <c r="C213" s="21"/>
      <c r="D213" s="90"/>
      <c r="E213" s="177"/>
      <c r="F213" s="195"/>
      <c r="G213" s="158"/>
      <c r="H213" s="158"/>
      <c r="I213" s="89"/>
      <c r="J213" s="89"/>
      <c r="K213" s="89"/>
      <c r="L213" s="89"/>
      <c r="M213" s="91"/>
    </row>
    <row r="214" spans="1:13" x14ac:dyDescent="0.3">
      <c r="A214" s="88"/>
      <c r="B214" s="89"/>
      <c r="C214" s="21"/>
      <c r="D214" s="90"/>
      <c r="E214" s="177"/>
      <c r="F214" s="195"/>
      <c r="G214" s="158"/>
      <c r="H214" s="158"/>
      <c r="I214" s="89"/>
      <c r="J214" s="89"/>
      <c r="K214" s="89"/>
      <c r="L214" s="89"/>
      <c r="M214" s="91"/>
    </row>
    <row r="215" spans="1:13" x14ac:dyDescent="0.3">
      <c r="A215" s="88"/>
      <c r="B215" s="89"/>
      <c r="C215" s="21"/>
      <c r="D215" s="90"/>
      <c r="E215" s="177"/>
      <c r="F215" s="195"/>
      <c r="G215" s="158"/>
      <c r="H215" s="158"/>
      <c r="I215" s="89"/>
      <c r="J215" s="89"/>
      <c r="K215" s="89"/>
      <c r="L215" s="89"/>
      <c r="M215" s="91"/>
    </row>
    <row r="216" spans="1:13" x14ac:dyDescent="0.3">
      <c r="A216" s="88"/>
      <c r="B216" s="89"/>
      <c r="C216" s="21"/>
      <c r="D216" s="90"/>
      <c r="E216" s="177"/>
      <c r="F216" s="195"/>
      <c r="G216" s="158"/>
      <c r="H216" s="158"/>
      <c r="I216" s="89"/>
      <c r="J216" s="89"/>
      <c r="K216" s="89"/>
      <c r="L216" s="89"/>
      <c r="M216" s="91"/>
    </row>
    <row r="217" spans="1:13" x14ac:dyDescent="0.3">
      <c r="A217" s="88"/>
      <c r="B217" s="89"/>
      <c r="C217" s="21"/>
      <c r="D217" s="90"/>
      <c r="E217" s="177"/>
      <c r="F217" s="195"/>
      <c r="G217" s="158"/>
      <c r="H217" s="158"/>
      <c r="I217" s="89"/>
      <c r="J217" s="89"/>
      <c r="K217" s="89"/>
      <c r="L217" s="89"/>
      <c r="M217" s="91"/>
    </row>
    <row r="218" spans="1:13" x14ac:dyDescent="0.3">
      <c r="A218" s="88"/>
      <c r="B218" s="89"/>
      <c r="C218" s="21"/>
      <c r="D218" s="90"/>
      <c r="E218" s="177"/>
      <c r="F218" s="195"/>
      <c r="G218" s="158"/>
      <c r="H218" s="158"/>
      <c r="I218" s="89"/>
      <c r="J218" s="89"/>
      <c r="K218" s="89"/>
      <c r="L218" s="89"/>
      <c r="M218" s="91"/>
    </row>
    <row r="219" spans="1:13" x14ac:dyDescent="0.3">
      <c r="A219" s="88"/>
      <c r="B219" s="89"/>
      <c r="C219" s="21"/>
      <c r="D219" s="90"/>
      <c r="E219" s="177"/>
      <c r="F219" s="195"/>
      <c r="G219" s="158"/>
      <c r="H219" s="158"/>
      <c r="I219" s="89"/>
      <c r="J219" s="89"/>
      <c r="K219" s="89"/>
      <c r="L219" s="89"/>
      <c r="M219" s="91"/>
    </row>
    <row r="220" spans="1:13" x14ac:dyDescent="0.3">
      <c r="A220" s="88"/>
      <c r="B220" s="89"/>
      <c r="C220" s="21"/>
      <c r="D220" s="90"/>
      <c r="E220" s="177"/>
      <c r="F220" s="195"/>
      <c r="G220" s="158"/>
      <c r="H220" s="158"/>
      <c r="I220" s="89"/>
      <c r="J220" s="89"/>
      <c r="K220" s="89"/>
      <c r="L220" s="89"/>
      <c r="M220" s="91"/>
    </row>
    <row r="221" spans="1:13" x14ac:dyDescent="0.3">
      <c r="A221" s="88"/>
      <c r="B221" s="89"/>
      <c r="C221" s="21"/>
      <c r="D221" s="90"/>
      <c r="E221" s="177"/>
      <c r="F221" s="195"/>
      <c r="G221" s="158"/>
      <c r="H221" s="158"/>
      <c r="I221" s="89"/>
      <c r="J221" s="89"/>
      <c r="K221" s="89"/>
      <c r="L221" s="89"/>
      <c r="M221" s="91"/>
    </row>
    <row r="222" spans="1:13" x14ac:dyDescent="0.3">
      <c r="A222" s="88"/>
      <c r="B222" s="89"/>
      <c r="C222" s="21"/>
      <c r="D222" s="90"/>
      <c r="E222" s="177"/>
      <c r="F222" s="195"/>
      <c r="G222" s="158"/>
      <c r="H222" s="158"/>
      <c r="I222" s="89"/>
      <c r="J222" s="89"/>
      <c r="K222" s="89"/>
      <c r="L222" s="89"/>
      <c r="M222" s="91"/>
    </row>
    <row r="223" spans="1:13" x14ac:dyDescent="0.3">
      <c r="A223" s="88"/>
      <c r="B223" s="89"/>
      <c r="C223" s="21"/>
      <c r="D223" s="90"/>
      <c r="E223" s="177"/>
      <c r="F223" s="195"/>
      <c r="G223" s="158"/>
      <c r="H223" s="158"/>
      <c r="I223" s="89"/>
      <c r="J223" s="89"/>
      <c r="K223" s="89"/>
      <c r="L223" s="89"/>
      <c r="M223" s="91"/>
    </row>
    <row r="224" spans="1:13" x14ac:dyDescent="0.3">
      <c r="A224" s="88"/>
      <c r="B224" s="89"/>
      <c r="C224" s="21"/>
      <c r="D224" s="90"/>
      <c r="E224" s="177"/>
      <c r="F224" s="195"/>
      <c r="G224" s="158"/>
      <c r="H224" s="158"/>
      <c r="I224" s="89"/>
      <c r="J224" s="89"/>
      <c r="K224" s="89"/>
      <c r="L224" s="89"/>
      <c r="M224" s="91"/>
    </row>
    <row r="225" spans="1:13" x14ac:dyDescent="0.3">
      <c r="A225" s="88"/>
      <c r="B225" s="89"/>
      <c r="C225" s="21"/>
      <c r="D225" s="90"/>
      <c r="E225" s="177"/>
      <c r="F225" s="195"/>
      <c r="G225" s="158"/>
      <c r="H225" s="158"/>
      <c r="I225" s="89"/>
      <c r="J225" s="89"/>
      <c r="K225" s="89"/>
      <c r="L225" s="89"/>
      <c r="M225" s="91"/>
    </row>
    <row r="226" spans="1:13" x14ac:dyDescent="0.3">
      <c r="A226" s="88"/>
      <c r="B226" s="89"/>
      <c r="C226" s="21"/>
      <c r="D226" s="90"/>
      <c r="E226" s="177"/>
      <c r="F226" s="195"/>
      <c r="G226" s="158"/>
      <c r="H226" s="158"/>
      <c r="I226" s="89"/>
      <c r="J226" s="89"/>
      <c r="K226" s="89"/>
      <c r="L226" s="89"/>
      <c r="M226" s="91"/>
    </row>
    <row r="227" spans="1:13" x14ac:dyDescent="0.3">
      <c r="A227" s="88"/>
      <c r="B227" s="89"/>
      <c r="C227" s="21"/>
      <c r="D227" s="90"/>
      <c r="E227" s="177"/>
      <c r="F227" s="195"/>
      <c r="G227" s="158"/>
      <c r="H227" s="158"/>
      <c r="I227" s="89"/>
      <c r="J227" s="89"/>
      <c r="K227" s="89"/>
      <c r="L227" s="89"/>
      <c r="M227" s="91"/>
    </row>
    <row r="228" spans="1:13" x14ac:dyDescent="0.3">
      <c r="A228" s="88"/>
      <c r="B228" s="89"/>
      <c r="C228" s="21"/>
      <c r="D228" s="90"/>
      <c r="E228" s="177"/>
      <c r="F228" s="195"/>
      <c r="G228" s="158"/>
      <c r="H228" s="158"/>
      <c r="I228" s="89"/>
      <c r="J228" s="89"/>
      <c r="K228" s="89"/>
      <c r="L228" s="89"/>
      <c r="M228" s="91"/>
    </row>
    <row r="229" spans="1:13" x14ac:dyDescent="0.3">
      <c r="A229" s="88"/>
      <c r="B229" s="89"/>
      <c r="C229" s="21"/>
      <c r="D229" s="90"/>
      <c r="E229" s="177"/>
      <c r="F229" s="195"/>
      <c r="G229" s="158"/>
      <c r="H229" s="158"/>
      <c r="I229" s="89"/>
      <c r="J229" s="89"/>
      <c r="K229" s="89"/>
      <c r="L229" s="89"/>
      <c r="M229" s="91"/>
    </row>
    <row r="230" spans="1:13" x14ac:dyDescent="0.3">
      <c r="A230" s="88"/>
      <c r="B230" s="89"/>
      <c r="C230" s="21"/>
      <c r="D230" s="90"/>
      <c r="E230" s="177"/>
      <c r="F230" s="195"/>
      <c r="G230" s="158"/>
      <c r="H230" s="158"/>
      <c r="I230" s="89"/>
      <c r="J230" s="89"/>
      <c r="K230" s="89"/>
      <c r="L230" s="89"/>
      <c r="M230" s="91"/>
    </row>
    <row r="231" spans="1:13" x14ac:dyDescent="0.3">
      <c r="A231" s="88"/>
      <c r="B231" s="89"/>
      <c r="C231" s="21"/>
      <c r="D231" s="90"/>
      <c r="E231" s="177"/>
      <c r="F231" s="195"/>
      <c r="G231" s="158"/>
      <c r="H231" s="158"/>
      <c r="I231" s="89"/>
      <c r="J231" s="89"/>
      <c r="K231" s="89"/>
      <c r="L231" s="89"/>
      <c r="M231" s="91"/>
    </row>
    <row r="232" spans="1:13" x14ac:dyDescent="0.3">
      <c r="A232" s="88"/>
      <c r="B232" s="89"/>
      <c r="C232" s="21"/>
      <c r="D232" s="90"/>
      <c r="E232" s="177"/>
      <c r="F232" s="195"/>
      <c r="G232" s="158"/>
      <c r="H232" s="158"/>
      <c r="I232" s="89"/>
      <c r="J232" s="89"/>
      <c r="K232" s="89"/>
      <c r="L232" s="89"/>
      <c r="M232" s="91"/>
    </row>
    <row r="233" spans="1:13" x14ac:dyDescent="0.3">
      <c r="A233" s="88"/>
      <c r="B233" s="89"/>
      <c r="C233" s="21"/>
      <c r="D233" s="90"/>
      <c r="E233" s="177"/>
      <c r="F233" s="195"/>
      <c r="G233" s="158"/>
      <c r="H233" s="158"/>
      <c r="I233" s="89"/>
      <c r="J233" s="89"/>
      <c r="K233" s="89"/>
      <c r="L233" s="89"/>
      <c r="M233" s="91"/>
    </row>
    <row r="234" spans="1:13" x14ac:dyDescent="0.3">
      <c r="A234" s="88"/>
      <c r="B234" s="89"/>
      <c r="C234" s="21"/>
      <c r="D234" s="90"/>
      <c r="E234" s="177"/>
      <c r="F234" s="195"/>
      <c r="G234" s="158"/>
      <c r="H234" s="158"/>
      <c r="I234" s="89"/>
      <c r="J234" s="89"/>
      <c r="K234" s="89"/>
      <c r="L234" s="89"/>
      <c r="M234" s="91"/>
    </row>
    <row r="235" spans="1:13" x14ac:dyDescent="0.3">
      <c r="A235" s="88"/>
      <c r="B235" s="89"/>
      <c r="C235" s="21"/>
      <c r="D235" s="90"/>
      <c r="E235" s="177"/>
      <c r="F235" s="195"/>
      <c r="G235" s="158"/>
      <c r="H235" s="158"/>
      <c r="I235" s="89"/>
      <c r="J235" s="89"/>
      <c r="K235" s="89"/>
      <c r="L235" s="89"/>
      <c r="M235" s="91"/>
    </row>
    <row r="236" spans="1:13" x14ac:dyDescent="0.3">
      <c r="A236" s="88"/>
      <c r="B236" s="89"/>
      <c r="C236" s="21"/>
      <c r="D236" s="90"/>
      <c r="E236" s="177"/>
      <c r="F236" s="195"/>
      <c r="G236" s="158"/>
      <c r="H236" s="158"/>
      <c r="I236" s="89"/>
      <c r="J236" s="89"/>
      <c r="K236" s="89"/>
      <c r="L236" s="89"/>
      <c r="M236" s="91"/>
    </row>
    <row r="237" spans="1:13" x14ac:dyDescent="0.3">
      <c r="A237" s="88"/>
      <c r="B237" s="89"/>
      <c r="C237" s="21"/>
      <c r="D237" s="90"/>
      <c r="E237" s="177"/>
      <c r="F237" s="195"/>
      <c r="G237" s="158"/>
      <c r="H237" s="158"/>
      <c r="I237" s="89"/>
      <c r="J237" s="89"/>
      <c r="K237" s="89"/>
      <c r="L237" s="89"/>
      <c r="M237" s="91"/>
    </row>
    <row r="238" spans="1:13" x14ac:dyDescent="0.3">
      <c r="A238" s="88"/>
      <c r="B238" s="89"/>
      <c r="C238" s="21"/>
      <c r="D238" s="90"/>
      <c r="E238" s="177"/>
      <c r="F238" s="195"/>
      <c r="G238" s="158"/>
      <c r="H238" s="158"/>
      <c r="I238" s="89"/>
      <c r="J238" s="89"/>
      <c r="K238" s="89"/>
      <c r="L238" s="89"/>
      <c r="M238" s="91"/>
    </row>
    <row r="239" spans="1:13" x14ac:dyDescent="0.3">
      <c r="A239" s="88"/>
      <c r="B239" s="89"/>
      <c r="C239" s="21"/>
      <c r="D239" s="90"/>
      <c r="E239" s="177"/>
      <c r="F239" s="195"/>
      <c r="G239" s="158"/>
      <c r="H239" s="158"/>
      <c r="I239" s="89"/>
      <c r="J239" s="89"/>
      <c r="K239" s="89"/>
      <c r="L239" s="89"/>
      <c r="M239" s="91"/>
    </row>
    <row r="240" spans="1:13" x14ac:dyDescent="0.3">
      <c r="A240" s="88"/>
      <c r="B240" s="89"/>
      <c r="C240" s="21"/>
      <c r="D240" s="90"/>
      <c r="E240" s="177"/>
      <c r="F240" s="195"/>
      <c r="G240" s="158"/>
      <c r="H240" s="158"/>
      <c r="I240" s="89"/>
      <c r="J240" s="89"/>
      <c r="K240" s="89"/>
      <c r="L240" s="89"/>
      <c r="M240" s="91"/>
    </row>
    <row r="241" spans="1:13" x14ac:dyDescent="0.3">
      <c r="A241" s="88"/>
      <c r="B241" s="89"/>
      <c r="C241" s="21"/>
      <c r="D241" s="90"/>
      <c r="E241" s="177"/>
      <c r="F241" s="195"/>
      <c r="G241" s="158"/>
      <c r="H241" s="158"/>
      <c r="I241" s="89"/>
      <c r="J241" s="89"/>
      <c r="K241" s="89"/>
      <c r="L241" s="89"/>
      <c r="M241" s="91"/>
    </row>
    <row r="242" spans="1:13" x14ac:dyDescent="0.3">
      <c r="A242" s="88"/>
      <c r="B242" s="89"/>
      <c r="C242" s="21"/>
      <c r="D242" s="90"/>
      <c r="E242" s="177"/>
      <c r="F242" s="195"/>
      <c r="G242" s="158"/>
      <c r="H242" s="158"/>
      <c r="I242" s="89"/>
      <c r="J242" s="89"/>
      <c r="K242" s="89"/>
      <c r="L242" s="89"/>
      <c r="M242" s="91"/>
    </row>
    <row r="243" spans="1:13" x14ac:dyDescent="0.3">
      <c r="A243" s="88"/>
      <c r="B243" s="89"/>
      <c r="C243" s="21"/>
      <c r="D243" s="90"/>
      <c r="E243" s="177"/>
      <c r="F243" s="195"/>
      <c r="G243" s="158"/>
      <c r="H243" s="158"/>
      <c r="I243" s="89"/>
      <c r="J243" s="89"/>
      <c r="K243" s="89"/>
      <c r="L243" s="89"/>
      <c r="M243" s="91"/>
    </row>
    <row r="244" spans="1:13" x14ac:dyDescent="0.3">
      <c r="A244" s="88"/>
      <c r="B244" s="89"/>
      <c r="C244" s="21"/>
      <c r="D244" s="90"/>
      <c r="E244" s="177"/>
      <c r="F244" s="195"/>
      <c r="G244" s="158"/>
      <c r="H244" s="158"/>
      <c r="I244" s="89"/>
      <c r="J244" s="89"/>
      <c r="K244" s="89"/>
      <c r="L244" s="89"/>
      <c r="M244" s="91"/>
    </row>
    <row r="245" spans="1:13" x14ac:dyDescent="0.3">
      <c r="A245" s="88"/>
      <c r="B245" s="89"/>
      <c r="C245" s="21"/>
      <c r="D245" s="90"/>
      <c r="E245" s="177"/>
      <c r="F245" s="195"/>
      <c r="G245" s="158"/>
      <c r="H245" s="158"/>
      <c r="I245" s="89"/>
      <c r="J245" s="89"/>
      <c r="K245" s="89"/>
      <c r="L245" s="89"/>
      <c r="M245" s="91"/>
    </row>
    <row r="246" spans="1:13" x14ac:dyDescent="0.3">
      <c r="A246" s="88"/>
      <c r="B246" s="89"/>
      <c r="C246" s="21"/>
      <c r="D246" s="90"/>
      <c r="E246" s="177"/>
      <c r="F246" s="195"/>
      <c r="G246" s="158"/>
      <c r="H246" s="158"/>
      <c r="I246" s="89"/>
      <c r="J246" s="89"/>
      <c r="K246" s="89"/>
      <c r="L246" s="89"/>
      <c r="M246" s="91"/>
    </row>
    <row r="247" spans="1:13" x14ac:dyDescent="0.3">
      <c r="A247" s="88"/>
      <c r="B247" s="89"/>
      <c r="C247" s="21"/>
      <c r="D247" s="90"/>
      <c r="E247" s="177"/>
      <c r="F247" s="195"/>
      <c r="G247" s="158"/>
      <c r="H247" s="158"/>
      <c r="I247" s="89"/>
      <c r="J247" s="89"/>
      <c r="K247" s="89"/>
      <c r="L247" s="89"/>
      <c r="M247" s="91"/>
    </row>
    <row r="248" spans="1:13" x14ac:dyDescent="0.3">
      <c r="A248" s="88"/>
      <c r="B248" s="89"/>
      <c r="C248" s="21"/>
      <c r="D248" s="90"/>
      <c r="E248" s="177"/>
      <c r="F248" s="195"/>
      <c r="G248" s="158"/>
      <c r="H248" s="158"/>
      <c r="I248" s="89"/>
      <c r="J248" s="89"/>
      <c r="K248" s="89"/>
      <c r="L248" s="89"/>
      <c r="M248" s="91"/>
    </row>
    <row r="249" spans="1:13" x14ac:dyDescent="0.3">
      <c r="A249" s="88"/>
      <c r="B249" s="89"/>
      <c r="C249" s="21"/>
      <c r="D249" s="90"/>
      <c r="E249" s="177"/>
      <c r="F249" s="195"/>
      <c r="G249" s="158"/>
      <c r="H249" s="158"/>
      <c r="I249" s="89"/>
      <c r="J249" s="89"/>
      <c r="K249" s="89"/>
      <c r="L249" s="89"/>
      <c r="M249" s="91"/>
    </row>
    <row r="250" spans="1:13" x14ac:dyDescent="0.3">
      <c r="A250" s="88"/>
      <c r="B250" s="89"/>
      <c r="C250" s="21"/>
      <c r="D250" s="90"/>
      <c r="E250" s="177"/>
      <c r="F250" s="195"/>
      <c r="G250" s="158"/>
      <c r="H250" s="158"/>
      <c r="I250" s="89"/>
      <c r="J250" s="89"/>
      <c r="K250" s="89"/>
      <c r="L250" s="89"/>
      <c r="M250" s="91"/>
    </row>
    <row r="251" spans="1:13" x14ac:dyDescent="0.3">
      <c r="A251" s="88"/>
      <c r="B251" s="89"/>
      <c r="C251" s="21"/>
      <c r="D251" s="90"/>
      <c r="E251" s="177"/>
      <c r="F251" s="195"/>
      <c r="G251" s="158"/>
      <c r="H251" s="158"/>
      <c r="I251" s="89"/>
      <c r="J251" s="89"/>
      <c r="K251" s="89"/>
      <c r="L251" s="89"/>
      <c r="M251" s="91"/>
    </row>
    <row r="252" spans="1:13" x14ac:dyDescent="0.3">
      <c r="A252" s="88"/>
      <c r="B252" s="89"/>
      <c r="C252" s="21"/>
      <c r="D252" s="90"/>
      <c r="E252" s="177"/>
      <c r="F252" s="195"/>
      <c r="G252" s="158"/>
      <c r="H252" s="158"/>
      <c r="I252" s="89"/>
      <c r="J252" s="89"/>
      <c r="K252" s="89"/>
      <c r="L252" s="89"/>
      <c r="M252" s="91"/>
    </row>
    <row r="253" spans="1:13" x14ac:dyDescent="0.3">
      <c r="A253" s="88"/>
      <c r="B253" s="89"/>
      <c r="C253" s="21"/>
      <c r="D253" s="90"/>
      <c r="E253" s="177"/>
      <c r="F253" s="195"/>
      <c r="G253" s="158"/>
      <c r="H253" s="158"/>
      <c r="I253" s="89"/>
      <c r="J253" s="89"/>
      <c r="K253" s="89"/>
      <c r="L253" s="89"/>
      <c r="M253" s="91"/>
    </row>
    <row r="254" spans="1:13" x14ac:dyDescent="0.3">
      <c r="A254" s="88"/>
      <c r="B254" s="89"/>
      <c r="C254" s="21"/>
      <c r="D254" s="90"/>
      <c r="E254" s="177"/>
      <c r="F254" s="195"/>
      <c r="G254" s="158"/>
      <c r="H254" s="158"/>
      <c r="I254" s="89"/>
      <c r="J254" s="89"/>
      <c r="K254" s="89"/>
      <c r="L254" s="89"/>
      <c r="M254" s="91"/>
    </row>
    <row r="255" spans="1:13" x14ac:dyDescent="0.3">
      <c r="A255" s="88"/>
      <c r="B255" s="89"/>
      <c r="C255" s="21"/>
      <c r="D255" s="90"/>
      <c r="E255" s="177"/>
      <c r="F255" s="195"/>
      <c r="G255" s="158"/>
      <c r="H255" s="158"/>
      <c r="I255" s="89"/>
      <c r="J255" s="89"/>
      <c r="K255" s="89"/>
      <c r="L255" s="89"/>
      <c r="M255" s="91"/>
    </row>
    <row r="256" spans="1:13" x14ac:dyDescent="0.3">
      <c r="A256" s="88"/>
      <c r="B256" s="89"/>
      <c r="C256" s="21"/>
      <c r="D256" s="90"/>
      <c r="E256" s="177"/>
      <c r="F256" s="195"/>
      <c r="G256" s="158"/>
      <c r="H256" s="158"/>
      <c r="I256" s="89"/>
      <c r="J256" s="89"/>
      <c r="K256" s="89"/>
      <c r="L256" s="89"/>
      <c r="M256" s="91"/>
    </row>
    <row r="257" spans="1:13" x14ac:dyDescent="0.3">
      <c r="A257" s="88"/>
      <c r="B257" s="89"/>
      <c r="C257" s="21"/>
      <c r="D257" s="90"/>
      <c r="E257" s="177"/>
      <c r="F257" s="195"/>
      <c r="G257" s="158"/>
      <c r="H257" s="158"/>
      <c r="I257" s="89"/>
      <c r="J257" s="89"/>
      <c r="K257" s="89"/>
      <c r="L257" s="89"/>
      <c r="M257" s="91"/>
    </row>
    <row r="258" spans="1:13" x14ac:dyDescent="0.3">
      <c r="A258" s="88"/>
      <c r="B258" s="89"/>
      <c r="C258" s="21"/>
      <c r="D258" s="90"/>
      <c r="E258" s="177"/>
      <c r="F258" s="195"/>
      <c r="G258" s="158"/>
      <c r="H258" s="158"/>
      <c r="I258" s="89"/>
      <c r="J258" s="89"/>
      <c r="K258" s="89"/>
      <c r="L258" s="89"/>
      <c r="M258" s="91"/>
    </row>
    <row r="259" spans="1:13" x14ac:dyDescent="0.3">
      <c r="A259" s="88"/>
      <c r="B259" s="89"/>
      <c r="C259" s="21"/>
      <c r="D259" s="90"/>
      <c r="E259" s="177"/>
      <c r="F259" s="195"/>
      <c r="G259" s="158"/>
      <c r="H259" s="158"/>
      <c r="I259" s="89"/>
      <c r="J259" s="89"/>
      <c r="K259" s="89"/>
      <c r="L259" s="89"/>
      <c r="M259" s="91"/>
    </row>
    <row r="260" spans="1:13" x14ac:dyDescent="0.3">
      <c r="A260" s="88"/>
      <c r="B260" s="89"/>
      <c r="C260" s="21"/>
      <c r="D260" s="90"/>
      <c r="E260" s="177"/>
      <c r="F260" s="195"/>
      <c r="G260" s="158"/>
      <c r="H260" s="158"/>
      <c r="I260" s="89"/>
      <c r="J260" s="89"/>
      <c r="K260" s="89"/>
      <c r="L260" s="89"/>
      <c r="M260" s="91"/>
    </row>
    <row r="261" spans="1:13" x14ac:dyDescent="0.3">
      <c r="A261" s="88"/>
      <c r="B261" s="89"/>
      <c r="C261" s="21"/>
      <c r="D261" s="90"/>
      <c r="E261" s="177"/>
      <c r="F261" s="195"/>
      <c r="G261" s="158"/>
      <c r="H261" s="158"/>
      <c r="I261" s="89"/>
      <c r="J261" s="89"/>
      <c r="K261" s="89"/>
      <c r="L261" s="89"/>
      <c r="M261" s="91"/>
    </row>
    <row r="262" spans="1:13" x14ac:dyDescent="0.3">
      <c r="A262" s="88"/>
      <c r="B262" s="89"/>
      <c r="C262" s="21"/>
      <c r="D262" s="90"/>
      <c r="E262" s="177"/>
      <c r="F262" s="195"/>
      <c r="G262" s="158"/>
      <c r="H262" s="158"/>
      <c r="I262" s="89"/>
      <c r="J262" s="89"/>
      <c r="K262" s="89"/>
      <c r="L262" s="89"/>
      <c r="M262" s="91"/>
    </row>
    <row r="263" spans="1:13" x14ac:dyDescent="0.3">
      <c r="A263" s="88"/>
      <c r="B263" s="89"/>
      <c r="C263" s="21"/>
      <c r="D263" s="90"/>
      <c r="E263" s="177"/>
      <c r="F263" s="195"/>
      <c r="G263" s="158"/>
      <c r="H263" s="158"/>
      <c r="I263" s="89"/>
      <c r="J263" s="89"/>
      <c r="K263" s="89"/>
      <c r="L263" s="89"/>
      <c r="M263" s="91"/>
    </row>
    <row r="264" spans="1:13" x14ac:dyDescent="0.3">
      <c r="A264" s="88"/>
      <c r="B264" s="89"/>
      <c r="C264" s="21"/>
      <c r="D264" s="90"/>
      <c r="E264" s="177"/>
      <c r="F264" s="195"/>
      <c r="G264" s="158"/>
      <c r="H264" s="158"/>
      <c r="I264" s="89"/>
      <c r="J264" s="89"/>
      <c r="K264" s="89"/>
      <c r="L264" s="89"/>
      <c r="M264" s="91"/>
    </row>
    <row r="265" spans="1:13" x14ac:dyDescent="0.3">
      <c r="A265" s="88"/>
      <c r="B265" s="89"/>
      <c r="C265" s="21"/>
      <c r="D265" s="90"/>
      <c r="E265" s="177"/>
      <c r="F265" s="195"/>
      <c r="G265" s="158"/>
      <c r="H265" s="158"/>
      <c r="I265" s="89"/>
      <c r="J265" s="89"/>
      <c r="K265" s="89"/>
      <c r="L265" s="89"/>
      <c r="M265" s="91"/>
    </row>
    <row r="266" spans="1:13" x14ac:dyDescent="0.3">
      <c r="A266" s="88"/>
      <c r="B266" s="89"/>
      <c r="C266" s="21"/>
      <c r="D266" s="90"/>
      <c r="E266" s="177"/>
      <c r="F266" s="195"/>
      <c r="G266" s="158"/>
      <c r="H266" s="158"/>
      <c r="I266" s="89"/>
      <c r="J266" s="89"/>
      <c r="K266" s="89"/>
      <c r="L266" s="89"/>
      <c r="M266" s="91"/>
    </row>
    <row r="267" spans="1:13" x14ac:dyDescent="0.3">
      <c r="A267" s="88"/>
      <c r="B267" s="89"/>
      <c r="C267" s="21"/>
      <c r="D267" s="90"/>
      <c r="E267" s="177"/>
      <c r="F267" s="195"/>
      <c r="G267" s="158"/>
      <c r="H267" s="158"/>
      <c r="I267" s="89"/>
      <c r="J267" s="89"/>
      <c r="K267" s="89"/>
      <c r="L267" s="89"/>
      <c r="M267" s="91"/>
    </row>
    <row r="268" spans="1:13" x14ac:dyDescent="0.3">
      <c r="A268" s="88"/>
      <c r="B268" s="89"/>
      <c r="C268" s="21"/>
      <c r="D268" s="90"/>
      <c r="E268" s="177"/>
      <c r="F268" s="195"/>
      <c r="G268" s="158"/>
      <c r="H268" s="158"/>
      <c r="I268" s="89"/>
      <c r="J268" s="89"/>
      <c r="K268" s="89"/>
      <c r="L268" s="89"/>
      <c r="M268" s="91"/>
    </row>
    <row r="269" spans="1:13" x14ac:dyDescent="0.3">
      <c r="A269" s="88"/>
      <c r="B269" s="89"/>
      <c r="C269" s="21"/>
      <c r="D269" s="90"/>
      <c r="E269" s="177"/>
      <c r="F269" s="195"/>
      <c r="G269" s="158"/>
      <c r="H269" s="158"/>
      <c r="I269" s="89"/>
      <c r="J269" s="89"/>
      <c r="K269" s="89"/>
      <c r="L269" s="89"/>
      <c r="M269" s="91"/>
    </row>
    <row r="270" spans="1:13" x14ac:dyDescent="0.3">
      <c r="A270" s="88"/>
      <c r="B270" s="89"/>
      <c r="C270" s="21"/>
      <c r="D270" s="90"/>
      <c r="E270" s="177"/>
      <c r="F270" s="195"/>
      <c r="G270" s="158"/>
      <c r="H270" s="158"/>
      <c r="I270" s="89"/>
      <c r="J270" s="89"/>
      <c r="K270" s="89"/>
      <c r="L270" s="89"/>
      <c r="M270" s="91"/>
    </row>
    <row r="271" spans="1:13" x14ac:dyDescent="0.3">
      <c r="A271" s="88"/>
      <c r="B271" s="89"/>
      <c r="C271" s="21"/>
      <c r="D271" s="90"/>
      <c r="E271" s="177"/>
      <c r="F271" s="195"/>
      <c r="G271" s="158"/>
      <c r="H271" s="158"/>
      <c r="I271" s="89"/>
      <c r="J271" s="89"/>
      <c r="K271" s="89"/>
      <c r="L271" s="89"/>
      <c r="M271" s="91"/>
    </row>
    <row r="272" spans="1:13" x14ac:dyDescent="0.3">
      <c r="A272" s="88"/>
      <c r="B272" s="89"/>
      <c r="C272" s="21"/>
      <c r="D272" s="90"/>
      <c r="E272" s="177"/>
      <c r="F272" s="195"/>
      <c r="G272" s="158"/>
      <c r="H272" s="158"/>
      <c r="I272" s="89"/>
      <c r="J272" s="89"/>
      <c r="K272" s="89"/>
      <c r="L272" s="89"/>
      <c r="M272" s="91"/>
    </row>
    <row r="273" spans="1:13" x14ac:dyDescent="0.3">
      <c r="A273" s="88"/>
      <c r="B273" s="89"/>
      <c r="C273" s="21"/>
      <c r="D273" s="90"/>
      <c r="E273" s="177"/>
      <c r="F273" s="195"/>
      <c r="G273" s="158"/>
      <c r="H273" s="158"/>
      <c r="I273" s="89"/>
      <c r="J273" s="89"/>
      <c r="K273" s="89"/>
      <c r="L273" s="89"/>
      <c r="M273" s="91"/>
    </row>
    <row r="274" spans="1:13" x14ac:dyDescent="0.3">
      <c r="A274" s="88"/>
      <c r="B274" s="89"/>
      <c r="C274" s="21"/>
      <c r="D274" s="90"/>
      <c r="E274" s="177"/>
      <c r="F274" s="195"/>
      <c r="G274" s="158"/>
      <c r="H274" s="158"/>
      <c r="I274" s="89"/>
      <c r="J274" s="89"/>
      <c r="K274" s="89"/>
      <c r="L274" s="89"/>
      <c r="M274" s="91"/>
    </row>
    <row r="275" spans="1:13" x14ac:dyDescent="0.3">
      <c r="A275" s="88"/>
      <c r="B275" s="89"/>
      <c r="C275" s="21"/>
      <c r="D275" s="90"/>
      <c r="E275" s="177"/>
      <c r="F275" s="195"/>
      <c r="G275" s="158"/>
      <c r="H275" s="158"/>
      <c r="I275" s="89"/>
      <c r="J275" s="89"/>
      <c r="K275" s="89"/>
      <c r="L275" s="89"/>
      <c r="M275" s="91"/>
    </row>
    <row r="276" spans="1:13" x14ac:dyDescent="0.3">
      <c r="A276" s="88"/>
      <c r="B276" s="89"/>
      <c r="C276" s="21"/>
      <c r="D276" s="90"/>
      <c r="E276" s="177"/>
      <c r="F276" s="195"/>
      <c r="G276" s="158"/>
      <c r="H276" s="158"/>
      <c r="I276" s="89"/>
      <c r="J276" s="89"/>
      <c r="K276" s="89"/>
      <c r="L276" s="89"/>
      <c r="M276" s="91"/>
    </row>
    <row r="277" spans="1:13" x14ac:dyDescent="0.3">
      <c r="A277" s="88"/>
      <c r="B277" s="89"/>
      <c r="C277" s="21"/>
      <c r="D277" s="90"/>
      <c r="E277" s="177"/>
      <c r="F277" s="195"/>
      <c r="G277" s="158"/>
      <c r="H277" s="158"/>
      <c r="I277" s="89"/>
      <c r="J277" s="89"/>
      <c r="K277" s="89"/>
      <c r="L277" s="89"/>
      <c r="M277" s="91"/>
    </row>
    <row r="278" spans="1:13" x14ac:dyDescent="0.3">
      <c r="A278" s="88"/>
      <c r="B278" s="89"/>
      <c r="C278" s="21"/>
      <c r="D278" s="90"/>
      <c r="E278" s="177"/>
      <c r="F278" s="195"/>
      <c r="G278" s="158"/>
      <c r="H278" s="158"/>
      <c r="I278" s="89"/>
      <c r="J278" s="89"/>
      <c r="K278" s="89"/>
      <c r="L278" s="89"/>
      <c r="M278" s="91"/>
    </row>
    <row r="279" spans="1:13" x14ac:dyDescent="0.3">
      <c r="A279" s="88"/>
      <c r="B279" s="89"/>
      <c r="C279" s="21"/>
      <c r="D279" s="90"/>
      <c r="E279" s="177"/>
      <c r="F279" s="195"/>
      <c r="G279" s="158"/>
      <c r="H279" s="158"/>
      <c r="I279" s="89"/>
      <c r="J279" s="89"/>
      <c r="K279" s="89"/>
      <c r="L279" s="89"/>
      <c r="M279" s="91"/>
    </row>
    <row r="280" spans="1:13" x14ac:dyDescent="0.3">
      <c r="A280" s="88"/>
      <c r="B280" s="89"/>
      <c r="C280" s="21"/>
      <c r="D280" s="90"/>
      <c r="E280" s="177"/>
      <c r="F280" s="195"/>
      <c r="G280" s="158"/>
      <c r="H280" s="158"/>
      <c r="I280" s="89"/>
      <c r="J280" s="89"/>
      <c r="K280" s="89"/>
      <c r="L280" s="89"/>
      <c r="M280" s="91"/>
    </row>
    <row r="281" spans="1:13" x14ac:dyDescent="0.3">
      <c r="A281" s="88"/>
      <c r="B281" s="89"/>
      <c r="C281" s="21"/>
      <c r="D281" s="90"/>
      <c r="E281" s="177"/>
      <c r="F281" s="195"/>
      <c r="G281" s="158"/>
      <c r="H281" s="158"/>
      <c r="I281" s="89"/>
      <c r="J281" s="89"/>
      <c r="K281" s="89"/>
      <c r="L281" s="89"/>
      <c r="M281" s="91"/>
    </row>
    <row r="282" spans="1:13" x14ac:dyDescent="0.3">
      <c r="A282" s="88"/>
      <c r="B282" s="89"/>
      <c r="C282" s="21"/>
      <c r="D282" s="90"/>
      <c r="E282" s="177"/>
      <c r="F282" s="195"/>
      <c r="G282" s="158"/>
      <c r="H282" s="158"/>
      <c r="I282" s="89"/>
      <c r="J282" s="89"/>
      <c r="K282" s="89"/>
      <c r="L282" s="89"/>
      <c r="M282" s="91"/>
    </row>
    <row r="283" spans="1:13" x14ac:dyDescent="0.3">
      <c r="A283" s="88"/>
      <c r="B283" s="89"/>
      <c r="C283" s="21"/>
      <c r="D283" s="90"/>
      <c r="E283" s="177"/>
      <c r="F283" s="195"/>
      <c r="G283" s="158"/>
      <c r="H283" s="158"/>
      <c r="I283" s="89"/>
      <c r="J283" s="89"/>
      <c r="K283" s="89"/>
      <c r="L283" s="89"/>
      <c r="M283" s="91"/>
    </row>
    <row r="284" spans="1:13" x14ac:dyDescent="0.3">
      <c r="A284" s="88"/>
      <c r="B284" s="89"/>
      <c r="C284" s="21"/>
      <c r="D284" s="90"/>
      <c r="E284" s="177"/>
      <c r="F284" s="195"/>
      <c r="G284" s="158"/>
      <c r="H284" s="158"/>
      <c r="I284" s="89"/>
      <c r="J284" s="89"/>
      <c r="K284" s="89"/>
      <c r="L284" s="89"/>
      <c r="M284" s="91"/>
    </row>
    <row r="285" spans="1:13" x14ac:dyDescent="0.3">
      <c r="A285" s="88"/>
      <c r="B285" s="89"/>
      <c r="C285" s="21"/>
      <c r="D285" s="90"/>
      <c r="E285" s="177"/>
      <c r="F285" s="195"/>
      <c r="G285" s="158"/>
      <c r="H285" s="158"/>
      <c r="I285" s="89"/>
      <c r="J285" s="89"/>
      <c r="K285" s="89"/>
      <c r="L285" s="89"/>
      <c r="M285" s="91"/>
    </row>
    <row r="286" spans="1:13" x14ac:dyDescent="0.3">
      <c r="A286" s="88"/>
      <c r="B286" s="89"/>
      <c r="C286" s="21"/>
      <c r="D286" s="90"/>
      <c r="E286" s="177"/>
      <c r="F286" s="195"/>
      <c r="G286" s="158"/>
      <c r="H286" s="158"/>
      <c r="I286" s="89"/>
      <c r="J286" s="89"/>
      <c r="K286" s="89"/>
      <c r="L286" s="89"/>
      <c r="M286" s="91"/>
    </row>
    <row r="287" spans="1:13" x14ac:dyDescent="0.3">
      <c r="A287" s="88"/>
      <c r="B287" s="89"/>
      <c r="C287" s="21"/>
      <c r="D287" s="90"/>
      <c r="E287" s="177"/>
      <c r="F287" s="195"/>
      <c r="G287" s="158"/>
      <c r="H287" s="158"/>
      <c r="I287" s="89"/>
      <c r="J287" s="89"/>
      <c r="K287" s="89"/>
      <c r="L287" s="89"/>
      <c r="M287" s="91"/>
    </row>
    <row r="288" spans="1:13" x14ac:dyDescent="0.3">
      <c r="A288" s="88"/>
      <c r="B288" s="89"/>
      <c r="C288" s="21"/>
      <c r="D288" s="90"/>
      <c r="E288" s="177"/>
      <c r="F288" s="195"/>
      <c r="G288" s="158"/>
      <c r="H288" s="158"/>
      <c r="I288" s="89"/>
      <c r="J288" s="89"/>
      <c r="K288" s="89"/>
      <c r="L288" s="89"/>
      <c r="M288" s="91"/>
    </row>
    <row r="289" spans="1:13" x14ac:dyDescent="0.3">
      <c r="A289" s="88"/>
      <c r="B289" s="89"/>
      <c r="C289" s="21"/>
      <c r="D289" s="90"/>
      <c r="E289" s="177"/>
      <c r="F289" s="195"/>
      <c r="G289" s="158"/>
      <c r="H289" s="158"/>
      <c r="I289" s="89"/>
      <c r="J289" s="89"/>
      <c r="K289" s="89"/>
      <c r="L289" s="89"/>
      <c r="M289" s="91"/>
    </row>
    <row r="290" spans="1:13" x14ac:dyDescent="0.3">
      <c r="A290" s="88"/>
      <c r="B290" s="89"/>
      <c r="C290" s="21"/>
      <c r="D290" s="90"/>
      <c r="E290" s="177"/>
      <c r="F290" s="195"/>
      <c r="G290" s="158"/>
      <c r="H290" s="158"/>
      <c r="I290" s="89"/>
      <c r="J290" s="89"/>
      <c r="K290" s="89"/>
      <c r="L290" s="89"/>
      <c r="M290" s="91"/>
    </row>
    <row r="291" spans="1:13" x14ac:dyDescent="0.3">
      <c r="A291" s="88"/>
      <c r="B291" s="89"/>
      <c r="C291" s="21"/>
      <c r="D291" s="90"/>
      <c r="E291" s="177"/>
      <c r="F291" s="195"/>
      <c r="G291" s="158"/>
      <c r="H291" s="158"/>
      <c r="I291" s="89"/>
      <c r="J291" s="89"/>
      <c r="K291" s="89"/>
      <c r="L291" s="89"/>
      <c r="M291" s="91"/>
    </row>
    <row r="292" spans="1:13" x14ac:dyDescent="0.3">
      <c r="A292" s="88"/>
      <c r="B292" s="89"/>
      <c r="C292" s="21"/>
      <c r="D292" s="90"/>
      <c r="E292" s="177"/>
      <c r="F292" s="195"/>
      <c r="G292" s="158"/>
      <c r="H292" s="158"/>
      <c r="I292" s="89"/>
      <c r="J292" s="89"/>
      <c r="K292" s="89"/>
      <c r="L292" s="89"/>
      <c r="M292" s="91"/>
    </row>
    <row r="293" spans="1:13" x14ac:dyDescent="0.3">
      <c r="A293" s="88"/>
      <c r="B293" s="89"/>
      <c r="C293" s="21"/>
      <c r="D293" s="90"/>
      <c r="E293" s="177"/>
      <c r="F293" s="195"/>
      <c r="G293" s="158"/>
      <c r="H293" s="158"/>
      <c r="I293" s="89"/>
      <c r="J293" s="89"/>
      <c r="K293" s="89"/>
      <c r="L293" s="89"/>
      <c r="M293" s="91"/>
    </row>
    <row r="294" spans="1:13" x14ac:dyDescent="0.3">
      <c r="A294" s="88"/>
      <c r="B294" s="89"/>
      <c r="C294" s="21"/>
      <c r="D294" s="90"/>
      <c r="E294" s="177"/>
      <c r="F294" s="195"/>
      <c r="G294" s="158"/>
      <c r="H294" s="158"/>
      <c r="I294" s="89"/>
      <c r="J294" s="89"/>
      <c r="K294" s="89"/>
      <c r="L294" s="89"/>
      <c r="M294" s="91"/>
    </row>
    <row r="295" spans="1:13" x14ac:dyDescent="0.3">
      <c r="A295" s="88"/>
      <c r="B295" s="89"/>
      <c r="C295" s="21"/>
      <c r="D295" s="90"/>
      <c r="E295" s="177"/>
      <c r="F295" s="195"/>
      <c r="G295" s="158"/>
      <c r="H295" s="158"/>
      <c r="I295" s="89"/>
      <c r="J295" s="89"/>
      <c r="K295" s="89"/>
      <c r="L295" s="89"/>
      <c r="M295" s="91"/>
    </row>
    <row r="296" spans="1:13" x14ac:dyDescent="0.3">
      <c r="A296" s="88"/>
      <c r="B296" s="89"/>
      <c r="C296" s="21"/>
      <c r="D296" s="90"/>
      <c r="E296" s="177"/>
      <c r="F296" s="195"/>
      <c r="G296" s="158"/>
      <c r="H296" s="158"/>
      <c r="I296" s="89"/>
      <c r="J296" s="89"/>
      <c r="K296" s="89"/>
      <c r="L296" s="89"/>
      <c r="M296" s="91"/>
    </row>
    <row r="297" spans="1:13" x14ac:dyDescent="0.3">
      <c r="A297" s="88"/>
      <c r="B297" s="89"/>
      <c r="C297" s="21"/>
      <c r="D297" s="90"/>
      <c r="E297" s="177"/>
      <c r="F297" s="195"/>
      <c r="G297" s="158"/>
      <c r="H297" s="158"/>
      <c r="I297" s="89"/>
      <c r="J297" s="89"/>
      <c r="K297" s="89"/>
      <c r="L297" s="89"/>
      <c r="M297" s="91"/>
    </row>
    <row r="298" spans="1:13" x14ac:dyDescent="0.3">
      <c r="A298" s="88"/>
      <c r="B298" s="89"/>
      <c r="C298" s="21"/>
      <c r="D298" s="90"/>
      <c r="E298" s="177"/>
      <c r="F298" s="195"/>
      <c r="G298" s="158"/>
      <c r="H298" s="158"/>
      <c r="I298" s="89"/>
      <c r="J298" s="89"/>
      <c r="K298" s="89"/>
      <c r="L298" s="89"/>
      <c r="M298" s="91"/>
    </row>
    <row r="299" spans="1:13" x14ac:dyDescent="0.3">
      <c r="A299" s="88"/>
      <c r="B299" s="89"/>
      <c r="C299" s="21"/>
      <c r="D299" s="90"/>
      <c r="E299" s="177"/>
      <c r="F299" s="195"/>
      <c r="G299" s="158"/>
      <c r="H299" s="158"/>
      <c r="I299" s="89"/>
      <c r="J299" s="89"/>
      <c r="K299" s="89"/>
      <c r="L299" s="89"/>
      <c r="M299" s="91"/>
    </row>
    <row r="300" spans="1:13" x14ac:dyDescent="0.3">
      <c r="A300" s="88"/>
      <c r="B300" s="89"/>
      <c r="C300" s="21"/>
      <c r="D300" s="90"/>
      <c r="E300" s="177"/>
      <c r="F300" s="195"/>
      <c r="G300" s="158"/>
      <c r="H300" s="158"/>
      <c r="I300" s="89"/>
      <c r="J300" s="89"/>
      <c r="K300" s="89"/>
      <c r="L300" s="89"/>
      <c r="M300" s="91"/>
    </row>
    <row r="301" spans="1:13" x14ac:dyDescent="0.3">
      <c r="A301" s="88"/>
      <c r="B301" s="89"/>
      <c r="C301" s="21"/>
      <c r="D301" s="90"/>
      <c r="E301" s="177"/>
      <c r="F301" s="195"/>
      <c r="G301" s="158"/>
      <c r="H301" s="158"/>
      <c r="I301" s="89"/>
      <c r="J301" s="89"/>
      <c r="K301" s="89"/>
      <c r="L301" s="89"/>
      <c r="M301" s="91"/>
    </row>
    <row r="302" spans="1:13" x14ac:dyDescent="0.3">
      <c r="A302" s="88"/>
      <c r="B302" s="89"/>
      <c r="C302" s="21"/>
      <c r="D302" s="90"/>
      <c r="E302" s="177"/>
      <c r="F302" s="195"/>
      <c r="G302" s="158"/>
      <c r="H302" s="158"/>
      <c r="I302" s="89"/>
      <c r="J302" s="89"/>
      <c r="K302" s="89"/>
      <c r="L302" s="89"/>
      <c r="M302" s="91"/>
    </row>
    <row r="303" spans="1:13" x14ac:dyDescent="0.3">
      <c r="A303" s="88"/>
      <c r="B303" s="89"/>
      <c r="C303" s="21"/>
      <c r="D303" s="90"/>
      <c r="E303" s="177"/>
      <c r="F303" s="195"/>
      <c r="G303" s="158"/>
      <c r="H303" s="158"/>
      <c r="I303" s="89"/>
      <c r="J303" s="89"/>
      <c r="K303" s="89"/>
      <c r="L303" s="89"/>
      <c r="M303" s="91"/>
    </row>
    <row r="304" spans="1:13" x14ac:dyDescent="0.3">
      <c r="A304" s="88"/>
      <c r="B304" s="89"/>
      <c r="C304" s="21"/>
      <c r="D304" s="90"/>
      <c r="E304" s="177"/>
      <c r="F304" s="195"/>
      <c r="G304" s="158"/>
      <c r="H304" s="158"/>
      <c r="I304" s="89"/>
      <c r="J304" s="89"/>
      <c r="K304" s="89"/>
      <c r="L304" s="89"/>
      <c r="M304" s="91"/>
    </row>
    <row r="305" spans="1:13" x14ac:dyDescent="0.3">
      <c r="A305" s="88"/>
      <c r="B305" s="89"/>
      <c r="C305" s="21"/>
      <c r="D305" s="90"/>
      <c r="E305" s="177"/>
      <c r="F305" s="195"/>
      <c r="G305" s="158"/>
      <c r="H305" s="158"/>
      <c r="I305" s="89"/>
      <c r="J305" s="89"/>
      <c r="K305" s="89"/>
      <c r="L305" s="89"/>
      <c r="M305" s="91"/>
    </row>
    <row r="306" spans="1:13" x14ac:dyDescent="0.3">
      <c r="A306" s="88"/>
      <c r="B306" s="89"/>
      <c r="C306" s="21"/>
      <c r="D306" s="90"/>
      <c r="E306" s="177"/>
      <c r="F306" s="195"/>
      <c r="G306" s="158"/>
      <c r="H306" s="158"/>
      <c r="I306" s="89"/>
      <c r="J306" s="89"/>
      <c r="K306" s="89"/>
      <c r="L306" s="89"/>
      <c r="M306" s="91"/>
    </row>
    <row r="307" spans="1:13" x14ac:dyDescent="0.3">
      <c r="A307" s="88"/>
      <c r="B307" s="89"/>
      <c r="C307" s="21"/>
      <c r="D307" s="90"/>
      <c r="E307" s="177"/>
      <c r="F307" s="195"/>
      <c r="G307" s="158"/>
      <c r="H307" s="158"/>
      <c r="I307" s="89"/>
      <c r="J307" s="89"/>
      <c r="K307" s="89"/>
      <c r="L307" s="89"/>
      <c r="M307" s="91"/>
    </row>
    <row r="308" spans="1:13" x14ac:dyDescent="0.3">
      <c r="A308" s="88"/>
      <c r="B308" s="89"/>
      <c r="C308" s="21"/>
      <c r="D308" s="90"/>
      <c r="E308" s="177"/>
      <c r="F308" s="195"/>
      <c r="G308" s="158"/>
      <c r="H308" s="158"/>
      <c r="I308" s="89"/>
      <c r="J308" s="89"/>
      <c r="K308" s="89"/>
      <c r="L308" s="89"/>
      <c r="M308" s="91"/>
    </row>
    <row r="309" spans="1:13" x14ac:dyDescent="0.3">
      <c r="A309" s="88"/>
      <c r="B309" s="89"/>
      <c r="C309" s="21"/>
      <c r="D309" s="90"/>
      <c r="E309" s="177"/>
      <c r="F309" s="195"/>
      <c r="G309" s="158"/>
      <c r="H309" s="158"/>
      <c r="I309" s="89"/>
      <c r="J309" s="89"/>
      <c r="K309" s="89"/>
      <c r="L309" s="89"/>
      <c r="M309" s="91"/>
    </row>
    <row r="310" spans="1:13" x14ac:dyDescent="0.3">
      <c r="A310" s="88"/>
      <c r="B310" s="89"/>
      <c r="C310" s="21"/>
      <c r="D310" s="90"/>
      <c r="E310" s="177"/>
      <c r="F310" s="195"/>
      <c r="G310" s="158"/>
      <c r="H310" s="158"/>
      <c r="I310" s="89"/>
      <c r="J310" s="89"/>
      <c r="K310" s="89"/>
      <c r="L310" s="89"/>
      <c r="M310" s="91"/>
    </row>
    <row r="311" spans="1:13" x14ac:dyDescent="0.3">
      <c r="A311" s="88"/>
      <c r="B311" s="89"/>
      <c r="C311" s="21"/>
      <c r="D311" s="90"/>
      <c r="E311" s="177"/>
      <c r="F311" s="195"/>
      <c r="G311" s="158"/>
      <c r="H311" s="158"/>
      <c r="I311" s="89"/>
      <c r="J311" s="89"/>
      <c r="K311" s="89"/>
      <c r="L311" s="89"/>
      <c r="M311" s="91"/>
    </row>
    <row r="312" spans="1:13" x14ac:dyDescent="0.3">
      <c r="A312" s="88"/>
      <c r="B312" s="89"/>
      <c r="C312" s="21"/>
      <c r="D312" s="90"/>
      <c r="E312" s="177"/>
      <c r="F312" s="195"/>
      <c r="G312" s="158"/>
      <c r="H312" s="158"/>
      <c r="I312" s="89"/>
      <c r="J312" s="89"/>
      <c r="K312" s="89"/>
      <c r="L312" s="89"/>
      <c r="M312" s="91"/>
    </row>
    <row r="313" spans="1:13" x14ac:dyDescent="0.3">
      <c r="A313" s="88"/>
      <c r="B313" s="89"/>
      <c r="C313" s="21"/>
      <c r="D313" s="90"/>
      <c r="E313" s="177"/>
      <c r="F313" s="195"/>
      <c r="G313" s="158"/>
      <c r="H313" s="158"/>
      <c r="I313" s="89"/>
      <c r="J313" s="89"/>
      <c r="K313" s="89"/>
      <c r="L313" s="89"/>
      <c r="M313" s="91"/>
    </row>
    <row r="314" spans="1:13" x14ac:dyDescent="0.3">
      <c r="A314" s="88"/>
      <c r="B314" s="89"/>
      <c r="C314" s="21"/>
      <c r="D314" s="90"/>
      <c r="E314" s="177"/>
      <c r="F314" s="195"/>
      <c r="G314" s="158"/>
      <c r="H314" s="158"/>
      <c r="I314" s="89"/>
      <c r="J314" s="89"/>
      <c r="K314" s="89"/>
      <c r="L314" s="89"/>
      <c r="M314" s="91"/>
    </row>
    <row r="315" spans="1:13" x14ac:dyDescent="0.3">
      <c r="A315" s="88"/>
      <c r="B315" s="89"/>
      <c r="C315" s="21"/>
      <c r="D315" s="90"/>
      <c r="E315" s="177"/>
      <c r="F315" s="195"/>
      <c r="G315" s="158"/>
      <c r="H315" s="158"/>
      <c r="I315" s="89"/>
      <c r="J315" s="89"/>
      <c r="K315" s="89"/>
      <c r="L315" s="89"/>
      <c r="M315" s="91"/>
    </row>
    <row r="316" spans="1:13" x14ac:dyDescent="0.3">
      <c r="A316" s="88"/>
      <c r="B316" s="89"/>
      <c r="C316" s="21"/>
      <c r="D316" s="90"/>
      <c r="E316" s="177"/>
      <c r="F316" s="195"/>
      <c r="G316" s="158"/>
      <c r="H316" s="158"/>
      <c r="I316" s="89"/>
      <c r="J316" s="89"/>
      <c r="K316" s="89"/>
      <c r="L316" s="89"/>
      <c r="M316" s="91"/>
    </row>
    <row r="317" spans="1:13" x14ac:dyDescent="0.3">
      <c r="A317" s="88"/>
      <c r="B317" s="89"/>
      <c r="C317" s="21"/>
      <c r="D317" s="90"/>
      <c r="E317" s="177"/>
      <c r="F317" s="195"/>
      <c r="G317" s="158"/>
      <c r="H317" s="158"/>
      <c r="I317" s="89"/>
      <c r="J317" s="89"/>
      <c r="K317" s="89"/>
      <c r="L317" s="89"/>
      <c r="M317" s="91"/>
    </row>
    <row r="318" spans="1:13" x14ac:dyDescent="0.3">
      <c r="A318" s="88"/>
      <c r="B318" s="89"/>
      <c r="C318" s="21"/>
      <c r="D318" s="90"/>
      <c r="E318" s="177"/>
      <c r="F318" s="195"/>
      <c r="G318" s="158"/>
      <c r="H318" s="158"/>
      <c r="I318" s="89"/>
      <c r="J318" s="89"/>
      <c r="K318" s="89"/>
      <c r="L318" s="89"/>
      <c r="M318" s="91"/>
    </row>
    <row r="319" spans="1:13" x14ac:dyDescent="0.3">
      <c r="A319" s="88"/>
      <c r="B319" s="89"/>
      <c r="C319" s="21"/>
      <c r="D319" s="90"/>
      <c r="E319" s="177"/>
      <c r="F319" s="195"/>
      <c r="G319" s="158"/>
      <c r="H319" s="158"/>
      <c r="I319" s="89"/>
      <c r="J319" s="89"/>
      <c r="K319" s="89"/>
      <c r="L319" s="89"/>
      <c r="M319" s="91"/>
    </row>
    <row r="320" spans="1:13" x14ac:dyDescent="0.3">
      <c r="A320" s="88"/>
      <c r="B320" s="89"/>
      <c r="C320" s="21"/>
      <c r="D320" s="90"/>
      <c r="E320" s="177"/>
      <c r="F320" s="195"/>
      <c r="G320" s="158"/>
      <c r="H320" s="158"/>
      <c r="I320" s="89"/>
      <c r="J320" s="89"/>
      <c r="K320" s="89"/>
      <c r="L320" s="89"/>
      <c r="M320" s="91"/>
    </row>
    <row r="321" spans="1:13" x14ac:dyDescent="0.3">
      <c r="A321" s="88"/>
      <c r="B321" s="89"/>
      <c r="C321" s="21"/>
      <c r="D321" s="90"/>
      <c r="E321" s="177"/>
      <c r="F321" s="195"/>
      <c r="G321" s="158"/>
      <c r="H321" s="158"/>
      <c r="I321" s="89"/>
      <c r="J321" s="89"/>
      <c r="K321" s="89"/>
      <c r="L321" s="89"/>
      <c r="M321" s="91"/>
    </row>
    <row r="322" spans="1:13" x14ac:dyDescent="0.3">
      <c r="A322" s="88"/>
      <c r="B322" s="89"/>
      <c r="C322" s="21"/>
      <c r="D322" s="90"/>
      <c r="E322" s="177"/>
      <c r="F322" s="195"/>
      <c r="G322" s="158"/>
      <c r="H322" s="158"/>
      <c r="I322" s="89"/>
      <c r="J322" s="89"/>
      <c r="K322" s="89"/>
      <c r="L322" s="89"/>
      <c r="M322" s="91"/>
    </row>
    <row r="323" spans="1:13" x14ac:dyDescent="0.3">
      <c r="A323" s="88"/>
      <c r="B323" s="89"/>
      <c r="C323" s="21"/>
      <c r="D323" s="90"/>
      <c r="E323" s="177"/>
      <c r="F323" s="195"/>
      <c r="G323" s="158"/>
      <c r="H323" s="158"/>
      <c r="I323" s="89"/>
      <c r="J323" s="89"/>
      <c r="K323" s="89"/>
      <c r="L323" s="89"/>
      <c r="M323" s="91"/>
    </row>
    <row r="324" spans="1:13" x14ac:dyDescent="0.3">
      <c r="A324" s="88"/>
      <c r="B324" s="89"/>
      <c r="C324" s="21"/>
      <c r="D324" s="90"/>
      <c r="E324" s="177"/>
      <c r="F324" s="195"/>
      <c r="G324" s="158"/>
      <c r="H324" s="158"/>
      <c r="I324" s="89"/>
      <c r="J324" s="89"/>
      <c r="K324" s="89"/>
      <c r="L324" s="89"/>
      <c r="M324" s="91"/>
    </row>
    <row r="325" spans="1:13" x14ac:dyDescent="0.3">
      <c r="A325" s="88"/>
      <c r="B325" s="89"/>
      <c r="C325" s="21"/>
      <c r="D325" s="90"/>
      <c r="E325" s="177"/>
      <c r="F325" s="195"/>
      <c r="G325" s="158"/>
      <c r="H325" s="158"/>
      <c r="I325" s="89"/>
      <c r="J325" s="89"/>
      <c r="K325" s="89"/>
      <c r="L325" s="89"/>
      <c r="M325" s="91"/>
    </row>
    <row r="326" spans="1:13" x14ac:dyDescent="0.3">
      <c r="A326" s="88"/>
      <c r="B326" s="89"/>
      <c r="C326" s="21"/>
      <c r="D326" s="90"/>
      <c r="E326" s="177"/>
      <c r="F326" s="195"/>
      <c r="G326" s="158"/>
      <c r="H326" s="158"/>
      <c r="I326" s="89"/>
      <c r="J326" s="89"/>
      <c r="K326" s="89"/>
      <c r="L326" s="89"/>
      <c r="M326" s="91"/>
    </row>
    <row r="327" spans="1:13" x14ac:dyDescent="0.3">
      <c r="A327" s="88"/>
      <c r="B327" s="89"/>
      <c r="C327" s="21"/>
      <c r="D327" s="90"/>
      <c r="E327" s="177"/>
      <c r="F327" s="195"/>
      <c r="G327" s="158"/>
      <c r="H327" s="158"/>
      <c r="I327" s="89"/>
      <c r="J327" s="89"/>
      <c r="K327" s="89"/>
      <c r="L327" s="89"/>
      <c r="M327" s="91"/>
    </row>
    <row r="328" spans="1:13" x14ac:dyDescent="0.3">
      <c r="A328" s="88"/>
      <c r="B328" s="89"/>
      <c r="C328" s="21"/>
      <c r="D328" s="90"/>
      <c r="E328" s="177"/>
      <c r="F328" s="195"/>
      <c r="G328" s="158"/>
      <c r="H328" s="158"/>
      <c r="I328" s="89"/>
      <c r="J328" s="89"/>
      <c r="K328" s="89"/>
      <c r="L328" s="89"/>
      <c r="M328" s="91"/>
    </row>
    <row r="329" spans="1:13" x14ac:dyDescent="0.3">
      <c r="A329" s="88"/>
      <c r="B329" s="89"/>
      <c r="C329" s="21"/>
      <c r="D329" s="90"/>
      <c r="E329" s="177"/>
      <c r="F329" s="195"/>
      <c r="G329" s="158"/>
      <c r="H329" s="158"/>
      <c r="I329" s="89"/>
      <c r="J329" s="89"/>
      <c r="K329" s="89"/>
      <c r="L329" s="89"/>
      <c r="M329" s="91"/>
    </row>
    <row r="330" spans="1:13" x14ac:dyDescent="0.3">
      <c r="A330" s="88"/>
      <c r="B330" s="89"/>
      <c r="C330" s="21"/>
      <c r="D330" s="90"/>
      <c r="E330" s="177"/>
      <c r="F330" s="195"/>
      <c r="G330" s="158"/>
      <c r="H330" s="158"/>
      <c r="I330" s="89"/>
      <c r="J330" s="89"/>
      <c r="K330" s="89"/>
      <c r="L330" s="89"/>
      <c r="M330" s="91"/>
    </row>
    <row r="331" spans="1:13" x14ac:dyDescent="0.3">
      <c r="A331" s="88"/>
      <c r="B331" s="89"/>
      <c r="C331" s="21"/>
      <c r="D331" s="90"/>
      <c r="E331" s="177"/>
      <c r="F331" s="195"/>
      <c r="G331" s="158"/>
      <c r="H331" s="158"/>
      <c r="I331" s="89"/>
      <c r="J331" s="89"/>
      <c r="K331" s="89"/>
      <c r="L331" s="89"/>
      <c r="M331" s="91"/>
    </row>
    <row r="332" spans="1:13" x14ac:dyDescent="0.3">
      <c r="A332" s="88"/>
      <c r="B332" s="89"/>
      <c r="C332" s="21"/>
      <c r="D332" s="90"/>
      <c r="E332" s="177"/>
      <c r="F332" s="195"/>
      <c r="G332" s="158"/>
      <c r="H332" s="158"/>
      <c r="I332" s="89"/>
      <c r="J332" s="89"/>
      <c r="K332" s="89"/>
      <c r="L332" s="89"/>
      <c r="M332" s="91"/>
    </row>
    <row r="333" spans="1:13" x14ac:dyDescent="0.3">
      <c r="A333" s="88"/>
      <c r="B333" s="89"/>
      <c r="C333" s="21"/>
      <c r="D333" s="90"/>
      <c r="E333" s="177"/>
      <c r="F333" s="195"/>
      <c r="G333" s="158"/>
      <c r="H333" s="158"/>
      <c r="I333" s="89"/>
      <c r="J333" s="89"/>
      <c r="K333" s="89"/>
      <c r="L333" s="89"/>
      <c r="M333" s="91"/>
    </row>
    <row r="334" spans="1:13" x14ac:dyDescent="0.3">
      <c r="A334" s="88"/>
      <c r="B334" s="89"/>
      <c r="C334" s="21"/>
      <c r="D334" s="90"/>
      <c r="E334" s="177"/>
      <c r="F334" s="195"/>
      <c r="G334" s="158"/>
      <c r="H334" s="158"/>
      <c r="I334" s="89"/>
      <c r="J334" s="89"/>
      <c r="K334" s="89"/>
      <c r="L334" s="89"/>
      <c r="M334" s="91"/>
    </row>
    <row r="335" spans="1:13" x14ac:dyDescent="0.3">
      <c r="A335" s="88"/>
      <c r="B335" s="89"/>
      <c r="C335" s="21"/>
      <c r="D335" s="90"/>
      <c r="E335" s="177"/>
      <c r="F335" s="195"/>
      <c r="G335" s="158"/>
      <c r="H335" s="158"/>
      <c r="I335" s="89"/>
      <c r="J335" s="89"/>
      <c r="K335" s="89"/>
      <c r="L335" s="89"/>
      <c r="M335" s="91"/>
    </row>
    <row r="336" spans="1:13" x14ac:dyDescent="0.3">
      <c r="A336" s="88"/>
      <c r="B336" s="89"/>
      <c r="C336" s="21"/>
      <c r="D336" s="90"/>
      <c r="E336" s="177"/>
      <c r="F336" s="195"/>
      <c r="G336" s="158"/>
      <c r="H336" s="158"/>
      <c r="I336" s="89"/>
      <c r="J336" s="89"/>
      <c r="K336" s="89"/>
      <c r="L336" s="89"/>
      <c r="M336" s="91"/>
    </row>
    <row r="337" spans="1:13" x14ac:dyDescent="0.3">
      <c r="A337" s="88"/>
      <c r="B337" s="89"/>
      <c r="C337" s="21"/>
      <c r="D337" s="90"/>
      <c r="E337" s="177"/>
      <c r="F337" s="195"/>
      <c r="G337" s="158"/>
      <c r="H337" s="158"/>
      <c r="I337" s="89"/>
      <c r="J337" s="89"/>
      <c r="K337" s="89"/>
      <c r="L337" s="89"/>
      <c r="M337" s="91"/>
    </row>
    <row r="338" spans="1:13" x14ac:dyDescent="0.3">
      <c r="A338" s="88"/>
      <c r="B338" s="89"/>
      <c r="C338" s="21"/>
      <c r="D338" s="90"/>
      <c r="E338" s="177"/>
      <c r="F338" s="195"/>
      <c r="G338" s="158"/>
      <c r="H338" s="158"/>
      <c r="I338" s="89"/>
      <c r="J338" s="89"/>
      <c r="K338" s="89"/>
      <c r="L338" s="89"/>
      <c r="M338" s="91"/>
    </row>
    <row r="339" spans="1:13" x14ac:dyDescent="0.3">
      <c r="A339" s="88"/>
      <c r="B339" s="89"/>
      <c r="C339" s="21"/>
      <c r="D339" s="90"/>
      <c r="E339" s="177"/>
      <c r="F339" s="195"/>
      <c r="G339" s="158"/>
      <c r="H339" s="158"/>
      <c r="I339" s="89"/>
      <c r="J339" s="89"/>
      <c r="K339" s="89"/>
      <c r="L339" s="89"/>
      <c r="M339" s="91"/>
    </row>
    <row r="340" spans="1:13" x14ac:dyDescent="0.3">
      <c r="A340" s="88"/>
      <c r="B340" s="89"/>
      <c r="C340" s="21"/>
      <c r="D340" s="90"/>
      <c r="E340" s="177"/>
      <c r="F340" s="195"/>
      <c r="G340" s="158"/>
      <c r="H340" s="158"/>
      <c r="I340" s="89"/>
      <c r="J340" s="89"/>
      <c r="K340" s="89"/>
      <c r="L340" s="89"/>
      <c r="M340" s="91"/>
    </row>
    <row r="341" spans="1:13" x14ac:dyDescent="0.3">
      <c r="A341" s="88"/>
      <c r="B341" s="89"/>
      <c r="C341" s="21"/>
      <c r="D341" s="90"/>
      <c r="E341" s="177"/>
      <c r="F341" s="195"/>
      <c r="G341" s="158"/>
      <c r="H341" s="158"/>
      <c r="I341" s="89"/>
      <c r="J341" s="89"/>
      <c r="K341" s="89"/>
      <c r="L341" s="89"/>
      <c r="M341" s="91"/>
    </row>
    <row r="342" spans="1:13" x14ac:dyDescent="0.3">
      <c r="A342" s="88"/>
      <c r="B342" s="89"/>
      <c r="C342" s="21"/>
      <c r="D342" s="90"/>
      <c r="E342" s="177"/>
      <c r="F342" s="195"/>
      <c r="G342" s="158"/>
      <c r="H342" s="158"/>
      <c r="I342" s="89"/>
      <c r="J342" s="89"/>
      <c r="K342" s="89"/>
      <c r="L342" s="89"/>
      <c r="M342" s="91"/>
    </row>
    <row r="343" spans="1:13" x14ac:dyDescent="0.3">
      <c r="A343" s="88"/>
      <c r="B343" s="89"/>
      <c r="C343" s="21"/>
      <c r="D343" s="90"/>
      <c r="E343" s="177"/>
      <c r="F343" s="195"/>
      <c r="G343" s="158"/>
      <c r="H343" s="158"/>
      <c r="I343" s="89"/>
      <c r="J343" s="89"/>
      <c r="K343" s="89"/>
      <c r="L343" s="89"/>
      <c r="M343" s="91"/>
    </row>
    <row r="344" spans="1:13" x14ac:dyDescent="0.3">
      <c r="A344" s="88"/>
      <c r="B344" s="89"/>
      <c r="C344" s="21"/>
      <c r="D344" s="90"/>
      <c r="E344" s="177"/>
      <c r="F344" s="195"/>
      <c r="G344" s="158"/>
      <c r="H344" s="158"/>
      <c r="I344" s="89"/>
      <c r="J344" s="89"/>
      <c r="K344" s="89"/>
      <c r="L344" s="89"/>
      <c r="M344" s="91"/>
    </row>
    <row r="345" spans="1:13" x14ac:dyDescent="0.3">
      <c r="A345" s="88"/>
      <c r="B345" s="89"/>
      <c r="C345" s="21"/>
      <c r="D345" s="90"/>
      <c r="E345" s="177"/>
      <c r="F345" s="195"/>
      <c r="G345" s="158"/>
      <c r="H345" s="158"/>
      <c r="I345" s="89"/>
      <c r="J345" s="89"/>
      <c r="K345" s="89"/>
      <c r="L345" s="89"/>
      <c r="M345" s="91"/>
    </row>
    <row r="346" spans="1:13" x14ac:dyDescent="0.3">
      <c r="A346" s="88"/>
      <c r="B346" s="89"/>
      <c r="C346" s="21"/>
      <c r="D346" s="90"/>
      <c r="E346" s="177"/>
      <c r="F346" s="195"/>
      <c r="G346" s="158"/>
      <c r="H346" s="158"/>
      <c r="I346" s="89"/>
      <c r="J346" s="89"/>
      <c r="K346" s="89"/>
      <c r="L346" s="89"/>
      <c r="M346" s="91"/>
    </row>
    <row r="347" spans="1:13" x14ac:dyDescent="0.3">
      <c r="A347" s="88"/>
      <c r="B347" s="89"/>
      <c r="C347" s="21"/>
      <c r="D347" s="90"/>
      <c r="E347" s="177"/>
      <c r="F347" s="195"/>
      <c r="G347" s="158"/>
      <c r="H347" s="158"/>
      <c r="I347" s="89"/>
      <c r="J347" s="89"/>
      <c r="K347" s="89"/>
      <c r="L347" s="89"/>
      <c r="M347" s="91"/>
    </row>
    <row r="348" spans="1:13" x14ac:dyDescent="0.3">
      <c r="A348" s="88"/>
      <c r="B348" s="89"/>
      <c r="C348" s="21"/>
      <c r="D348" s="90"/>
      <c r="E348" s="177"/>
      <c r="F348" s="195"/>
      <c r="G348" s="158"/>
      <c r="H348" s="158"/>
      <c r="I348" s="89"/>
      <c r="J348" s="89"/>
      <c r="K348" s="89"/>
      <c r="L348" s="89"/>
      <c r="M348" s="91"/>
    </row>
    <row r="349" spans="1:13" x14ac:dyDescent="0.3">
      <c r="A349" s="88"/>
      <c r="B349" s="89"/>
      <c r="C349" s="21"/>
      <c r="D349" s="90"/>
      <c r="E349" s="177"/>
      <c r="F349" s="195"/>
      <c r="G349" s="158"/>
      <c r="H349" s="158"/>
      <c r="I349" s="89"/>
      <c r="J349" s="89"/>
      <c r="K349" s="89"/>
      <c r="L349" s="89"/>
      <c r="M349" s="91"/>
    </row>
    <row r="350" spans="1:13" x14ac:dyDescent="0.3">
      <c r="A350" s="88"/>
      <c r="B350" s="89"/>
      <c r="C350" s="21"/>
      <c r="D350" s="90"/>
      <c r="E350" s="177"/>
      <c r="F350" s="195"/>
      <c r="G350" s="158"/>
      <c r="H350" s="158"/>
      <c r="I350" s="89"/>
      <c r="J350" s="89"/>
      <c r="K350" s="89"/>
      <c r="L350" s="89"/>
      <c r="M350" s="91"/>
    </row>
    <row r="351" spans="1:13" x14ac:dyDescent="0.3">
      <c r="A351" s="88"/>
      <c r="B351" s="89"/>
      <c r="C351" s="21"/>
      <c r="D351" s="90"/>
      <c r="E351" s="177"/>
      <c r="F351" s="195"/>
      <c r="G351" s="158"/>
      <c r="H351" s="158"/>
      <c r="I351" s="89"/>
      <c r="J351" s="89"/>
      <c r="K351" s="89"/>
      <c r="L351" s="89"/>
      <c r="M351" s="91"/>
    </row>
    <row r="352" spans="1:13" x14ac:dyDescent="0.3">
      <c r="A352" s="88"/>
      <c r="B352" s="89"/>
      <c r="C352" s="21"/>
      <c r="D352" s="90"/>
      <c r="E352" s="177"/>
      <c r="F352" s="195"/>
      <c r="G352" s="158"/>
      <c r="H352" s="158"/>
      <c r="I352" s="89"/>
      <c r="J352" s="89"/>
      <c r="K352" s="89"/>
      <c r="L352" s="89"/>
      <c r="M352" s="91"/>
    </row>
    <row r="353" spans="1:13" x14ac:dyDescent="0.3">
      <c r="A353" s="88"/>
      <c r="B353" s="89"/>
      <c r="C353" s="21"/>
      <c r="D353" s="90"/>
      <c r="E353" s="177"/>
      <c r="F353" s="195"/>
      <c r="G353" s="158"/>
      <c r="H353" s="158"/>
      <c r="I353" s="89"/>
      <c r="J353" s="89"/>
      <c r="K353" s="89"/>
      <c r="L353" s="89"/>
      <c r="M353" s="91"/>
    </row>
    <row r="354" spans="1:13" x14ac:dyDescent="0.3">
      <c r="A354" s="88"/>
      <c r="B354" s="89"/>
      <c r="C354" s="21"/>
      <c r="D354" s="90"/>
      <c r="E354" s="177"/>
      <c r="F354" s="195"/>
      <c r="G354" s="158"/>
      <c r="H354" s="158"/>
      <c r="I354" s="89"/>
      <c r="J354" s="89"/>
      <c r="K354" s="89"/>
      <c r="L354" s="89"/>
      <c r="M354" s="91"/>
    </row>
    <row r="355" spans="1:13" x14ac:dyDescent="0.3">
      <c r="A355" s="88"/>
      <c r="B355" s="89"/>
      <c r="C355" s="21"/>
      <c r="D355" s="90"/>
      <c r="E355" s="177"/>
      <c r="F355" s="195"/>
      <c r="G355" s="158"/>
      <c r="H355" s="158"/>
      <c r="I355" s="89"/>
      <c r="J355" s="89"/>
      <c r="K355" s="89"/>
      <c r="L355" s="89"/>
      <c r="M355" s="91"/>
    </row>
    <row r="356" spans="1:13" x14ac:dyDescent="0.3">
      <c r="A356" s="88"/>
      <c r="B356" s="89"/>
      <c r="C356" s="21"/>
      <c r="D356" s="90"/>
      <c r="E356" s="177"/>
      <c r="F356" s="195"/>
      <c r="G356" s="158"/>
      <c r="H356" s="158"/>
      <c r="I356" s="89"/>
      <c r="J356" s="89"/>
      <c r="K356" s="89"/>
      <c r="L356" s="89"/>
      <c r="M356" s="91"/>
    </row>
    <row r="357" spans="1:13" x14ac:dyDescent="0.3">
      <c r="A357" s="88"/>
      <c r="B357" s="89"/>
      <c r="C357" s="21"/>
      <c r="D357" s="90"/>
      <c r="E357" s="177"/>
      <c r="F357" s="195"/>
      <c r="G357" s="158"/>
      <c r="H357" s="158"/>
      <c r="I357" s="89"/>
      <c r="J357" s="89"/>
      <c r="K357" s="89"/>
      <c r="L357" s="89"/>
      <c r="M357" s="91"/>
    </row>
    <row r="358" spans="1:13" x14ac:dyDescent="0.3">
      <c r="A358" s="88"/>
      <c r="B358" s="89"/>
      <c r="C358" s="21"/>
      <c r="D358" s="90"/>
      <c r="E358" s="177"/>
      <c r="F358" s="195"/>
      <c r="G358" s="158"/>
      <c r="H358" s="158"/>
      <c r="I358" s="89"/>
      <c r="J358" s="89"/>
      <c r="K358" s="89"/>
      <c r="L358" s="89"/>
      <c r="M358" s="91"/>
    </row>
    <row r="359" spans="1:13" x14ac:dyDescent="0.3">
      <c r="A359" s="88"/>
      <c r="B359" s="89"/>
      <c r="C359" s="21"/>
      <c r="D359" s="90"/>
      <c r="E359" s="177"/>
      <c r="F359" s="195"/>
      <c r="G359" s="158"/>
      <c r="H359" s="158"/>
      <c r="I359" s="89"/>
      <c r="J359" s="89"/>
      <c r="K359" s="89"/>
      <c r="L359" s="89"/>
      <c r="M359" s="91"/>
    </row>
    <row r="360" spans="1:13" x14ac:dyDescent="0.3">
      <c r="A360" s="88"/>
      <c r="B360" s="89"/>
      <c r="C360" s="21"/>
      <c r="D360" s="90"/>
      <c r="E360" s="177"/>
      <c r="F360" s="195"/>
      <c r="G360" s="158"/>
      <c r="H360" s="158"/>
      <c r="I360" s="89"/>
      <c r="J360" s="89"/>
      <c r="K360" s="89"/>
      <c r="L360" s="89"/>
      <c r="M360" s="91"/>
    </row>
    <row r="361" spans="1:13" x14ac:dyDescent="0.3">
      <c r="A361" s="88"/>
      <c r="B361" s="89"/>
      <c r="C361" s="21"/>
      <c r="D361" s="90"/>
      <c r="E361" s="177"/>
      <c r="F361" s="195"/>
      <c r="G361" s="158"/>
      <c r="H361" s="158"/>
      <c r="I361" s="89"/>
      <c r="J361" s="89"/>
      <c r="K361" s="89"/>
      <c r="L361" s="89"/>
      <c r="M361" s="91"/>
    </row>
    <row r="362" spans="1:13" x14ac:dyDescent="0.3">
      <c r="A362" s="88"/>
      <c r="B362" s="89"/>
      <c r="C362" s="21"/>
      <c r="D362" s="90"/>
      <c r="E362" s="177"/>
      <c r="F362" s="195"/>
      <c r="G362" s="158"/>
      <c r="H362" s="158"/>
      <c r="I362" s="89"/>
      <c r="J362" s="89"/>
      <c r="K362" s="89"/>
      <c r="L362" s="89"/>
      <c r="M362" s="91"/>
    </row>
    <row r="363" spans="1:13" x14ac:dyDescent="0.3">
      <c r="A363" s="88"/>
      <c r="B363" s="89"/>
      <c r="C363" s="21"/>
      <c r="D363" s="90"/>
      <c r="E363" s="177"/>
      <c r="F363" s="195"/>
      <c r="G363" s="158"/>
      <c r="H363" s="158"/>
      <c r="I363" s="89"/>
      <c r="J363" s="89"/>
      <c r="K363" s="89"/>
      <c r="L363" s="89"/>
      <c r="M363" s="91"/>
    </row>
    <row r="364" spans="1:13" x14ac:dyDescent="0.3">
      <c r="A364" s="88"/>
      <c r="B364" s="89"/>
      <c r="C364" s="21"/>
      <c r="D364" s="90"/>
      <c r="E364" s="177"/>
      <c r="F364" s="195"/>
      <c r="G364" s="158"/>
      <c r="H364" s="158"/>
      <c r="I364" s="89"/>
      <c r="J364" s="89"/>
      <c r="K364" s="89"/>
      <c r="L364" s="89"/>
      <c r="M364" s="91"/>
    </row>
    <row r="365" spans="1:13" x14ac:dyDescent="0.3">
      <c r="A365" s="88"/>
      <c r="B365" s="89"/>
      <c r="C365" s="21"/>
      <c r="D365" s="90"/>
      <c r="E365" s="177"/>
      <c r="F365" s="195"/>
      <c r="G365" s="158"/>
      <c r="H365" s="158"/>
      <c r="I365" s="89"/>
      <c r="J365" s="89"/>
      <c r="K365" s="89"/>
      <c r="L365" s="89"/>
      <c r="M365" s="91"/>
    </row>
    <row r="366" spans="1:13" x14ac:dyDescent="0.3">
      <c r="A366" s="88"/>
      <c r="B366" s="89"/>
      <c r="C366" s="21"/>
      <c r="D366" s="90"/>
      <c r="E366" s="177"/>
      <c r="F366" s="195"/>
      <c r="G366" s="158"/>
      <c r="H366" s="158"/>
      <c r="I366" s="89"/>
      <c r="J366" s="89"/>
      <c r="K366" s="89"/>
      <c r="L366" s="89"/>
      <c r="M366" s="91"/>
    </row>
    <row r="367" spans="1:13" x14ac:dyDescent="0.3">
      <c r="A367" s="88"/>
      <c r="B367" s="89"/>
      <c r="C367" s="21"/>
      <c r="D367" s="90"/>
      <c r="E367" s="177"/>
      <c r="F367" s="195"/>
      <c r="G367" s="158"/>
      <c r="H367" s="158"/>
      <c r="I367" s="89"/>
      <c r="J367" s="89"/>
      <c r="K367" s="89"/>
      <c r="L367" s="89"/>
      <c r="M367" s="91"/>
    </row>
    <row r="368" spans="1:13" x14ac:dyDescent="0.3">
      <c r="A368" s="88"/>
      <c r="B368" s="89"/>
      <c r="C368" s="21"/>
      <c r="D368" s="90"/>
      <c r="E368" s="177"/>
      <c r="F368" s="195"/>
      <c r="G368" s="158"/>
      <c r="H368" s="158"/>
      <c r="I368" s="89"/>
      <c r="J368" s="89"/>
      <c r="K368" s="89"/>
      <c r="L368" s="89"/>
      <c r="M368" s="91"/>
    </row>
    <row r="369" spans="1:13" x14ac:dyDescent="0.3">
      <c r="A369" s="88"/>
      <c r="B369" s="89"/>
      <c r="C369" s="21"/>
      <c r="D369" s="90"/>
      <c r="E369" s="177"/>
      <c r="F369" s="195"/>
      <c r="G369" s="158"/>
      <c r="H369" s="158"/>
      <c r="I369" s="89"/>
      <c r="J369" s="89"/>
      <c r="K369" s="89"/>
      <c r="L369" s="89"/>
      <c r="M369" s="91"/>
    </row>
    <row r="370" spans="1:13" x14ac:dyDescent="0.3">
      <c r="A370" s="88"/>
      <c r="B370" s="89"/>
      <c r="C370" s="21"/>
      <c r="D370" s="90"/>
      <c r="E370" s="177"/>
      <c r="F370" s="195"/>
      <c r="G370" s="158"/>
      <c r="H370" s="158"/>
      <c r="I370" s="89"/>
      <c r="J370" s="89"/>
      <c r="K370" s="89"/>
      <c r="L370" s="89"/>
      <c r="M370" s="91"/>
    </row>
    <row r="371" spans="1:13" x14ac:dyDescent="0.3">
      <c r="A371" s="88"/>
      <c r="B371" s="89"/>
      <c r="C371" s="21"/>
      <c r="D371" s="90"/>
      <c r="E371" s="177"/>
      <c r="F371" s="195"/>
      <c r="G371" s="158"/>
      <c r="H371" s="158"/>
      <c r="I371" s="89"/>
      <c r="J371" s="89"/>
      <c r="K371" s="89"/>
      <c r="L371" s="89"/>
      <c r="M371" s="91"/>
    </row>
    <row r="372" spans="1:13" x14ac:dyDescent="0.3">
      <c r="A372" s="88"/>
      <c r="B372" s="89"/>
      <c r="C372" s="21"/>
      <c r="D372" s="90"/>
      <c r="E372" s="177"/>
      <c r="F372" s="195"/>
      <c r="G372" s="158"/>
      <c r="H372" s="158"/>
      <c r="I372" s="89"/>
      <c r="J372" s="89"/>
      <c r="K372" s="89"/>
      <c r="L372" s="89"/>
      <c r="M372" s="91"/>
    </row>
    <row r="373" spans="1:13" x14ac:dyDescent="0.3">
      <c r="A373" s="88"/>
      <c r="B373" s="89"/>
      <c r="C373" s="21"/>
      <c r="D373" s="90"/>
      <c r="E373" s="177"/>
      <c r="F373" s="195"/>
      <c r="G373" s="158"/>
      <c r="H373" s="158"/>
      <c r="I373" s="89"/>
      <c r="J373" s="89"/>
      <c r="K373" s="89"/>
      <c r="L373" s="89"/>
      <c r="M373" s="91"/>
    </row>
    <row r="374" spans="1:13" x14ac:dyDescent="0.3">
      <c r="A374" s="88"/>
      <c r="B374" s="89"/>
      <c r="C374" s="21"/>
      <c r="D374" s="90"/>
      <c r="E374" s="177"/>
      <c r="F374" s="195"/>
      <c r="G374" s="158"/>
      <c r="H374" s="158"/>
      <c r="I374" s="89"/>
      <c r="J374" s="89"/>
      <c r="K374" s="89"/>
      <c r="L374" s="89"/>
      <c r="M374" s="91"/>
    </row>
    <row r="375" spans="1:13" x14ac:dyDescent="0.3">
      <c r="A375" s="88"/>
      <c r="B375" s="89"/>
      <c r="C375" s="21"/>
      <c r="D375" s="90"/>
      <c r="E375" s="177"/>
      <c r="F375" s="195"/>
      <c r="G375" s="158"/>
      <c r="H375" s="158"/>
      <c r="I375" s="89"/>
      <c r="J375" s="89"/>
      <c r="K375" s="89"/>
      <c r="L375" s="89"/>
      <c r="M375" s="91"/>
    </row>
    <row r="376" spans="1:13" x14ac:dyDescent="0.3">
      <c r="A376" s="88"/>
      <c r="B376" s="89"/>
      <c r="C376" s="21"/>
      <c r="D376" s="90"/>
      <c r="E376" s="177"/>
      <c r="F376" s="195"/>
      <c r="G376" s="158"/>
      <c r="H376" s="158"/>
      <c r="I376" s="89"/>
      <c r="J376" s="89"/>
      <c r="K376" s="89"/>
      <c r="L376" s="89"/>
      <c r="M376" s="91"/>
    </row>
    <row r="377" spans="1:13" x14ac:dyDescent="0.3">
      <c r="A377" s="88"/>
      <c r="B377" s="89"/>
      <c r="C377" s="21"/>
      <c r="D377" s="90"/>
      <c r="E377" s="177"/>
      <c r="F377" s="195"/>
      <c r="G377" s="158"/>
      <c r="H377" s="158"/>
      <c r="I377" s="89"/>
      <c r="J377" s="89"/>
      <c r="K377" s="89"/>
      <c r="L377" s="89"/>
      <c r="M377" s="91"/>
    </row>
    <row r="378" spans="1:13" x14ac:dyDescent="0.3">
      <c r="A378" s="88"/>
      <c r="B378" s="89"/>
      <c r="C378" s="21"/>
      <c r="D378" s="90"/>
      <c r="E378" s="177"/>
      <c r="F378" s="195"/>
      <c r="G378" s="158"/>
      <c r="H378" s="158"/>
      <c r="I378" s="89"/>
      <c r="J378" s="89"/>
      <c r="K378" s="89"/>
      <c r="L378" s="89"/>
      <c r="M378" s="91"/>
    </row>
    <row r="379" spans="1:13" x14ac:dyDescent="0.3">
      <c r="A379" s="88"/>
      <c r="B379" s="89"/>
      <c r="C379" s="21"/>
      <c r="D379" s="90"/>
      <c r="E379" s="177"/>
      <c r="F379" s="195"/>
      <c r="G379" s="158"/>
      <c r="H379" s="158"/>
      <c r="I379" s="89"/>
      <c r="J379" s="89"/>
      <c r="K379" s="89"/>
      <c r="L379" s="89"/>
      <c r="M379" s="91"/>
    </row>
    <row r="380" spans="1:13" x14ac:dyDescent="0.3">
      <c r="A380" s="88"/>
      <c r="B380" s="89"/>
      <c r="C380" s="21"/>
      <c r="D380" s="90"/>
      <c r="E380" s="177"/>
      <c r="F380" s="195"/>
      <c r="G380" s="158"/>
      <c r="H380" s="158"/>
      <c r="I380" s="89"/>
      <c r="J380" s="89"/>
      <c r="K380" s="89"/>
      <c r="L380" s="89"/>
      <c r="M380" s="91"/>
    </row>
    <row r="381" spans="1:13" x14ac:dyDescent="0.3">
      <c r="A381" s="88"/>
      <c r="B381" s="89"/>
      <c r="C381" s="21"/>
      <c r="D381" s="90"/>
      <c r="E381" s="177"/>
      <c r="F381" s="195"/>
      <c r="G381" s="158"/>
      <c r="H381" s="158"/>
      <c r="I381" s="89"/>
      <c r="J381" s="89"/>
      <c r="K381" s="89"/>
      <c r="L381" s="89"/>
      <c r="M381" s="91"/>
    </row>
    <row r="382" spans="1:13" x14ac:dyDescent="0.3">
      <c r="A382" s="88"/>
      <c r="B382" s="89"/>
      <c r="C382" s="21"/>
      <c r="D382" s="90"/>
      <c r="E382" s="177"/>
      <c r="F382" s="195"/>
      <c r="G382" s="158"/>
      <c r="H382" s="158"/>
      <c r="I382" s="89"/>
      <c r="J382" s="89"/>
      <c r="K382" s="89"/>
      <c r="L382" s="89"/>
      <c r="M382" s="91"/>
    </row>
    <row r="383" spans="1:13" x14ac:dyDescent="0.3">
      <c r="A383" s="88"/>
      <c r="B383" s="89"/>
      <c r="C383" s="21"/>
      <c r="D383" s="90"/>
      <c r="E383" s="177"/>
      <c r="F383" s="195"/>
      <c r="G383" s="158"/>
      <c r="H383" s="158"/>
      <c r="I383" s="89"/>
      <c r="J383" s="89"/>
      <c r="K383" s="89"/>
      <c r="L383" s="89"/>
      <c r="M383" s="91"/>
    </row>
    <row r="384" spans="1:13" x14ac:dyDescent="0.3">
      <c r="A384" s="88"/>
      <c r="B384" s="89"/>
      <c r="C384" s="21"/>
      <c r="D384" s="90"/>
      <c r="E384" s="177"/>
      <c r="F384" s="195"/>
      <c r="G384" s="158"/>
      <c r="H384" s="158"/>
      <c r="I384" s="89"/>
      <c r="J384" s="89"/>
      <c r="K384" s="89"/>
      <c r="L384" s="89"/>
      <c r="M384" s="91"/>
    </row>
    <row r="385" spans="1:13" x14ac:dyDescent="0.3">
      <c r="A385" s="88"/>
      <c r="B385" s="89"/>
      <c r="C385" s="21"/>
      <c r="D385" s="90"/>
      <c r="E385" s="177"/>
      <c r="F385" s="195"/>
      <c r="G385" s="158"/>
      <c r="H385" s="158"/>
      <c r="I385" s="89"/>
      <c r="J385" s="89"/>
      <c r="K385" s="89"/>
      <c r="L385" s="89"/>
      <c r="M385" s="91"/>
    </row>
    <row r="386" spans="1:13" x14ac:dyDescent="0.3">
      <c r="A386" s="88"/>
      <c r="B386" s="89"/>
      <c r="C386" s="21"/>
      <c r="D386" s="90"/>
      <c r="E386" s="177"/>
      <c r="F386" s="195"/>
      <c r="G386" s="158"/>
      <c r="H386" s="158"/>
      <c r="I386" s="89"/>
      <c r="J386" s="89"/>
      <c r="K386" s="89"/>
      <c r="L386" s="89"/>
      <c r="M386" s="91"/>
    </row>
    <row r="387" spans="1:13" x14ac:dyDescent="0.3">
      <c r="A387" s="88"/>
      <c r="B387" s="89"/>
      <c r="C387" s="21"/>
      <c r="D387" s="90"/>
      <c r="E387" s="177"/>
      <c r="F387" s="195"/>
      <c r="G387" s="158"/>
      <c r="H387" s="158"/>
      <c r="I387" s="89"/>
      <c r="J387" s="89"/>
      <c r="K387" s="89"/>
      <c r="L387" s="89"/>
      <c r="M387" s="91"/>
    </row>
    <row r="388" spans="1:13" x14ac:dyDescent="0.3">
      <c r="A388" s="88"/>
      <c r="B388" s="89"/>
      <c r="C388" s="21"/>
      <c r="D388" s="90"/>
      <c r="E388" s="177"/>
      <c r="F388" s="195"/>
      <c r="G388" s="158"/>
      <c r="H388" s="158"/>
      <c r="I388" s="89"/>
      <c r="J388" s="89"/>
      <c r="K388" s="89"/>
      <c r="L388" s="89"/>
      <c r="M388" s="91"/>
    </row>
    <row r="389" spans="1:13" x14ac:dyDescent="0.3">
      <c r="A389" s="88"/>
      <c r="B389" s="89"/>
      <c r="C389" s="21"/>
      <c r="D389" s="90"/>
      <c r="E389" s="177"/>
      <c r="F389" s="195"/>
      <c r="G389" s="158"/>
      <c r="H389" s="158"/>
      <c r="I389" s="89"/>
      <c r="J389" s="89"/>
      <c r="K389" s="89"/>
      <c r="L389" s="89"/>
      <c r="M389" s="91"/>
    </row>
    <row r="390" spans="1:13" x14ac:dyDescent="0.3">
      <c r="A390" s="88"/>
      <c r="B390" s="89"/>
      <c r="C390" s="21"/>
      <c r="D390" s="90"/>
      <c r="E390" s="177"/>
      <c r="F390" s="195"/>
      <c r="G390" s="158"/>
      <c r="H390" s="158"/>
      <c r="I390" s="89"/>
      <c r="J390" s="89"/>
      <c r="K390" s="89"/>
      <c r="L390" s="89"/>
      <c r="M390" s="91"/>
    </row>
    <row r="391" spans="1:13" x14ac:dyDescent="0.3">
      <c r="A391" s="88"/>
      <c r="B391" s="89"/>
      <c r="C391" s="21"/>
      <c r="D391" s="90"/>
      <c r="E391" s="177"/>
      <c r="F391" s="195"/>
      <c r="G391" s="158"/>
      <c r="H391" s="158"/>
      <c r="I391" s="89"/>
      <c r="J391" s="89"/>
      <c r="K391" s="89"/>
      <c r="L391" s="89"/>
      <c r="M391" s="91"/>
    </row>
    <row r="392" spans="1:13" x14ac:dyDescent="0.3">
      <c r="A392" s="88"/>
      <c r="B392" s="89"/>
      <c r="C392" s="21"/>
      <c r="D392" s="90"/>
      <c r="E392" s="177"/>
      <c r="F392" s="195"/>
      <c r="G392" s="158"/>
      <c r="H392" s="158"/>
      <c r="I392" s="89"/>
      <c r="J392" s="89"/>
      <c r="K392" s="89"/>
      <c r="L392" s="89"/>
      <c r="M392" s="91"/>
    </row>
    <row r="393" spans="1:13" x14ac:dyDescent="0.3">
      <c r="A393" s="88"/>
      <c r="B393" s="89"/>
      <c r="C393" s="21"/>
      <c r="D393" s="90"/>
      <c r="E393" s="177"/>
      <c r="F393" s="195"/>
      <c r="G393" s="158"/>
      <c r="H393" s="158"/>
      <c r="I393" s="89"/>
      <c r="J393" s="89"/>
      <c r="K393" s="89"/>
      <c r="L393" s="89"/>
      <c r="M393" s="91"/>
    </row>
    <row r="394" spans="1:13" x14ac:dyDescent="0.3">
      <c r="A394" s="88"/>
      <c r="B394" s="89"/>
      <c r="C394" s="21"/>
      <c r="D394" s="90"/>
      <c r="E394" s="177"/>
      <c r="F394" s="195"/>
      <c r="G394" s="158"/>
      <c r="H394" s="158"/>
      <c r="I394" s="89"/>
      <c r="J394" s="89"/>
      <c r="K394" s="89"/>
      <c r="L394" s="89"/>
      <c r="M394" s="91"/>
    </row>
    <row r="395" spans="1:13" x14ac:dyDescent="0.3">
      <c r="A395" s="88"/>
      <c r="B395" s="89"/>
      <c r="C395" s="21"/>
      <c r="D395" s="90"/>
      <c r="E395" s="177"/>
      <c r="F395" s="195"/>
      <c r="G395" s="158"/>
      <c r="H395" s="158"/>
      <c r="I395" s="89"/>
      <c r="J395" s="89"/>
      <c r="K395" s="89"/>
      <c r="L395" s="89"/>
      <c r="M395" s="91"/>
    </row>
    <row r="396" spans="1:13" x14ac:dyDescent="0.3">
      <c r="A396" s="88"/>
      <c r="B396" s="89"/>
      <c r="C396" s="21"/>
      <c r="D396" s="90"/>
      <c r="E396" s="177"/>
      <c r="F396" s="195"/>
      <c r="G396" s="158"/>
      <c r="H396" s="158"/>
      <c r="I396" s="89"/>
      <c r="J396" s="89"/>
      <c r="K396" s="89"/>
      <c r="L396" s="89"/>
      <c r="M396" s="91"/>
    </row>
    <row r="397" spans="1:13" x14ac:dyDescent="0.3">
      <c r="A397" s="88"/>
      <c r="B397" s="89"/>
      <c r="C397" s="21"/>
      <c r="D397" s="90"/>
      <c r="E397" s="177"/>
      <c r="F397" s="195"/>
      <c r="G397" s="158"/>
      <c r="H397" s="158"/>
      <c r="I397" s="89"/>
      <c r="J397" s="89"/>
      <c r="K397" s="89"/>
      <c r="L397" s="89"/>
      <c r="M397" s="91"/>
    </row>
    <row r="398" spans="1:13" x14ac:dyDescent="0.3">
      <c r="A398" s="88"/>
      <c r="B398" s="89"/>
      <c r="C398" s="21"/>
      <c r="D398" s="90"/>
      <c r="E398" s="177"/>
      <c r="F398" s="195"/>
      <c r="G398" s="158"/>
      <c r="H398" s="158"/>
      <c r="I398" s="89"/>
      <c r="J398" s="89"/>
      <c r="K398" s="89"/>
      <c r="L398" s="89"/>
      <c r="M398" s="91"/>
    </row>
    <row r="399" spans="1:13" x14ac:dyDescent="0.3">
      <c r="A399" s="88"/>
      <c r="B399" s="89"/>
      <c r="C399" s="21"/>
      <c r="D399" s="90"/>
      <c r="E399" s="177"/>
      <c r="F399" s="195"/>
      <c r="G399" s="158"/>
      <c r="H399" s="158"/>
      <c r="I399" s="89"/>
      <c r="J399" s="89"/>
      <c r="K399" s="89"/>
      <c r="L399" s="89"/>
      <c r="M399" s="91"/>
    </row>
    <row r="400" spans="1:13" x14ac:dyDescent="0.3">
      <c r="A400" s="88"/>
      <c r="B400" s="89"/>
      <c r="C400" s="21"/>
      <c r="D400" s="90"/>
      <c r="E400" s="177"/>
      <c r="F400" s="195"/>
      <c r="G400" s="158"/>
      <c r="H400" s="158"/>
      <c r="I400" s="89"/>
      <c r="J400" s="89"/>
      <c r="K400" s="89"/>
      <c r="L400" s="89"/>
      <c r="M400" s="91"/>
    </row>
    <row r="401" spans="1:13" x14ac:dyDescent="0.3">
      <c r="A401" s="88"/>
      <c r="B401" s="89"/>
      <c r="C401" s="21"/>
      <c r="D401" s="90"/>
      <c r="E401" s="177"/>
      <c r="F401" s="195"/>
      <c r="G401" s="158"/>
      <c r="H401" s="158"/>
      <c r="I401" s="89"/>
      <c r="J401" s="89"/>
      <c r="K401" s="89"/>
      <c r="L401" s="89"/>
      <c r="M401" s="91"/>
    </row>
    <row r="402" spans="1:13" x14ac:dyDescent="0.3">
      <c r="A402" s="88"/>
      <c r="B402" s="89"/>
      <c r="C402" s="21"/>
      <c r="D402" s="90"/>
      <c r="E402" s="177"/>
      <c r="F402" s="195"/>
      <c r="G402" s="158"/>
      <c r="H402" s="158"/>
      <c r="I402" s="89"/>
      <c r="J402" s="89"/>
      <c r="K402" s="89"/>
      <c r="L402" s="89"/>
      <c r="M402" s="91"/>
    </row>
    <row r="403" spans="1:13" x14ac:dyDescent="0.3">
      <c r="A403" s="88"/>
      <c r="B403" s="89"/>
      <c r="C403" s="21"/>
      <c r="D403" s="90"/>
      <c r="E403" s="177"/>
      <c r="F403" s="195"/>
      <c r="G403" s="158"/>
      <c r="H403" s="158"/>
      <c r="I403" s="89"/>
      <c r="J403" s="89"/>
      <c r="K403" s="89"/>
      <c r="L403" s="89"/>
      <c r="M403" s="91"/>
    </row>
    <row r="404" spans="1:13" x14ac:dyDescent="0.3">
      <c r="A404" s="88"/>
      <c r="B404" s="89"/>
      <c r="C404" s="21"/>
      <c r="D404" s="90"/>
      <c r="E404" s="177"/>
      <c r="F404" s="195"/>
      <c r="G404" s="158"/>
      <c r="H404" s="158"/>
      <c r="I404" s="89"/>
      <c r="J404" s="89"/>
      <c r="K404" s="89"/>
      <c r="L404" s="89"/>
      <c r="M404" s="91"/>
    </row>
    <row r="405" spans="1:13" x14ac:dyDescent="0.3">
      <c r="A405" s="88"/>
      <c r="B405" s="89"/>
      <c r="C405" s="21"/>
      <c r="D405" s="90"/>
      <c r="E405" s="177"/>
      <c r="F405" s="195"/>
      <c r="G405" s="158"/>
      <c r="H405" s="158"/>
      <c r="I405" s="89"/>
      <c r="J405" s="89"/>
      <c r="K405" s="89"/>
      <c r="L405" s="89"/>
      <c r="M405" s="91"/>
    </row>
    <row r="406" spans="1:13" x14ac:dyDescent="0.3">
      <c r="A406" s="88"/>
      <c r="B406" s="89"/>
      <c r="C406" s="21"/>
      <c r="D406" s="90"/>
      <c r="E406" s="177"/>
      <c r="F406" s="195"/>
      <c r="G406" s="158"/>
      <c r="H406" s="158"/>
      <c r="I406" s="89"/>
      <c r="J406" s="89"/>
      <c r="K406" s="89"/>
      <c r="L406" s="89"/>
      <c r="M406" s="91"/>
    </row>
    <row r="407" spans="1:13" x14ac:dyDescent="0.3">
      <c r="A407" s="88"/>
      <c r="B407" s="89"/>
      <c r="C407" s="21"/>
      <c r="D407" s="90"/>
      <c r="E407" s="177"/>
      <c r="F407" s="195"/>
      <c r="G407" s="158"/>
      <c r="H407" s="158"/>
      <c r="I407" s="89"/>
      <c r="J407" s="89"/>
      <c r="K407" s="89"/>
      <c r="L407" s="89"/>
      <c r="M407" s="91"/>
    </row>
    <row r="408" spans="1:13" x14ac:dyDescent="0.3">
      <c r="A408" s="88"/>
      <c r="B408" s="89"/>
      <c r="C408" s="21"/>
      <c r="D408" s="90"/>
      <c r="E408" s="177"/>
      <c r="F408" s="195"/>
      <c r="G408" s="158"/>
      <c r="H408" s="158"/>
      <c r="I408" s="89"/>
      <c r="J408" s="89"/>
      <c r="K408" s="89"/>
      <c r="L408" s="89"/>
      <c r="M408" s="91"/>
    </row>
    <row r="409" spans="1:13" x14ac:dyDescent="0.3">
      <c r="A409" s="88"/>
      <c r="B409" s="89"/>
      <c r="C409" s="21"/>
      <c r="D409" s="90"/>
      <c r="E409" s="177"/>
      <c r="F409" s="195"/>
      <c r="G409" s="158"/>
      <c r="H409" s="158"/>
      <c r="I409" s="89"/>
      <c r="J409" s="89"/>
      <c r="K409" s="89"/>
      <c r="L409" s="89"/>
      <c r="M409" s="91"/>
    </row>
    <row r="410" spans="1:13" x14ac:dyDescent="0.3">
      <c r="A410" s="88"/>
      <c r="B410" s="89"/>
      <c r="C410" s="21"/>
      <c r="D410" s="90"/>
      <c r="E410" s="177"/>
      <c r="F410" s="195"/>
      <c r="G410" s="158"/>
      <c r="H410" s="158"/>
      <c r="I410" s="89"/>
      <c r="J410" s="89"/>
      <c r="K410" s="89"/>
      <c r="L410" s="89"/>
      <c r="M410" s="91"/>
    </row>
    <row r="411" spans="1:13" x14ac:dyDescent="0.3">
      <c r="A411" s="88"/>
      <c r="B411" s="89"/>
      <c r="C411" s="21"/>
      <c r="D411" s="90"/>
      <c r="E411" s="177"/>
      <c r="F411" s="195"/>
      <c r="G411" s="158"/>
      <c r="H411" s="158"/>
      <c r="I411" s="89"/>
      <c r="J411" s="89"/>
      <c r="K411" s="89"/>
      <c r="L411" s="89"/>
      <c r="M411" s="91"/>
    </row>
    <row r="412" spans="1:13" x14ac:dyDescent="0.3">
      <c r="A412" s="88"/>
      <c r="B412" s="89"/>
      <c r="C412" s="21"/>
      <c r="D412" s="90"/>
      <c r="E412" s="177"/>
      <c r="F412" s="195"/>
      <c r="G412" s="158"/>
      <c r="H412" s="158"/>
      <c r="I412" s="89"/>
      <c r="J412" s="89"/>
      <c r="K412" s="89"/>
      <c r="L412" s="89"/>
      <c r="M412" s="91"/>
    </row>
    <row r="413" spans="1:13" x14ac:dyDescent="0.3">
      <c r="A413" s="88"/>
      <c r="B413" s="89"/>
      <c r="C413" s="21"/>
      <c r="D413" s="90"/>
      <c r="E413" s="177"/>
      <c r="F413" s="195"/>
      <c r="G413" s="158"/>
      <c r="H413" s="158"/>
      <c r="I413" s="89"/>
      <c r="J413" s="89"/>
      <c r="K413" s="89"/>
      <c r="L413" s="89"/>
      <c r="M413" s="91"/>
    </row>
    <row r="414" spans="1:13" x14ac:dyDescent="0.3">
      <c r="A414" s="88"/>
      <c r="B414" s="89"/>
      <c r="C414" s="21"/>
      <c r="D414" s="90"/>
      <c r="E414" s="177"/>
      <c r="F414" s="195"/>
      <c r="G414" s="158"/>
      <c r="H414" s="158"/>
      <c r="I414" s="89"/>
      <c r="J414" s="89"/>
      <c r="K414" s="89"/>
      <c r="L414" s="89"/>
      <c r="M414" s="91"/>
    </row>
    <row r="415" spans="1:13" x14ac:dyDescent="0.3">
      <c r="A415" s="88"/>
      <c r="B415" s="89"/>
      <c r="C415" s="21"/>
      <c r="D415" s="90"/>
      <c r="E415" s="177"/>
      <c r="F415" s="195"/>
      <c r="G415" s="158"/>
      <c r="H415" s="158"/>
      <c r="I415" s="89"/>
      <c r="J415" s="89"/>
      <c r="K415" s="89"/>
      <c r="L415" s="89"/>
      <c r="M415" s="91"/>
    </row>
    <row r="416" spans="1:13" x14ac:dyDescent="0.3">
      <c r="A416" s="88"/>
      <c r="B416" s="89"/>
      <c r="C416" s="21"/>
      <c r="D416" s="90"/>
      <c r="E416" s="177"/>
      <c r="F416" s="195"/>
      <c r="G416" s="158"/>
      <c r="H416" s="158"/>
      <c r="I416" s="89"/>
      <c r="J416" s="89"/>
      <c r="K416" s="89"/>
      <c r="L416" s="89"/>
      <c r="M416" s="91"/>
    </row>
    <row r="417" spans="1:13" x14ac:dyDescent="0.3">
      <c r="A417" s="88"/>
      <c r="B417" s="89"/>
      <c r="C417" s="21"/>
      <c r="D417" s="90"/>
      <c r="E417" s="177"/>
      <c r="F417" s="195"/>
      <c r="G417" s="158"/>
      <c r="H417" s="158"/>
      <c r="I417" s="89"/>
      <c r="J417" s="89"/>
      <c r="K417" s="89"/>
      <c r="L417" s="89"/>
      <c r="M417" s="91"/>
    </row>
    <row r="418" spans="1:13" x14ac:dyDescent="0.3">
      <c r="A418" s="88"/>
      <c r="B418" s="89"/>
      <c r="C418" s="21"/>
      <c r="D418" s="90"/>
      <c r="E418" s="177"/>
      <c r="F418" s="195"/>
      <c r="G418" s="158"/>
      <c r="H418" s="158"/>
      <c r="I418" s="89"/>
      <c r="J418" s="89"/>
      <c r="K418" s="89"/>
      <c r="L418" s="89"/>
      <c r="M418" s="91"/>
    </row>
    <row r="419" spans="1:13" x14ac:dyDescent="0.3">
      <c r="A419" s="88"/>
      <c r="B419" s="89"/>
      <c r="C419" s="21"/>
      <c r="D419" s="90"/>
      <c r="E419" s="177"/>
      <c r="F419" s="195"/>
      <c r="G419" s="158"/>
      <c r="H419" s="158"/>
      <c r="I419" s="89"/>
      <c r="J419" s="89"/>
      <c r="K419" s="89"/>
      <c r="L419" s="89"/>
      <c r="M419" s="91"/>
    </row>
    <row r="420" spans="1:13" x14ac:dyDescent="0.3">
      <c r="A420" s="88"/>
      <c r="B420" s="89"/>
      <c r="C420" s="21"/>
      <c r="D420" s="90"/>
      <c r="E420" s="177"/>
      <c r="F420" s="195"/>
      <c r="G420" s="158"/>
      <c r="H420" s="158"/>
      <c r="I420" s="89"/>
      <c r="J420" s="89"/>
      <c r="K420" s="89"/>
      <c r="L420" s="89"/>
      <c r="M420" s="91"/>
    </row>
    <row r="421" spans="1:13" x14ac:dyDescent="0.3">
      <c r="A421" s="88"/>
      <c r="B421" s="89"/>
      <c r="C421" s="21"/>
      <c r="D421" s="90"/>
      <c r="E421" s="177"/>
      <c r="F421" s="195"/>
      <c r="G421" s="158"/>
      <c r="H421" s="158"/>
      <c r="I421" s="89"/>
      <c r="J421" s="89"/>
      <c r="K421" s="89"/>
      <c r="L421" s="89"/>
      <c r="M421" s="91"/>
    </row>
    <row r="422" spans="1:13" x14ac:dyDescent="0.3">
      <c r="A422" s="88"/>
      <c r="B422" s="89"/>
      <c r="C422" s="21"/>
      <c r="D422" s="90"/>
      <c r="E422" s="177"/>
      <c r="F422" s="195"/>
      <c r="G422" s="158"/>
      <c r="H422" s="158"/>
      <c r="I422" s="89"/>
      <c r="J422" s="89"/>
      <c r="K422" s="89"/>
      <c r="L422" s="89"/>
      <c r="M422" s="91"/>
    </row>
    <row r="423" spans="1:13" x14ac:dyDescent="0.3">
      <c r="A423" s="88"/>
      <c r="B423" s="89"/>
      <c r="C423" s="21"/>
      <c r="D423" s="90"/>
      <c r="E423" s="177"/>
      <c r="F423" s="195"/>
      <c r="G423" s="158"/>
      <c r="H423" s="158"/>
      <c r="I423" s="89"/>
      <c r="J423" s="89"/>
      <c r="K423" s="89"/>
      <c r="L423" s="89"/>
      <c r="M423" s="91"/>
    </row>
    <row r="424" spans="1:13" x14ac:dyDescent="0.3">
      <c r="A424" s="88"/>
      <c r="B424" s="89"/>
      <c r="C424" s="21"/>
      <c r="D424" s="90"/>
      <c r="E424" s="177"/>
      <c r="F424" s="195"/>
      <c r="G424" s="158"/>
      <c r="H424" s="158"/>
      <c r="I424" s="89"/>
      <c r="J424" s="89"/>
      <c r="K424" s="89"/>
      <c r="L424" s="89"/>
      <c r="M424" s="91"/>
    </row>
    <row r="425" spans="1:13" x14ac:dyDescent="0.3">
      <c r="A425" s="88"/>
      <c r="B425" s="89"/>
      <c r="C425" s="21"/>
      <c r="D425" s="90"/>
      <c r="E425" s="177"/>
      <c r="F425" s="195"/>
      <c r="G425" s="158"/>
      <c r="H425" s="158"/>
      <c r="I425" s="89"/>
      <c r="J425" s="89"/>
      <c r="K425" s="89"/>
      <c r="L425" s="89"/>
      <c r="M425" s="91"/>
    </row>
    <row r="426" spans="1:13" x14ac:dyDescent="0.3">
      <c r="A426" s="88"/>
      <c r="B426" s="89"/>
      <c r="C426" s="21"/>
      <c r="D426" s="90"/>
      <c r="E426" s="177"/>
      <c r="F426" s="195"/>
      <c r="G426" s="158"/>
      <c r="H426" s="158"/>
      <c r="I426" s="89"/>
      <c r="J426" s="89"/>
      <c r="K426" s="89"/>
      <c r="L426" s="89"/>
      <c r="M426" s="91"/>
    </row>
    <row r="427" spans="1:13" x14ac:dyDescent="0.3">
      <c r="A427" s="88"/>
      <c r="B427" s="89"/>
      <c r="C427" s="21"/>
      <c r="D427" s="90"/>
      <c r="E427" s="177"/>
      <c r="F427" s="195"/>
      <c r="G427" s="158"/>
      <c r="H427" s="158"/>
      <c r="I427" s="89"/>
      <c r="J427" s="89"/>
      <c r="K427" s="89"/>
      <c r="L427" s="89"/>
      <c r="M427" s="91"/>
    </row>
    <row r="428" spans="1:13" x14ac:dyDescent="0.3">
      <c r="A428" s="88"/>
      <c r="B428" s="89"/>
      <c r="C428" s="21"/>
      <c r="D428" s="90"/>
      <c r="E428" s="177"/>
      <c r="F428" s="195"/>
      <c r="G428" s="158"/>
      <c r="H428" s="158"/>
      <c r="I428" s="89"/>
      <c r="J428" s="89"/>
      <c r="K428" s="89"/>
      <c r="L428" s="89"/>
      <c r="M428" s="91"/>
    </row>
    <row r="429" spans="1:13" x14ac:dyDescent="0.3">
      <c r="A429" s="88"/>
      <c r="B429" s="89"/>
      <c r="C429" s="21"/>
      <c r="D429" s="90"/>
      <c r="E429" s="177"/>
      <c r="F429" s="195"/>
      <c r="G429" s="158"/>
      <c r="H429" s="158"/>
      <c r="I429" s="89"/>
      <c r="J429" s="89"/>
      <c r="K429" s="89"/>
      <c r="L429" s="89"/>
      <c r="M429" s="91"/>
    </row>
    <row r="430" spans="1:13" x14ac:dyDescent="0.3">
      <c r="A430" s="88"/>
      <c r="B430" s="89"/>
      <c r="C430" s="21"/>
      <c r="D430" s="90"/>
      <c r="E430" s="177"/>
      <c r="F430" s="195"/>
      <c r="G430" s="158"/>
      <c r="H430" s="158"/>
      <c r="I430" s="89"/>
      <c r="J430" s="89"/>
      <c r="K430" s="89"/>
      <c r="L430" s="89"/>
      <c r="M430" s="91"/>
    </row>
    <row r="431" spans="1:13" x14ac:dyDescent="0.3">
      <c r="A431" s="88"/>
      <c r="B431" s="89"/>
      <c r="C431" s="21"/>
      <c r="D431" s="90"/>
      <c r="E431" s="177"/>
      <c r="F431" s="195"/>
      <c r="G431" s="158"/>
      <c r="H431" s="158"/>
      <c r="I431" s="89"/>
      <c r="J431" s="89"/>
      <c r="K431" s="89"/>
      <c r="L431" s="89"/>
      <c r="M431" s="91"/>
    </row>
    <row r="432" spans="1:13" x14ac:dyDescent="0.3">
      <c r="A432" s="88"/>
      <c r="B432" s="89"/>
      <c r="C432" s="21"/>
      <c r="D432" s="90"/>
      <c r="E432" s="177"/>
      <c r="F432" s="195"/>
      <c r="G432" s="158"/>
      <c r="H432" s="158"/>
      <c r="I432" s="89"/>
      <c r="J432" s="89"/>
      <c r="K432" s="89"/>
      <c r="L432" s="89"/>
      <c r="M432" s="91"/>
    </row>
    <row r="433" spans="1:13" x14ac:dyDescent="0.3">
      <c r="A433" s="88"/>
      <c r="B433" s="89"/>
      <c r="C433" s="21"/>
      <c r="D433" s="90"/>
      <c r="E433" s="177"/>
      <c r="F433" s="195"/>
      <c r="G433" s="158"/>
      <c r="H433" s="158"/>
      <c r="I433" s="89"/>
      <c r="J433" s="89"/>
      <c r="K433" s="89"/>
      <c r="L433" s="89"/>
      <c r="M433" s="91"/>
    </row>
    <row r="434" spans="1:13" x14ac:dyDescent="0.3">
      <c r="A434" s="88"/>
      <c r="B434" s="89"/>
      <c r="C434" s="21"/>
      <c r="D434" s="90"/>
      <c r="E434" s="177"/>
      <c r="F434" s="195"/>
      <c r="G434" s="158"/>
      <c r="H434" s="158"/>
      <c r="I434" s="89"/>
      <c r="J434" s="89"/>
      <c r="K434" s="89"/>
      <c r="L434" s="89"/>
      <c r="M434" s="91"/>
    </row>
    <row r="435" spans="1:13" x14ac:dyDescent="0.3">
      <c r="A435" s="88"/>
      <c r="B435" s="89"/>
      <c r="C435" s="21"/>
      <c r="D435" s="90"/>
      <c r="E435" s="177"/>
      <c r="F435" s="195"/>
      <c r="G435" s="158"/>
      <c r="H435" s="158"/>
      <c r="I435" s="89"/>
      <c r="J435" s="89"/>
      <c r="K435" s="89"/>
      <c r="L435" s="89"/>
      <c r="M435" s="91"/>
    </row>
    <row r="436" spans="1:13" x14ac:dyDescent="0.3">
      <c r="A436" s="88"/>
      <c r="B436" s="89"/>
      <c r="C436" s="21"/>
      <c r="D436" s="90"/>
      <c r="E436" s="177"/>
      <c r="F436" s="195"/>
      <c r="G436" s="158"/>
      <c r="H436" s="158"/>
      <c r="I436" s="89"/>
      <c r="J436" s="89"/>
      <c r="K436" s="89"/>
      <c r="L436" s="89"/>
      <c r="M436" s="91"/>
    </row>
    <row r="437" spans="1:13" x14ac:dyDescent="0.3">
      <c r="A437" s="88"/>
      <c r="B437" s="89"/>
      <c r="C437" s="21"/>
      <c r="D437" s="90"/>
      <c r="E437" s="177"/>
      <c r="F437" s="195"/>
      <c r="G437" s="158"/>
      <c r="H437" s="158"/>
      <c r="I437" s="89"/>
      <c r="J437" s="89"/>
      <c r="K437" s="89"/>
      <c r="L437" s="89"/>
      <c r="M437" s="91"/>
    </row>
    <row r="438" spans="1:13" x14ac:dyDescent="0.3">
      <c r="A438" s="88"/>
      <c r="B438" s="89"/>
      <c r="C438" s="21"/>
      <c r="D438" s="90"/>
      <c r="E438" s="177"/>
      <c r="F438" s="195"/>
      <c r="G438" s="158"/>
      <c r="H438" s="158"/>
      <c r="I438" s="89"/>
      <c r="J438" s="89"/>
      <c r="K438" s="89"/>
      <c r="L438" s="89"/>
      <c r="M438" s="91"/>
    </row>
    <row r="439" spans="1:13" x14ac:dyDescent="0.3">
      <c r="A439" s="88"/>
      <c r="B439" s="89"/>
      <c r="C439" s="21"/>
      <c r="D439" s="90"/>
      <c r="E439" s="177"/>
      <c r="F439" s="195"/>
      <c r="G439" s="158"/>
      <c r="H439" s="158"/>
      <c r="I439" s="89"/>
      <c r="J439" s="89"/>
      <c r="K439" s="89"/>
      <c r="L439" s="89"/>
      <c r="M439" s="91"/>
    </row>
    <row r="440" spans="1:13" x14ac:dyDescent="0.3">
      <c r="A440" s="88"/>
      <c r="B440" s="89"/>
      <c r="C440" s="21"/>
      <c r="D440" s="90"/>
      <c r="E440" s="177"/>
      <c r="F440" s="195"/>
      <c r="G440" s="158"/>
      <c r="H440" s="158"/>
      <c r="I440" s="89"/>
      <c r="J440" s="89"/>
      <c r="K440" s="89"/>
      <c r="L440" s="89"/>
      <c r="M440" s="91"/>
    </row>
    <row r="441" spans="1:13" x14ac:dyDescent="0.3">
      <c r="A441" s="88"/>
      <c r="B441" s="89"/>
      <c r="C441" s="21"/>
      <c r="D441" s="90"/>
      <c r="E441" s="177"/>
      <c r="F441" s="195"/>
      <c r="G441" s="158"/>
      <c r="H441" s="158"/>
      <c r="I441" s="89"/>
      <c r="J441" s="89"/>
      <c r="K441" s="89"/>
      <c r="L441" s="89"/>
      <c r="M441" s="91"/>
    </row>
    <row r="442" spans="1:13" x14ac:dyDescent="0.3">
      <c r="A442" s="88"/>
      <c r="B442" s="89"/>
      <c r="C442" s="21"/>
      <c r="D442" s="90"/>
      <c r="E442" s="177"/>
      <c r="F442" s="195"/>
      <c r="G442" s="158"/>
      <c r="H442" s="158"/>
      <c r="I442" s="89"/>
      <c r="J442" s="89"/>
      <c r="K442" s="89"/>
      <c r="L442" s="89"/>
      <c r="M442" s="91"/>
    </row>
    <row r="443" spans="1:13" x14ac:dyDescent="0.3">
      <c r="A443" s="88"/>
      <c r="B443" s="89"/>
      <c r="C443" s="21"/>
      <c r="D443" s="90"/>
      <c r="E443" s="177"/>
      <c r="F443" s="195"/>
      <c r="G443" s="158"/>
      <c r="H443" s="158"/>
      <c r="I443" s="89"/>
      <c r="J443" s="89"/>
      <c r="K443" s="89"/>
      <c r="L443" s="89"/>
      <c r="M443" s="91"/>
    </row>
    <row r="444" spans="1:13" x14ac:dyDescent="0.3">
      <c r="A444" s="88"/>
      <c r="B444" s="89"/>
      <c r="C444" s="21"/>
      <c r="D444" s="90"/>
      <c r="E444" s="177"/>
      <c r="F444" s="195"/>
      <c r="G444" s="158"/>
      <c r="H444" s="158"/>
      <c r="I444" s="89"/>
      <c r="J444" s="89"/>
      <c r="K444" s="89"/>
      <c r="L444" s="89"/>
      <c r="M444" s="91"/>
    </row>
    <row r="445" spans="1:13" x14ac:dyDescent="0.3">
      <c r="A445" s="88"/>
      <c r="B445" s="89"/>
      <c r="C445" s="21"/>
      <c r="D445" s="90"/>
      <c r="E445" s="177"/>
      <c r="F445" s="195"/>
      <c r="G445" s="158"/>
      <c r="H445" s="158"/>
      <c r="I445" s="89"/>
      <c r="J445" s="89"/>
      <c r="K445" s="89"/>
      <c r="L445" s="89"/>
      <c r="M445" s="91"/>
    </row>
    <row r="446" spans="1:13" x14ac:dyDescent="0.3">
      <c r="A446" s="88"/>
      <c r="B446" s="89"/>
      <c r="C446" s="21"/>
      <c r="D446" s="90"/>
      <c r="E446" s="177"/>
      <c r="F446" s="195"/>
      <c r="G446" s="158"/>
      <c r="H446" s="158"/>
      <c r="I446" s="89"/>
      <c r="J446" s="89"/>
      <c r="K446" s="89"/>
      <c r="L446" s="89"/>
      <c r="M446" s="91"/>
    </row>
    <row r="447" spans="1:13" x14ac:dyDescent="0.3">
      <c r="A447" s="88"/>
      <c r="B447" s="89"/>
      <c r="C447" s="21"/>
      <c r="D447" s="90"/>
      <c r="E447" s="177"/>
      <c r="F447" s="195"/>
      <c r="G447" s="158"/>
      <c r="H447" s="158"/>
      <c r="I447" s="89"/>
      <c r="J447" s="89"/>
      <c r="K447" s="89"/>
      <c r="L447" s="89"/>
      <c r="M447" s="91"/>
    </row>
    <row r="448" spans="1:13" x14ac:dyDescent="0.3">
      <c r="A448" s="88"/>
      <c r="B448" s="89"/>
      <c r="C448" s="21"/>
      <c r="D448" s="90"/>
      <c r="E448" s="177"/>
      <c r="F448" s="195"/>
      <c r="G448" s="158"/>
      <c r="H448" s="158"/>
      <c r="I448" s="89"/>
      <c r="J448" s="89"/>
      <c r="K448" s="89"/>
      <c r="L448" s="89"/>
      <c r="M448" s="91"/>
    </row>
    <row r="449" spans="1:13" x14ac:dyDescent="0.3">
      <c r="A449" s="88"/>
      <c r="B449" s="89"/>
      <c r="C449" s="21"/>
      <c r="D449" s="90"/>
      <c r="E449" s="177"/>
      <c r="F449" s="195"/>
      <c r="G449" s="158"/>
      <c r="H449" s="158"/>
      <c r="I449" s="89"/>
      <c r="J449" s="89"/>
      <c r="K449" s="89"/>
      <c r="L449" s="89"/>
      <c r="M449" s="91"/>
    </row>
    <row r="450" spans="1:13" x14ac:dyDescent="0.3">
      <c r="A450" s="88"/>
      <c r="B450" s="89"/>
      <c r="C450" s="21"/>
      <c r="D450" s="90"/>
      <c r="E450" s="177"/>
      <c r="F450" s="195"/>
      <c r="G450" s="158"/>
      <c r="H450" s="158"/>
      <c r="I450" s="89"/>
      <c r="J450" s="89"/>
      <c r="K450" s="89"/>
      <c r="L450" s="89"/>
      <c r="M450" s="91"/>
    </row>
    <row r="451" spans="1:13" x14ac:dyDescent="0.3">
      <c r="A451" s="88"/>
      <c r="B451" s="89"/>
      <c r="C451" s="21"/>
      <c r="D451" s="90"/>
      <c r="E451" s="177"/>
      <c r="F451" s="195"/>
      <c r="G451" s="158"/>
      <c r="H451" s="158"/>
      <c r="I451" s="89"/>
      <c r="J451" s="89"/>
      <c r="K451" s="89"/>
      <c r="L451" s="89"/>
      <c r="M451" s="91"/>
    </row>
    <row r="452" spans="1:13" x14ac:dyDescent="0.3">
      <c r="A452" s="88"/>
      <c r="B452" s="89"/>
      <c r="C452" s="21"/>
      <c r="D452" s="90"/>
      <c r="E452" s="177"/>
      <c r="F452" s="195"/>
      <c r="G452" s="158"/>
      <c r="H452" s="158"/>
      <c r="I452" s="89"/>
      <c r="J452" s="89"/>
      <c r="K452" s="89"/>
      <c r="L452" s="89"/>
      <c r="M452" s="91"/>
    </row>
    <row r="453" spans="1:13" x14ac:dyDescent="0.3">
      <c r="A453" s="88"/>
      <c r="B453" s="89"/>
      <c r="C453" s="21"/>
      <c r="D453" s="90"/>
      <c r="E453" s="177"/>
      <c r="F453" s="195"/>
      <c r="G453" s="158"/>
      <c r="H453" s="158"/>
      <c r="I453" s="89"/>
      <c r="J453" s="89"/>
      <c r="K453" s="89"/>
      <c r="L453" s="89"/>
      <c r="M453" s="91"/>
    </row>
    <row r="454" spans="1:13" x14ac:dyDescent="0.3">
      <c r="A454" s="88"/>
      <c r="B454" s="89"/>
      <c r="C454" s="21"/>
      <c r="D454" s="90"/>
      <c r="E454" s="177"/>
      <c r="F454" s="195"/>
      <c r="G454" s="158"/>
      <c r="H454" s="158"/>
      <c r="I454" s="89"/>
      <c r="J454" s="89"/>
      <c r="K454" s="89"/>
      <c r="L454" s="89"/>
      <c r="M454" s="91"/>
    </row>
    <row r="455" spans="1:13" x14ac:dyDescent="0.3">
      <c r="A455" s="88"/>
      <c r="B455" s="89"/>
      <c r="C455" s="21"/>
      <c r="D455" s="90"/>
      <c r="E455" s="177"/>
      <c r="F455" s="195"/>
      <c r="G455" s="158"/>
      <c r="H455" s="158"/>
      <c r="I455" s="89"/>
      <c r="J455" s="89"/>
      <c r="K455" s="89"/>
      <c r="L455" s="89"/>
      <c r="M455" s="91"/>
    </row>
    <row r="456" spans="1:13" x14ac:dyDescent="0.3">
      <c r="A456" s="88"/>
      <c r="B456" s="89"/>
      <c r="C456" s="21"/>
      <c r="D456" s="90"/>
      <c r="E456" s="177"/>
      <c r="F456" s="195"/>
      <c r="G456" s="158"/>
      <c r="H456" s="158"/>
      <c r="I456" s="89"/>
      <c r="J456" s="89"/>
      <c r="K456" s="89"/>
      <c r="L456" s="89"/>
      <c r="M456" s="91"/>
    </row>
    <row r="457" spans="1:13" x14ac:dyDescent="0.3">
      <c r="A457" s="88"/>
      <c r="B457" s="89"/>
      <c r="C457" s="21"/>
      <c r="D457" s="90"/>
      <c r="E457" s="177"/>
      <c r="F457" s="195"/>
      <c r="G457" s="158"/>
      <c r="H457" s="158"/>
      <c r="I457" s="89"/>
      <c r="J457" s="89"/>
      <c r="K457" s="89"/>
      <c r="L457" s="89"/>
      <c r="M457" s="91"/>
    </row>
    <row r="458" spans="1:13" x14ac:dyDescent="0.3">
      <c r="A458" s="88"/>
      <c r="B458" s="89"/>
      <c r="C458" s="21"/>
      <c r="D458" s="90"/>
      <c r="E458" s="177"/>
      <c r="F458" s="195"/>
      <c r="G458" s="158"/>
      <c r="H458" s="158"/>
      <c r="I458" s="89"/>
      <c r="J458" s="89"/>
      <c r="K458" s="89"/>
      <c r="L458" s="89"/>
      <c r="M458" s="91"/>
    </row>
    <row r="459" spans="1:13" x14ac:dyDescent="0.3">
      <c r="A459" s="88"/>
      <c r="B459" s="89"/>
      <c r="C459" s="21"/>
      <c r="D459" s="90"/>
      <c r="E459" s="177"/>
      <c r="F459" s="195"/>
      <c r="G459" s="158"/>
      <c r="H459" s="158"/>
      <c r="I459" s="89"/>
      <c r="J459" s="89"/>
      <c r="K459" s="89"/>
      <c r="L459" s="89"/>
      <c r="M459" s="91"/>
    </row>
    <row r="460" spans="1:13" x14ac:dyDescent="0.3">
      <c r="A460" s="88"/>
      <c r="B460" s="89"/>
      <c r="C460" s="21"/>
      <c r="D460" s="90"/>
      <c r="E460" s="177"/>
      <c r="F460" s="195"/>
      <c r="G460" s="158"/>
      <c r="H460" s="158"/>
      <c r="I460" s="89"/>
      <c r="J460" s="89"/>
      <c r="K460" s="89"/>
      <c r="L460" s="89"/>
      <c r="M460" s="91"/>
    </row>
    <row r="461" spans="1:13" x14ac:dyDescent="0.3">
      <c r="A461" s="88"/>
      <c r="B461" s="89"/>
      <c r="C461" s="21"/>
      <c r="D461" s="90"/>
      <c r="E461" s="177"/>
      <c r="F461" s="195"/>
      <c r="G461" s="158"/>
      <c r="H461" s="158"/>
      <c r="I461" s="89"/>
      <c r="J461" s="89"/>
      <c r="K461" s="89"/>
      <c r="L461" s="89"/>
      <c r="M461" s="91"/>
    </row>
    <row r="462" spans="1:13" x14ac:dyDescent="0.3">
      <c r="A462" s="88"/>
      <c r="B462" s="89"/>
      <c r="C462" s="21"/>
      <c r="D462" s="90"/>
      <c r="E462" s="177"/>
      <c r="F462" s="195"/>
      <c r="G462" s="158"/>
      <c r="H462" s="158"/>
      <c r="I462" s="89"/>
      <c r="J462" s="89"/>
      <c r="K462" s="89"/>
      <c r="L462" s="89"/>
      <c r="M462" s="91"/>
    </row>
    <row r="463" spans="1:13" x14ac:dyDescent="0.3">
      <c r="A463" s="88"/>
      <c r="B463" s="89"/>
      <c r="C463" s="21"/>
      <c r="D463" s="90"/>
      <c r="E463" s="177"/>
      <c r="F463" s="195"/>
      <c r="G463" s="158"/>
      <c r="H463" s="158"/>
      <c r="I463" s="89"/>
      <c r="J463" s="89"/>
      <c r="K463" s="89"/>
      <c r="L463" s="89"/>
      <c r="M463" s="91"/>
    </row>
    <row r="464" spans="1:13" x14ac:dyDescent="0.3">
      <c r="A464" s="88"/>
      <c r="B464" s="89"/>
      <c r="C464" s="21"/>
      <c r="D464" s="90"/>
      <c r="E464" s="177"/>
      <c r="F464" s="195"/>
      <c r="G464" s="158"/>
      <c r="H464" s="158"/>
      <c r="I464" s="89"/>
      <c r="J464" s="89"/>
      <c r="K464" s="89"/>
      <c r="L464" s="89"/>
      <c r="M464" s="91"/>
    </row>
    <row r="465" spans="1:13" x14ac:dyDescent="0.3">
      <c r="A465" s="88"/>
      <c r="B465" s="89"/>
      <c r="C465" s="21"/>
      <c r="D465" s="90"/>
      <c r="E465" s="177"/>
      <c r="F465" s="195"/>
      <c r="G465" s="158"/>
      <c r="H465" s="158"/>
      <c r="I465" s="89"/>
      <c r="J465" s="89"/>
      <c r="K465" s="89"/>
      <c r="L465" s="89"/>
      <c r="M465" s="91"/>
    </row>
    <row r="466" spans="1:13" x14ac:dyDescent="0.3">
      <c r="A466" s="88"/>
      <c r="B466" s="89"/>
      <c r="C466" s="21"/>
      <c r="D466" s="90"/>
      <c r="E466" s="177"/>
      <c r="F466" s="195"/>
      <c r="G466" s="158"/>
      <c r="H466" s="158"/>
      <c r="I466" s="89"/>
      <c r="J466" s="89"/>
      <c r="K466" s="89"/>
      <c r="L466" s="89"/>
      <c r="M466" s="91"/>
    </row>
    <row r="467" spans="1:13" x14ac:dyDescent="0.3">
      <c r="A467" s="88"/>
      <c r="B467" s="89"/>
      <c r="C467" s="21"/>
      <c r="D467" s="90"/>
      <c r="E467" s="177"/>
      <c r="F467" s="195"/>
      <c r="G467" s="158"/>
      <c r="H467" s="158"/>
      <c r="I467" s="89"/>
      <c r="J467" s="89"/>
      <c r="K467" s="89"/>
      <c r="L467" s="89"/>
      <c r="M467" s="91"/>
    </row>
    <row r="468" spans="1:13" x14ac:dyDescent="0.3">
      <c r="A468" s="88"/>
      <c r="B468" s="89"/>
      <c r="C468" s="21"/>
      <c r="D468" s="90"/>
      <c r="E468" s="177"/>
      <c r="F468" s="195"/>
      <c r="G468" s="158"/>
      <c r="H468" s="158"/>
      <c r="I468" s="89"/>
      <c r="J468" s="89"/>
      <c r="K468" s="89"/>
      <c r="L468" s="89"/>
      <c r="M468" s="91"/>
    </row>
    <row r="469" spans="1:13" x14ac:dyDescent="0.3">
      <c r="A469" s="88"/>
      <c r="B469" s="89"/>
      <c r="C469" s="21"/>
      <c r="D469" s="90"/>
      <c r="E469" s="177"/>
      <c r="F469" s="195"/>
      <c r="G469" s="158"/>
      <c r="H469" s="158"/>
      <c r="I469" s="89"/>
      <c r="J469" s="89"/>
      <c r="K469" s="89"/>
      <c r="L469" s="89"/>
      <c r="M469" s="91"/>
    </row>
    <row r="470" spans="1:13" x14ac:dyDescent="0.3">
      <c r="A470" s="88"/>
      <c r="B470" s="89"/>
      <c r="C470" s="21"/>
      <c r="D470" s="90"/>
      <c r="E470" s="177"/>
      <c r="F470" s="195"/>
      <c r="G470" s="158"/>
      <c r="H470" s="158"/>
      <c r="I470" s="89"/>
      <c r="J470" s="89"/>
      <c r="K470" s="89"/>
      <c r="L470" s="89"/>
      <c r="M470" s="91"/>
    </row>
    <row r="471" spans="1:13" x14ac:dyDescent="0.3">
      <c r="A471" s="88"/>
      <c r="B471" s="89"/>
      <c r="C471" s="21"/>
      <c r="D471" s="90"/>
      <c r="E471" s="177"/>
      <c r="F471" s="195"/>
      <c r="G471" s="158"/>
      <c r="H471" s="158"/>
      <c r="I471" s="89"/>
      <c r="J471" s="89"/>
      <c r="K471" s="89"/>
      <c r="L471" s="89"/>
      <c r="M471" s="91"/>
    </row>
    <row r="472" spans="1:13" x14ac:dyDescent="0.3">
      <c r="A472" s="88"/>
      <c r="B472" s="89"/>
      <c r="C472" s="21"/>
      <c r="D472" s="90"/>
      <c r="E472" s="177"/>
      <c r="F472" s="195"/>
      <c r="G472" s="158"/>
      <c r="H472" s="158"/>
      <c r="I472" s="89"/>
      <c r="J472" s="89"/>
      <c r="K472" s="89"/>
      <c r="L472" s="89"/>
      <c r="M472" s="91"/>
    </row>
    <row r="473" spans="1:13" x14ac:dyDescent="0.3">
      <c r="A473" s="88"/>
      <c r="B473" s="89"/>
      <c r="C473" s="21"/>
      <c r="D473" s="90"/>
      <c r="E473" s="177"/>
      <c r="F473" s="195"/>
      <c r="G473" s="158"/>
      <c r="H473" s="158"/>
      <c r="I473" s="89"/>
      <c r="J473" s="89"/>
      <c r="K473" s="89"/>
      <c r="L473" s="89"/>
      <c r="M473" s="91"/>
    </row>
    <row r="474" spans="1:13" x14ac:dyDescent="0.3">
      <c r="A474" s="88"/>
      <c r="B474" s="89"/>
      <c r="C474" s="21"/>
      <c r="D474" s="90"/>
      <c r="E474" s="177"/>
      <c r="F474" s="195"/>
      <c r="G474" s="158"/>
      <c r="H474" s="158"/>
      <c r="I474" s="89"/>
      <c r="J474" s="89"/>
      <c r="K474" s="89"/>
      <c r="L474" s="89"/>
      <c r="M474" s="91"/>
    </row>
    <row r="475" spans="1:13" x14ac:dyDescent="0.3">
      <c r="A475" s="88"/>
      <c r="B475" s="89"/>
      <c r="C475" s="21"/>
      <c r="D475" s="90"/>
      <c r="E475" s="177"/>
      <c r="F475" s="195"/>
      <c r="G475" s="158"/>
      <c r="H475" s="158"/>
      <c r="I475" s="89"/>
      <c r="J475" s="89"/>
      <c r="K475" s="89"/>
      <c r="L475" s="89"/>
      <c r="M475" s="91"/>
    </row>
    <row r="476" spans="1:13" x14ac:dyDescent="0.3">
      <c r="A476" s="88"/>
      <c r="B476" s="89"/>
      <c r="C476" s="21"/>
      <c r="D476" s="90"/>
      <c r="E476" s="177"/>
      <c r="F476" s="195"/>
      <c r="G476" s="158"/>
      <c r="H476" s="158"/>
      <c r="I476" s="89"/>
      <c r="J476" s="89"/>
      <c r="K476" s="89"/>
      <c r="L476" s="89"/>
      <c r="M476" s="91"/>
    </row>
    <row r="477" spans="1:13" x14ac:dyDescent="0.3">
      <c r="A477" s="88"/>
      <c r="B477" s="89"/>
      <c r="C477" s="21"/>
      <c r="D477" s="90"/>
      <c r="E477" s="177"/>
      <c r="F477" s="195"/>
      <c r="G477" s="158"/>
      <c r="H477" s="158"/>
      <c r="I477" s="89"/>
      <c r="J477" s="89"/>
      <c r="K477" s="89"/>
      <c r="L477" s="89"/>
      <c r="M477" s="91"/>
    </row>
    <row r="478" spans="1:13" x14ac:dyDescent="0.3">
      <c r="A478" s="88"/>
      <c r="B478" s="89"/>
      <c r="C478" s="21"/>
      <c r="D478" s="90"/>
      <c r="E478" s="177"/>
      <c r="F478" s="195"/>
      <c r="G478" s="158"/>
      <c r="H478" s="158"/>
      <c r="I478" s="89"/>
      <c r="J478" s="89"/>
      <c r="K478" s="89"/>
      <c r="L478" s="89"/>
      <c r="M478" s="91"/>
    </row>
    <row r="479" spans="1:13" x14ac:dyDescent="0.3">
      <c r="A479" s="88"/>
      <c r="B479" s="89"/>
      <c r="C479" s="21"/>
      <c r="D479" s="90"/>
      <c r="E479" s="177"/>
      <c r="F479" s="195"/>
      <c r="G479" s="158"/>
      <c r="H479" s="158"/>
      <c r="I479" s="89"/>
      <c r="J479" s="89"/>
      <c r="K479" s="89"/>
      <c r="L479" s="89"/>
      <c r="M479" s="91"/>
    </row>
    <row r="480" spans="1:13" x14ac:dyDescent="0.3">
      <c r="A480" s="88"/>
      <c r="B480" s="89"/>
      <c r="C480" s="21"/>
      <c r="D480" s="90"/>
      <c r="E480" s="177"/>
      <c r="F480" s="195"/>
      <c r="G480" s="158"/>
      <c r="H480" s="158"/>
      <c r="I480" s="89"/>
      <c r="J480" s="89"/>
      <c r="K480" s="89"/>
      <c r="L480" s="89"/>
      <c r="M480" s="91"/>
    </row>
    <row r="481" spans="1:13" x14ac:dyDescent="0.3">
      <c r="A481" s="88"/>
      <c r="B481" s="89"/>
      <c r="C481" s="21"/>
      <c r="D481" s="90"/>
      <c r="E481" s="177"/>
      <c r="F481" s="195"/>
      <c r="G481" s="158"/>
      <c r="H481" s="158"/>
      <c r="I481" s="89"/>
      <c r="J481" s="89"/>
      <c r="K481" s="89"/>
      <c r="L481" s="89"/>
      <c r="M481" s="91"/>
    </row>
    <row r="482" spans="1:13" x14ac:dyDescent="0.3">
      <c r="A482" s="88"/>
      <c r="B482" s="89"/>
      <c r="C482" s="21"/>
      <c r="D482" s="90"/>
      <c r="E482" s="177"/>
      <c r="F482" s="195"/>
      <c r="G482" s="158"/>
      <c r="H482" s="158"/>
      <c r="I482" s="89"/>
      <c r="J482" s="89"/>
      <c r="K482" s="89"/>
      <c r="L482" s="89"/>
      <c r="M482" s="91"/>
    </row>
    <row r="483" spans="1:13" x14ac:dyDescent="0.3">
      <c r="A483" s="88"/>
      <c r="B483" s="89"/>
      <c r="C483" s="21"/>
      <c r="D483" s="90"/>
      <c r="E483" s="177"/>
      <c r="F483" s="195"/>
      <c r="G483" s="158"/>
      <c r="H483" s="158"/>
      <c r="I483" s="89"/>
      <c r="J483" s="89"/>
      <c r="K483" s="89"/>
      <c r="L483" s="89"/>
      <c r="M483" s="91"/>
    </row>
    <row r="484" spans="1:13" x14ac:dyDescent="0.3">
      <c r="A484" s="88"/>
      <c r="B484" s="89"/>
      <c r="C484" s="21"/>
      <c r="D484" s="90"/>
      <c r="E484" s="177"/>
      <c r="F484" s="195"/>
      <c r="G484" s="158"/>
      <c r="H484" s="158"/>
      <c r="I484" s="89"/>
      <c r="J484" s="89"/>
      <c r="K484" s="89"/>
      <c r="L484" s="89"/>
      <c r="M484" s="91"/>
    </row>
    <row r="485" spans="1:13" x14ac:dyDescent="0.3">
      <c r="A485" s="88"/>
      <c r="B485" s="89"/>
      <c r="C485" s="21"/>
      <c r="D485" s="90"/>
      <c r="E485" s="177"/>
      <c r="F485" s="195"/>
      <c r="G485" s="158"/>
      <c r="H485" s="158"/>
      <c r="I485" s="89"/>
      <c r="J485" s="89"/>
      <c r="K485" s="89"/>
      <c r="L485" s="89"/>
      <c r="M485" s="91"/>
    </row>
    <row r="486" spans="1:13" x14ac:dyDescent="0.3">
      <c r="A486" s="88"/>
      <c r="B486" s="89"/>
      <c r="C486" s="21"/>
      <c r="D486" s="90"/>
      <c r="E486" s="177"/>
      <c r="F486" s="195"/>
      <c r="G486" s="158"/>
      <c r="H486" s="158"/>
      <c r="I486" s="89"/>
      <c r="J486" s="89"/>
      <c r="K486" s="89"/>
      <c r="L486" s="89"/>
      <c r="M486" s="91"/>
    </row>
    <row r="487" spans="1:13" x14ac:dyDescent="0.3">
      <c r="A487" s="88"/>
      <c r="B487" s="89"/>
      <c r="C487" s="21"/>
      <c r="D487" s="90"/>
      <c r="E487" s="177"/>
      <c r="F487" s="195"/>
      <c r="G487" s="158"/>
      <c r="H487" s="158"/>
      <c r="I487" s="89"/>
      <c r="J487" s="89"/>
      <c r="K487" s="89"/>
      <c r="L487" s="89"/>
      <c r="M487" s="91"/>
    </row>
    <row r="488" spans="1:13" x14ac:dyDescent="0.3">
      <c r="A488" s="88"/>
      <c r="B488" s="89"/>
      <c r="C488" s="21"/>
      <c r="D488" s="90"/>
      <c r="E488" s="177"/>
      <c r="F488" s="195"/>
      <c r="G488" s="158"/>
      <c r="H488" s="158"/>
      <c r="I488" s="89"/>
      <c r="J488" s="89"/>
      <c r="K488" s="89"/>
      <c r="L488" s="89"/>
      <c r="M488" s="91"/>
    </row>
    <row r="489" spans="1:13" x14ac:dyDescent="0.3">
      <c r="A489" s="88"/>
      <c r="B489" s="89"/>
      <c r="C489" s="21"/>
      <c r="D489" s="90"/>
      <c r="E489" s="177"/>
      <c r="F489" s="195"/>
      <c r="G489" s="158"/>
      <c r="H489" s="158"/>
      <c r="I489" s="89"/>
      <c r="J489" s="89"/>
      <c r="K489" s="89"/>
      <c r="L489" s="89"/>
      <c r="M489" s="91"/>
    </row>
    <row r="490" spans="1:13" x14ac:dyDescent="0.3">
      <c r="A490" s="88"/>
      <c r="B490" s="89"/>
      <c r="C490" s="21"/>
      <c r="D490" s="90"/>
      <c r="E490" s="177"/>
      <c r="F490" s="195"/>
      <c r="G490" s="158"/>
      <c r="H490" s="158"/>
      <c r="I490" s="89"/>
      <c r="J490" s="89"/>
      <c r="K490" s="89"/>
      <c r="L490" s="89"/>
      <c r="M490" s="91"/>
    </row>
    <row r="491" spans="1:13" x14ac:dyDescent="0.3">
      <c r="A491" s="88"/>
      <c r="B491" s="89"/>
      <c r="C491" s="21"/>
      <c r="D491" s="90"/>
      <c r="E491" s="177"/>
      <c r="F491" s="195"/>
      <c r="G491" s="158"/>
      <c r="H491" s="158"/>
      <c r="I491" s="89"/>
      <c r="J491" s="89"/>
      <c r="K491" s="89"/>
      <c r="L491" s="89"/>
      <c r="M491" s="91"/>
    </row>
    <row r="492" spans="1:13" x14ac:dyDescent="0.3">
      <c r="A492" s="88"/>
      <c r="B492" s="89"/>
      <c r="C492" s="21"/>
      <c r="D492" s="90"/>
      <c r="E492" s="177"/>
      <c r="F492" s="195"/>
      <c r="G492" s="158"/>
      <c r="H492" s="158"/>
      <c r="I492" s="89"/>
      <c r="J492" s="89"/>
      <c r="K492" s="89"/>
      <c r="L492" s="89"/>
      <c r="M492" s="91"/>
    </row>
    <row r="493" spans="1:13" x14ac:dyDescent="0.3">
      <c r="A493" s="88"/>
      <c r="B493" s="89"/>
      <c r="C493" s="21"/>
      <c r="D493" s="90"/>
      <c r="E493" s="177"/>
      <c r="F493" s="195"/>
      <c r="G493" s="158"/>
      <c r="H493" s="158"/>
      <c r="I493" s="89"/>
      <c r="J493" s="89"/>
      <c r="K493" s="89"/>
      <c r="L493" s="89"/>
      <c r="M493" s="91"/>
    </row>
    <row r="494" spans="1:13" x14ac:dyDescent="0.3">
      <c r="A494" s="88"/>
      <c r="B494" s="89"/>
      <c r="C494" s="21"/>
      <c r="D494" s="90"/>
      <c r="E494" s="177"/>
      <c r="F494" s="195"/>
      <c r="G494" s="158"/>
      <c r="H494" s="158"/>
      <c r="I494" s="89"/>
      <c r="J494" s="89"/>
      <c r="K494" s="89"/>
      <c r="L494" s="89"/>
      <c r="M494" s="91"/>
    </row>
    <row r="495" spans="1:13" x14ac:dyDescent="0.3">
      <c r="A495" s="88"/>
      <c r="B495" s="89"/>
      <c r="C495" s="21"/>
      <c r="D495" s="90"/>
      <c r="E495" s="177"/>
      <c r="F495" s="195"/>
      <c r="G495" s="158"/>
      <c r="H495" s="158"/>
      <c r="I495" s="89"/>
      <c r="J495" s="89"/>
      <c r="K495" s="89"/>
      <c r="L495" s="89"/>
      <c r="M495" s="91"/>
    </row>
    <row r="496" spans="1:13" x14ac:dyDescent="0.3">
      <c r="A496" s="88"/>
      <c r="B496" s="89"/>
      <c r="C496" s="21"/>
      <c r="D496" s="90"/>
      <c r="E496" s="177"/>
      <c r="F496" s="195"/>
      <c r="G496" s="158"/>
      <c r="H496" s="158"/>
      <c r="I496" s="89"/>
      <c r="J496" s="89"/>
      <c r="K496" s="89"/>
      <c r="L496" s="89"/>
      <c r="M496" s="91"/>
    </row>
    <row r="497" spans="1:13" x14ac:dyDescent="0.3">
      <c r="A497" s="88"/>
      <c r="B497" s="89"/>
      <c r="C497" s="21"/>
      <c r="D497" s="90"/>
      <c r="E497" s="177"/>
      <c r="F497" s="195"/>
      <c r="G497" s="158"/>
      <c r="H497" s="158"/>
      <c r="I497" s="89"/>
      <c r="J497" s="89"/>
      <c r="K497" s="89"/>
      <c r="L497" s="89"/>
      <c r="M497" s="91"/>
    </row>
    <row r="498" spans="1:13" x14ac:dyDescent="0.3">
      <c r="A498" s="88"/>
      <c r="B498" s="89"/>
      <c r="C498" s="21"/>
      <c r="D498" s="90"/>
      <c r="E498" s="177"/>
      <c r="F498" s="195"/>
      <c r="G498" s="158"/>
      <c r="H498" s="158"/>
      <c r="I498" s="89"/>
      <c r="J498" s="89"/>
      <c r="K498" s="89"/>
      <c r="L498" s="89"/>
      <c r="M498" s="91"/>
    </row>
    <row r="499" spans="1:13" x14ac:dyDescent="0.3">
      <c r="A499" s="88"/>
      <c r="B499" s="89"/>
      <c r="C499" s="21"/>
      <c r="D499" s="90"/>
      <c r="E499" s="177"/>
      <c r="F499" s="195"/>
      <c r="G499" s="158"/>
      <c r="H499" s="158"/>
      <c r="I499" s="89"/>
      <c r="J499" s="89"/>
      <c r="K499" s="89"/>
      <c r="L499" s="89"/>
      <c r="M499" s="91"/>
    </row>
    <row r="500" spans="1:13" x14ac:dyDescent="0.3">
      <c r="A500" s="88"/>
      <c r="B500" s="89"/>
      <c r="C500" s="21"/>
      <c r="D500" s="90"/>
      <c r="E500" s="177"/>
      <c r="F500" s="195"/>
      <c r="G500" s="158"/>
      <c r="H500" s="158"/>
      <c r="I500" s="89"/>
      <c r="J500" s="89"/>
      <c r="K500" s="89"/>
      <c r="L500" s="89"/>
      <c r="M500" s="91"/>
    </row>
    <row r="501" spans="1:13" x14ac:dyDescent="0.3">
      <c r="A501" s="88"/>
      <c r="B501" s="89"/>
      <c r="C501" s="21"/>
      <c r="D501" s="90"/>
      <c r="E501" s="177"/>
      <c r="F501" s="195"/>
      <c r="G501" s="158"/>
      <c r="H501" s="158"/>
      <c r="I501" s="89"/>
      <c r="J501" s="89"/>
      <c r="K501" s="89"/>
      <c r="L501" s="89"/>
      <c r="M501" s="91"/>
    </row>
    <row r="502" spans="1:13" x14ac:dyDescent="0.3">
      <c r="A502" s="88"/>
      <c r="B502" s="89"/>
      <c r="C502" s="21"/>
      <c r="D502" s="90"/>
      <c r="E502" s="177"/>
      <c r="F502" s="195"/>
      <c r="G502" s="158"/>
      <c r="H502" s="158"/>
      <c r="I502" s="89"/>
      <c r="J502" s="89"/>
      <c r="K502" s="89"/>
      <c r="L502" s="89"/>
      <c r="M502" s="91"/>
    </row>
    <row r="503" spans="1:13" x14ac:dyDescent="0.3">
      <c r="A503" s="88"/>
      <c r="B503" s="89"/>
      <c r="C503" s="21"/>
      <c r="D503" s="90"/>
      <c r="E503" s="177"/>
      <c r="F503" s="195"/>
      <c r="G503" s="158"/>
      <c r="H503" s="158"/>
      <c r="I503" s="89"/>
      <c r="J503" s="89"/>
      <c r="K503" s="89"/>
      <c r="L503" s="89"/>
      <c r="M503" s="91"/>
    </row>
    <row r="504" spans="1:13" x14ac:dyDescent="0.3">
      <c r="A504" s="88"/>
      <c r="B504" s="89"/>
      <c r="C504" s="21"/>
      <c r="D504" s="90"/>
      <c r="E504" s="177"/>
      <c r="F504" s="195"/>
      <c r="G504" s="158"/>
      <c r="H504" s="158"/>
      <c r="I504" s="89"/>
      <c r="J504" s="89"/>
      <c r="K504" s="89"/>
      <c r="L504" s="89"/>
      <c r="M504" s="91"/>
    </row>
    <row r="505" spans="1:13" x14ac:dyDescent="0.3">
      <c r="A505" s="88"/>
      <c r="B505" s="89"/>
      <c r="C505" s="21"/>
      <c r="D505" s="90"/>
      <c r="E505" s="177"/>
      <c r="F505" s="195"/>
      <c r="G505" s="158"/>
      <c r="H505" s="158"/>
      <c r="I505" s="89"/>
      <c r="J505" s="89"/>
      <c r="K505" s="89"/>
      <c r="L505" s="89"/>
      <c r="M505" s="91"/>
    </row>
    <row r="506" spans="1:13" x14ac:dyDescent="0.3">
      <c r="A506" s="88"/>
      <c r="B506" s="89"/>
      <c r="C506" s="21"/>
      <c r="D506" s="90"/>
      <c r="E506" s="177"/>
      <c r="F506" s="195"/>
      <c r="G506" s="158"/>
      <c r="H506" s="158"/>
      <c r="I506" s="89"/>
      <c r="J506" s="89"/>
      <c r="K506" s="89"/>
      <c r="L506" s="89"/>
      <c r="M506" s="91"/>
    </row>
    <row r="507" spans="1:13" ht="19.5" thickBot="1" x14ac:dyDescent="0.35">
      <c r="A507" s="92"/>
      <c r="B507" s="93"/>
      <c r="C507" s="94"/>
      <c r="D507" s="95"/>
      <c r="E507" s="178"/>
      <c r="F507" s="196"/>
      <c r="G507" s="159"/>
      <c r="H507" s="159"/>
      <c r="I507" s="93"/>
      <c r="J507" s="93"/>
      <c r="K507" s="93"/>
      <c r="L507" s="93"/>
      <c r="M507" s="96"/>
    </row>
  </sheetData>
  <mergeCells count="24">
    <mergeCell ref="J83:J91"/>
    <mergeCell ref="K72:K82"/>
    <mergeCell ref="J1:J2"/>
    <mergeCell ref="K1:K2"/>
    <mergeCell ref="G72:G82"/>
    <mergeCell ref="H72:H82"/>
    <mergeCell ref="K18:K31"/>
    <mergeCell ref="G18:G31"/>
    <mergeCell ref="H18:H31"/>
    <mergeCell ref="H6:H16"/>
    <mergeCell ref="K54:K61"/>
    <mergeCell ref="C1:I2"/>
    <mergeCell ref="G6:G16"/>
    <mergeCell ref="F95:F97"/>
    <mergeCell ref="G44:G53"/>
    <mergeCell ref="H44:H53"/>
    <mergeCell ref="G32:G43"/>
    <mergeCell ref="H32:H43"/>
    <mergeCell ref="G54:G61"/>
    <mergeCell ref="H54:H61"/>
    <mergeCell ref="G62:G71"/>
    <mergeCell ref="H62:H71"/>
    <mergeCell ref="G83:G91"/>
    <mergeCell ref="H83:H9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55"/>
  <sheetViews>
    <sheetView workbookViewId="0">
      <selection activeCell="K18" sqref="K18"/>
    </sheetView>
  </sheetViews>
  <sheetFormatPr defaultRowHeight="15" x14ac:dyDescent="0.25"/>
  <cols>
    <col min="2" max="2" width="29.28515625" customWidth="1"/>
    <col min="3" max="3" width="29.85546875" customWidth="1"/>
    <col min="4" max="4" width="29" customWidth="1"/>
    <col min="5" max="5" width="22" customWidth="1"/>
  </cols>
  <sheetData>
    <row r="3" spans="1:5" ht="33" customHeight="1" x14ac:dyDescent="0.25">
      <c r="A3" s="198" t="s">
        <v>308</v>
      </c>
      <c r="B3" s="198" t="s">
        <v>309</v>
      </c>
      <c r="C3" s="198" t="s">
        <v>310</v>
      </c>
      <c r="D3" s="198" t="s">
        <v>9</v>
      </c>
      <c r="E3" s="198" t="s">
        <v>311</v>
      </c>
    </row>
    <row r="4" spans="1:5" x14ac:dyDescent="0.25">
      <c r="A4" s="199">
        <v>1</v>
      </c>
      <c r="B4" s="200" t="s">
        <v>20</v>
      </c>
      <c r="C4" s="5" t="s">
        <v>21</v>
      </c>
      <c r="D4" s="5" t="s">
        <v>19</v>
      </c>
      <c r="E4" s="85"/>
    </row>
    <row r="5" spans="1:5" x14ac:dyDescent="0.25">
      <c r="A5" s="199">
        <v>2</v>
      </c>
      <c r="B5" s="200" t="s">
        <v>61</v>
      </c>
      <c r="C5" s="5" t="s">
        <v>62</v>
      </c>
      <c r="D5" s="5" t="s">
        <v>60</v>
      </c>
      <c r="E5" s="85"/>
    </row>
    <row r="6" spans="1:5" x14ac:dyDescent="0.25">
      <c r="A6" s="199">
        <v>3</v>
      </c>
      <c r="B6" s="200" t="s">
        <v>63</v>
      </c>
      <c r="C6" s="5" t="s">
        <v>28</v>
      </c>
      <c r="D6" s="5" t="s">
        <v>24</v>
      </c>
      <c r="E6" s="85"/>
    </row>
    <row r="7" spans="1:5" x14ac:dyDescent="0.25">
      <c r="A7" s="199">
        <v>4</v>
      </c>
      <c r="B7" s="200" t="s">
        <v>63</v>
      </c>
      <c r="C7" s="5" t="s">
        <v>28</v>
      </c>
      <c r="D7" s="5" t="s">
        <v>24</v>
      </c>
      <c r="E7" s="85"/>
    </row>
    <row r="8" spans="1:5" x14ac:dyDescent="0.25">
      <c r="A8" s="199">
        <v>5</v>
      </c>
      <c r="B8" s="200" t="s">
        <v>25</v>
      </c>
      <c r="C8" s="5" t="s">
        <v>26</v>
      </c>
      <c r="D8" s="5" t="s">
        <v>24</v>
      </c>
      <c r="E8" s="85"/>
    </row>
    <row r="9" spans="1:5" x14ac:dyDescent="0.25">
      <c r="A9" s="199">
        <v>6</v>
      </c>
      <c r="B9" s="200" t="s">
        <v>27</v>
      </c>
      <c r="C9" s="5" t="s">
        <v>28</v>
      </c>
      <c r="D9" s="5" t="s">
        <v>24</v>
      </c>
      <c r="E9" s="85"/>
    </row>
    <row r="10" spans="1:5" x14ac:dyDescent="0.25">
      <c r="A10" s="199">
        <v>7</v>
      </c>
      <c r="B10" s="200" t="s">
        <v>27</v>
      </c>
      <c r="C10" s="5" t="s">
        <v>28</v>
      </c>
      <c r="D10" s="5" t="s">
        <v>24</v>
      </c>
      <c r="E10" s="85"/>
    </row>
    <row r="11" spans="1:5" ht="30" x14ac:dyDescent="0.25">
      <c r="A11" s="199">
        <v>8</v>
      </c>
      <c r="B11" s="200" t="s">
        <v>29</v>
      </c>
      <c r="C11" s="5" t="s">
        <v>30</v>
      </c>
      <c r="D11" s="5" t="s">
        <v>24</v>
      </c>
      <c r="E11" s="85"/>
    </row>
    <row r="12" spans="1:5" x14ac:dyDescent="0.25">
      <c r="A12" s="199">
        <v>9</v>
      </c>
      <c r="B12" s="200" t="s">
        <v>32</v>
      </c>
      <c r="C12" s="5" t="s">
        <v>33</v>
      </c>
      <c r="D12" s="5" t="s">
        <v>31</v>
      </c>
      <c r="E12" s="85"/>
    </row>
    <row r="13" spans="1:5" x14ac:dyDescent="0.25">
      <c r="A13" s="199">
        <v>10</v>
      </c>
      <c r="B13" s="200" t="s">
        <v>35</v>
      </c>
      <c r="C13" s="5" t="s">
        <v>36</v>
      </c>
      <c r="D13" s="5" t="s">
        <v>34</v>
      </c>
      <c r="E13" s="85"/>
    </row>
    <row r="14" spans="1:5" x14ac:dyDescent="0.25">
      <c r="A14" s="199">
        <v>11</v>
      </c>
      <c r="B14" s="200" t="s">
        <v>38</v>
      </c>
      <c r="C14" s="5" t="s">
        <v>33</v>
      </c>
      <c r="D14" s="5" t="s">
        <v>37</v>
      </c>
      <c r="E14" s="85"/>
    </row>
    <row r="15" spans="1:5" x14ac:dyDescent="0.25">
      <c r="A15" s="199">
        <v>12</v>
      </c>
      <c r="B15" s="200" t="s">
        <v>41</v>
      </c>
      <c r="C15" s="5" t="s">
        <v>39</v>
      </c>
      <c r="D15" s="5" t="s">
        <v>40</v>
      </c>
      <c r="E15" s="85"/>
    </row>
    <row r="16" spans="1:5" x14ac:dyDescent="0.25">
      <c r="A16" s="199">
        <v>13</v>
      </c>
      <c r="B16" s="200" t="s">
        <v>41</v>
      </c>
      <c r="C16" s="5" t="s">
        <v>39</v>
      </c>
      <c r="D16" s="5" t="s">
        <v>40</v>
      </c>
      <c r="E16" s="85"/>
    </row>
    <row r="17" spans="1:5" x14ac:dyDescent="0.25">
      <c r="A17" s="199">
        <v>14</v>
      </c>
      <c r="B17" s="200" t="s">
        <v>228</v>
      </c>
      <c r="C17" s="5" t="s">
        <v>229</v>
      </c>
      <c r="D17" s="5" t="s">
        <v>227</v>
      </c>
      <c r="E17" s="85"/>
    </row>
    <row r="18" spans="1:5" x14ac:dyDescent="0.25">
      <c r="A18" s="199">
        <v>15</v>
      </c>
      <c r="B18" s="200" t="s">
        <v>231</v>
      </c>
      <c r="C18" s="5" t="s">
        <v>232</v>
      </c>
      <c r="D18" s="5" t="s">
        <v>230</v>
      </c>
      <c r="E18" s="85"/>
    </row>
    <row r="19" spans="1:5" x14ac:dyDescent="0.25">
      <c r="A19" s="199">
        <v>16</v>
      </c>
      <c r="B19" s="200" t="s">
        <v>234</v>
      </c>
      <c r="C19" s="5" t="s">
        <v>235</v>
      </c>
      <c r="D19" s="5" t="s">
        <v>233</v>
      </c>
      <c r="E19" s="85"/>
    </row>
    <row r="20" spans="1:5" x14ac:dyDescent="0.25">
      <c r="A20" s="199">
        <v>17</v>
      </c>
      <c r="B20" s="200" t="s">
        <v>158</v>
      </c>
      <c r="C20" s="5" t="s">
        <v>157</v>
      </c>
      <c r="D20" s="5" t="s">
        <v>42</v>
      </c>
      <c r="E20" s="85"/>
    </row>
    <row r="21" spans="1:5" x14ac:dyDescent="0.25">
      <c r="A21" s="199">
        <v>18</v>
      </c>
      <c r="B21" s="200" t="s">
        <v>236</v>
      </c>
      <c r="C21" s="5" t="s">
        <v>157</v>
      </c>
      <c r="D21" s="5" t="s">
        <v>42</v>
      </c>
      <c r="E21" s="85"/>
    </row>
    <row r="22" spans="1:5" x14ac:dyDescent="0.25">
      <c r="A22" s="199">
        <v>19</v>
      </c>
      <c r="B22" s="200" t="s">
        <v>158</v>
      </c>
      <c r="C22" s="5" t="s">
        <v>157</v>
      </c>
      <c r="D22" s="5" t="s">
        <v>42</v>
      </c>
      <c r="E22" s="85"/>
    </row>
    <row r="23" spans="1:5" x14ac:dyDescent="0.25">
      <c r="A23" s="199">
        <v>20</v>
      </c>
      <c r="B23" s="200" t="s">
        <v>236</v>
      </c>
      <c r="C23" s="5" t="s">
        <v>157</v>
      </c>
      <c r="D23" s="5" t="s">
        <v>42</v>
      </c>
      <c r="E23" s="85"/>
    </row>
    <row r="24" spans="1:5" x14ac:dyDescent="0.25">
      <c r="A24" s="199">
        <v>21</v>
      </c>
      <c r="B24" s="200" t="s">
        <v>20</v>
      </c>
      <c r="C24" s="5" t="s">
        <v>21</v>
      </c>
      <c r="D24" s="5" t="s">
        <v>43</v>
      </c>
      <c r="E24" s="85"/>
    </row>
    <row r="25" spans="1:5" x14ac:dyDescent="0.25">
      <c r="A25" s="199">
        <v>22</v>
      </c>
      <c r="B25" s="200" t="s">
        <v>156</v>
      </c>
      <c r="C25" s="5" t="s">
        <v>44</v>
      </c>
      <c r="D25" s="5" t="s">
        <v>45</v>
      </c>
      <c r="E25" s="85"/>
    </row>
    <row r="26" spans="1:5" x14ac:dyDescent="0.25">
      <c r="A26" s="199">
        <v>23</v>
      </c>
      <c r="B26" s="200" t="s">
        <v>155</v>
      </c>
      <c r="C26" s="5" t="s">
        <v>44</v>
      </c>
      <c r="D26" s="5" t="s">
        <v>45</v>
      </c>
      <c r="E26" s="85"/>
    </row>
    <row r="27" spans="1:5" x14ac:dyDescent="0.25">
      <c r="A27" s="199">
        <v>24</v>
      </c>
      <c r="B27" s="200" t="s">
        <v>22</v>
      </c>
      <c r="C27" s="5" t="s">
        <v>23</v>
      </c>
      <c r="D27" s="5" t="s">
        <v>46</v>
      </c>
      <c r="E27" s="85"/>
    </row>
    <row r="28" spans="1:5" x14ac:dyDescent="0.25">
      <c r="A28" s="199">
        <v>25</v>
      </c>
      <c r="B28" s="200" t="s">
        <v>22</v>
      </c>
      <c r="C28" s="5" t="s">
        <v>23</v>
      </c>
      <c r="D28" s="5" t="s">
        <v>46</v>
      </c>
      <c r="E28" s="85"/>
    </row>
    <row r="29" spans="1:5" x14ac:dyDescent="0.25">
      <c r="A29" s="199">
        <v>26</v>
      </c>
      <c r="B29" s="200" t="s">
        <v>237</v>
      </c>
      <c r="C29" s="5" t="s">
        <v>238</v>
      </c>
      <c r="D29" s="5" t="s">
        <v>46</v>
      </c>
      <c r="E29" s="85"/>
    </row>
    <row r="30" spans="1:5" x14ac:dyDescent="0.25">
      <c r="A30" s="199">
        <v>27</v>
      </c>
      <c r="B30" s="200" t="s">
        <v>22</v>
      </c>
      <c r="C30" s="5" t="s">
        <v>23</v>
      </c>
      <c r="D30" s="5" t="s">
        <v>46</v>
      </c>
      <c r="E30" s="85"/>
    </row>
    <row r="31" spans="1:5" x14ac:dyDescent="0.25">
      <c r="A31" s="199">
        <v>28</v>
      </c>
      <c r="B31" s="200" t="s">
        <v>224</v>
      </c>
      <c r="C31" s="5" t="s">
        <v>225</v>
      </c>
      <c r="D31" s="5" t="s">
        <v>223</v>
      </c>
      <c r="E31" s="85"/>
    </row>
    <row r="32" spans="1:5" x14ac:dyDescent="0.25">
      <c r="A32" s="199">
        <v>29</v>
      </c>
      <c r="B32" s="200" t="s">
        <v>226</v>
      </c>
      <c r="C32" s="5" t="s">
        <v>225</v>
      </c>
      <c r="D32" s="5" t="s">
        <v>223</v>
      </c>
      <c r="E32" s="85"/>
    </row>
    <row r="33" spans="1:5" x14ac:dyDescent="0.25">
      <c r="A33" s="199">
        <v>30</v>
      </c>
      <c r="B33" s="48" t="s">
        <v>312</v>
      </c>
      <c r="C33" s="5" t="s">
        <v>313</v>
      </c>
      <c r="D33" s="48" t="s">
        <v>314</v>
      </c>
      <c r="E33" s="85"/>
    </row>
    <row r="34" spans="1:5" x14ac:dyDescent="0.25">
      <c r="A34" s="199">
        <v>31</v>
      </c>
      <c r="B34" s="48" t="s">
        <v>312</v>
      </c>
      <c r="C34" s="5" t="s">
        <v>313</v>
      </c>
      <c r="D34" s="48" t="s">
        <v>314</v>
      </c>
      <c r="E34" s="85"/>
    </row>
    <row r="35" spans="1:5" x14ac:dyDescent="0.25">
      <c r="A35" s="199">
        <v>32</v>
      </c>
      <c r="B35" s="48" t="s">
        <v>315</v>
      </c>
      <c r="C35" s="5" t="s">
        <v>316</v>
      </c>
      <c r="D35" s="48" t="s">
        <v>314</v>
      </c>
      <c r="E35" s="85"/>
    </row>
    <row r="36" spans="1:5" x14ac:dyDescent="0.25">
      <c r="A36" s="199">
        <v>33</v>
      </c>
      <c r="B36" s="48" t="s">
        <v>20</v>
      </c>
      <c r="C36" s="5" t="s">
        <v>21</v>
      </c>
      <c r="D36" s="48" t="s">
        <v>19</v>
      </c>
      <c r="E36" s="85"/>
    </row>
    <row r="37" spans="1:5" x14ac:dyDescent="0.25">
      <c r="A37" s="199">
        <v>34</v>
      </c>
      <c r="B37" s="48" t="s">
        <v>20</v>
      </c>
      <c r="C37" s="5" t="s">
        <v>21</v>
      </c>
      <c r="D37" s="48" t="s">
        <v>19</v>
      </c>
      <c r="E37" s="85"/>
    </row>
    <row r="38" spans="1:5" x14ac:dyDescent="0.25">
      <c r="A38" s="199">
        <v>35</v>
      </c>
      <c r="B38" s="48" t="s">
        <v>61</v>
      </c>
      <c r="C38" s="5" t="s">
        <v>62</v>
      </c>
      <c r="D38" s="48" t="s">
        <v>60</v>
      </c>
      <c r="E38" s="85"/>
    </row>
    <row r="39" spans="1:5" x14ac:dyDescent="0.25">
      <c r="A39" s="199">
        <v>36</v>
      </c>
      <c r="B39" s="48" t="s">
        <v>63</v>
      </c>
      <c r="C39" s="5" t="s">
        <v>28</v>
      </c>
      <c r="D39" s="48" t="s">
        <v>24</v>
      </c>
      <c r="E39" s="85"/>
    </row>
    <row r="40" spans="1:5" x14ac:dyDescent="0.25">
      <c r="A40" s="199">
        <v>37</v>
      </c>
      <c r="B40" s="48" t="s">
        <v>63</v>
      </c>
      <c r="C40" s="5" t="s">
        <v>28</v>
      </c>
      <c r="D40" s="48" t="s">
        <v>24</v>
      </c>
      <c r="E40" s="85"/>
    </row>
    <row r="41" spans="1:5" x14ac:dyDescent="0.25">
      <c r="A41" s="199">
        <v>38</v>
      </c>
      <c r="B41" s="48" t="s">
        <v>25</v>
      </c>
      <c r="C41" s="5" t="s">
        <v>26</v>
      </c>
      <c r="D41" s="48" t="s">
        <v>24</v>
      </c>
      <c r="E41" s="85"/>
    </row>
    <row r="42" spans="1:5" x14ac:dyDescent="0.25">
      <c r="A42" s="199">
        <v>39</v>
      </c>
      <c r="B42" s="48" t="s">
        <v>27</v>
      </c>
      <c r="C42" s="5" t="s">
        <v>28</v>
      </c>
      <c r="D42" s="48" t="s">
        <v>24</v>
      </c>
      <c r="E42" s="85"/>
    </row>
    <row r="43" spans="1:5" x14ac:dyDescent="0.25">
      <c r="A43" s="199">
        <v>40</v>
      </c>
      <c r="B43" s="48" t="s">
        <v>27</v>
      </c>
      <c r="C43" s="5" t="s">
        <v>28</v>
      </c>
      <c r="D43" s="48" t="s">
        <v>24</v>
      </c>
      <c r="E43" s="85"/>
    </row>
    <row r="44" spans="1:5" ht="30" x14ac:dyDescent="0.25">
      <c r="A44" s="199">
        <v>41</v>
      </c>
      <c r="B44" s="48" t="s">
        <v>29</v>
      </c>
      <c r="C44" s="5" t="s">
        <v>30</v>
      </c>
      <c r="D44" s="48" t="s">
        <v>24</v>
      </c>
      <c r="E44" s="85"/>
    </row>
    <row r="45" spans="1:5" x14ac:dyDescent="0.25">
      <c r="A45" s="199">
        <v>42</v>
      </c>
      <c r="B45" s="48" t="s">
        <v>317</v>
      </c>
      <c r="C45" s="5" t="s">
        <v>318</v>
      </c>
      <c r="D45" s="48" t="s">
        <v>319</v>
      </c>
      <c r="E45" s="85"/>
    </row>
    <row r="46" spans="1:5" x14ac:dyDescent="0.25">
      <c r="A46" s="199">
        <v>43</v>
      </c>
      <c r="B46" s="48" t="s">
        <v>320</v>
      </c>
      <c r="C46" s="5" t="s">
        <v>321</v>
      </c>
      <c r="D46" s="48" t="s">
        <v>322</v>
      </c>
      <c r="E46" s="85"/>
    </row>
    <row r="47" spans="1:5" x14ac:dyDescent="0.25">
      <c r="A47" s="199">
        <v>44</v>
      </c>
      <c r="B47" s="48" t="s">
        <v>320</v>
      </c>
      <c r="C47" s="5" t="s">
        <v>321</v>
      </c>
      <c r="D47" s="48" t="s">
        <v>322</v>
      </c>
      <c r="E47" s="85"/>
    </row>
    <row r="48" spans="1:5" x14ac:dyDescent="0.25">
      <c r="A48" s="199">
        <v>45</v>
      </c>
      <c r="B48" s="48" t="s">
        <v>32</v>
      </c>
      <c r="C48" s="5" t="s">
        <v>33</v>
      </c>
      <c r="D48" s="48" t="s">
        <v>31</v>
      </c>
      <c r="E48" s="85"/>
    </row>
    <row r="49" spans="1:5" x14ac:dyDescent="0.25">
      <c r="A49" s="199">
        <v>46</v>
      </c>
      <c r="B49" s="48" t="s">
        <v>323</v>
      </c>
      <c r="C49" s="5" t="s">
        <v>324</v>
      </c>
      <c r="D49" s="48" t="s">
        <v>325</v>
      </c>
      <c r="E49" s="85"/>
    </row>
    <row r="50" spans="1:5" x14ac:dyDescent="0.25">
      <c r="A50" s="199">
        <v>47</v>
      </c>
      <c r="B50" s="48" t="s">
        <v>35</v>
      </c>
      <c r="C50" s="5" t="s">
        <v>36</v>
      </c>
      <c r="D50" s="48" t="s">
        <v>34</v>
      </c>
      <c r="E50" s="85"/>
    </row>
    <row r="51" spans="1:5" x14ac:dyDescent="0.25">
      <c r="A51" s="199">
        <v>48</v>
      </c>
      <c r="B51" s="48" t="s">
        <v>326</v>
      </c>
      <c r="C51" s="5" t="s">
        <v>327</v>
      </c>
      <c r="D51" s="48" t="s">
        <v>328</v>
      </c>
      <c r="E51" s="85"/>
    </row>
    <row r="52" spans="1:5" x14ac:dyDescent="0.25">
      <c r="A52" s="199">
        <v>49</v>
      </c>
      <c r="B52" s="48" t="s">
        <v>38</v>
      </c>
      <c r="C52" s="5" t="s">
        <v>33</v>
      </c>
      <c r="D52" s="48" t="s">
        <v>37</v>
      </c>
      <c r="E52" s="85"/>
    </row>
    <row r="53" spans="1:5" x14ac:dyDescent="0.25">
      <c r="A53" s="199">
        <v>50</v>
      </c>
      <c r="B53" s="48" t="s">
        <v>41</v>
      </c>
      <c r="C53" s="5" t="s">
        <v>39</v>
      </c>
      <c r="D53" s="48" t="s">
        <v>40</v>
      </c>
      <c r="E53" s="85"/>
    </row>
    <row r="54" spans="1:5" x14ac:dyDescent="0.25">
      <c r="A54" s="199">
        <v>51</v>
      </c>
      <c r="B54" s="48" t="s">
        <v>41</v>
      </c>
      <c r="C54" s="5" t="s">
        <v>39</v>
      </c>
      <c r="D54" s="48" t="s">
        <v>40</v>
      </c>
      <c r="E54" s="85"/>
    </row>
    <row r="55" spans="1:5" x14ac:dyDescent="0.25">
      <c r="A55" s="199">
        <v>52</v>
      </c>
      <c r="B55" s="48" t="s">
        <v>329</v>
      </c>
      <c r="C55" s="5" t="s">
        <v>39</v>
      </c>
      <c r="D55" s="48" t="s">
        <v>40</v>
      </c>
      <c r="E55" s="85"/>
    </row>
    <row r="56" spans="1:5" x14ac:dyDescent="0.25">
      <c r="A56" s="199">
        <v>53</v>
      </c>
      <c r="B56" s="48" t="s">
        <v>228</v>
      </c>
      <c r="C56" s="5" t="s">
        <v>229</v>
      </c>
      <c r="D56" s="48" t="s">
        <v>227</v>
      </c>
      <c r="E56" s="85"/>
    </row>
    <row r="57" spans="1:5" x14ac:dyDescent="0.25">
      <c r="A57" s="199">
        <v>54</v>
      </c>
      <c r="B57" s="48" t="s">
        <v>231</v>
      </c>
      <c r="C57" s="5" t="s">
        <v>232</v>
      </c>
      <c r="D57" s="48" t="s">
        <v>230</v>
      </c>
      <c r="E57" s="85"/>
    </row>
    <row r="58" spans="1:5" x14ac:dyDescent="0.25">
      <c r="A58" s="199">
        <v>55</v>
      </c>
      <c r="B58" s="48" t="s">
        <v>330</v>
      </c>
      <c r="C58" s="5" t="s">
        <v>331</v>
      </c>
      <c r="D58" s="48" t="s">
        <v>332</v>
      </c>
      <c r="E58" s="85"/>
    </row>
    <row r="59" spans="1:5" x14ac:dyDescent="0.25">
      <c r="A59" s="199">
        <v>56</v>
      </c>
      <c r="B59" s="48" t="s">
        <v>333</v>
      </c>
      <c r="C59" s="5" t="s">
        <v>334</v>
      </c>
      <c r="D59" s="48" t="s">
        <v>335</v>
      </c>
      <c r="E59" s="85"/>
    </row>
    <row r="60" spans="1:5" x14ac:dyDescent="0.25">
      <c r="A60" s="199">
        <v>57</v>
      </c>
      <c r="B60" s="48" t="s">
        <v>336</v>
      </c>
      <c r="C60" s="5" t="s">
        <v>337</v>
      </c>
      <c r="D60" s="48" t="s">
        <v>338</v>
      </c>
      <c r="E60" s="85"/>
    </row>
    <row r="61" spans="1:5" x14ac:dyDescent="0.25">
      <c r="A61" s="199">
        <v>58</v>
      </c>
      <c r="B61" s="48" t="s">
        <v>234</v>
      </c>
      <c r="C61" s="5" t="s">
        <v>235</v>
      </c>
      <c r="D61" s="48" t="s">
        <v>233</v>
      </c>
      <c r="E61" s="85"/>
    </row>
    <row r="62" spans="1:5" x14ac:dyDescent="0.25">
      <c r="A62" s="199">
        <v>59</v>
      </c>
      <c r="B62" s="48" t="s">
        <v>339</v>
      </c>
      <c r="C62" s="5" t="s">
        <v>340</v>
      </c>
      <c r="D62" s="48" t="s">
        <v>341</v>
      </c>
      <c r="E62" s="85"/>
    </row>
    <row r="63" spans="1:5" x14ac:dyDescent="0.25">
      <c r="A63" s="199">
        <v>60</v>
      </c>
      <c r="B63" s="48" t="s">
        <v>158</v>
      </c>
      <c r="C63" s="5" t="s">
        <v>157</v>
      </c>
      <c r="D63" s="48" t="s">
        <v>42</v>
      </c>
      <c r="E63" s="85"/>
    </row>
    <row r="64" spans="1:5" x14ac:dyDescent="0.25">
      <c r="A64" s="199">
        <v>61</v>
      </c>
      <c r="B64" s="48" t="s">
        <v>236</v>
      </c>
      <c r="C64" s="5" t="s">
        <v>157</v>
      </c>
      <c r="D64" s="48" t="s">
        <v>42</v>
      </c>
      <c r="E64" s="85"/>
    </row>
    <row r="65" spans="1:5" x14ac:dyDescent="0.25">
      <c r="A65" s="199">
        <v>62</v>
      </c>
      <c r="B65" s="48" t="s">
        <v>158</v>
      </c>
      <c r="C65" s="5" t="s">
        <v>157</v>
      </c>
      <c r="D65" s="48" t="s">
        <v>42</v>
      </c>
      <c r="E65" s="85"/>
    </row>
    <row r="66" spans="1:5" x14ac:dyDescent="0.25">
      <c r="A66" s="199">
        <v>63</v>
      </c>
      <c r="B66" s="48" t="s">
        <v>236</v>
      </c>
      <c r="C66" s="5" t="s">
        <v>157</v>
      </c>
      <c r="D66" s="48" t="s">
        <v>42</v>
      </c>
      <c r="E66" s="85"/>
    </row>
    <row r="67" spans="1:5" x14ac:dyDescent="0.25">
      <c r="A67" s="199">
        <v>64</v>
      </c>
      <c r="B67" s="48" t="s">
        <v>20</v>
      </c>
      <c r="C67" s="5" t="s">
        <v>21</v>
      </c>
      <c r="D67" s="48" t="s">
        <v>43</v>
      </c>
      <c r="E67" s="85"/>
    </row>
    <row r="68" spans="1:5" x14ac:dyDescent="0.25">
      <c r="A68" s="199">
        <v>65</v>
      </c>
      <c r="B68" s="48" t="s">
        <v>342</v>
      </c>
      <c r="C68" s="5" t="s">
        <v>343</v>
      </c>
      <c r="D68" s="48" t="s">
        <v>344</v>
      </c>
      <c r="E68" s="85"/>
    </row>
    <row r="69" spans="1:5" x14ac:dyDescent="0.25">
      <c r="A69" s="199">
        <v>66</v>
      </c>
      <c r="B69" s="48" t="s">
        <v>345</v>
      </c>
      <c r="C69" s="5" t="s">
        <v>346</v>
      </c>
      <c r="D69" s="48" t="s">
        <v>347</v>
      </c>
      <c r="E69" s="85"/>
    </row>
    <row r="70" spans="1:5" x14ac:dyDescent="0.25">
      <c r="A70" s="199">
        <v>67</v>
      </c>
      <c r="B70" s="48" t="s">
        <v>348</v>
      </c>
      <c r="C70" s="5" t="s">
        <v>349</v>
      </c>
      <c r="D70" s="48" t="s">
        <v>350</v>
      </c>
      <c r="E70" s="85"/>
    </row>
    <row r="71" spans="1:5" x14ac:dyDescent="0.25">
      <c r="A71" s="199">
        <v>68</v>
      </c>
      <c r="B71" s="48" t="s">
        <v>155</v>
      </c>
      <c r="C71" s="5" t="s">
        <v>44</v>
      </c>
      <c r="D71" s="48" t="s">
        <v>45</v>
      </c>
      <c r="E71" s="85"/>
    </row>
    <row r="72" spans="1:5" x14ac:dyDescent="0.25">
      <c r="A72" s="199">
        <v>69</v>
      </c>
      <c r="B72" s="48" t="s">
        <v>156</v>
      </c>
      <c r="C72" s="5" t="s">
        <v>44</v>
      </c>
      <c r="D72" s="48" t="s">
        <v>45</v>
      </c>
      <c r="E72" s="85"/>
    </row>
    <row r="73" spans="1:5" x14ac:dyDescent="0.25">
      <c r="A73" s="199">
        <v>70</v>
      </c>
      <c r="B73" s="48" t="s">
        <v>155</v>
      </c>
      <c r="C73" s="5" t="s">
        <v>44</v>
      </c>
      <c r="D73" s="48" t="s">
        <v>45</v>
      </c>
      <c r="E73" s="85"/>
    </row>
    <row r="74" spans="1:5" x14ac:dyDescent="0.25">
      <c r="A74" s="199">
        <v>71</v>
      </c>
      <c r="B74" s="48" t="s">
        <v>351</v>
      </c>
      <c r="C74" s="5" t="s">
        <v>352</v>
      </c>
      <c r="D74" s="48" t="s">
        <v>353</v>
      </c>
      <c r="E74" s="85"/>
    </row>
    <row r="75" spans="1:5" x14ac:dyDescent="0.25">
      <c r="A75" s="199">
        <v>72</v>
      </c>
      <c r="B75" s="48" t="s">
        <v>354</v>
      </c>
      <c r="C75" s="5" t="s">
        <v>355</v>
      </c>
      <c r="D75" s="48" t="s">
        <v>356</v>
      </c>
      <c r="E75" s="85"/>
    </row>
    <row r="76" spans="1:5" x14ac:dyDescent="0.25">
      <c r="A76" s="199">
        <v>73</v>
      </c>
      <c r="B76" s="48" t="s">
        <v>22</v>
      </c>
      <c r="C76" s="5" t="s">
        <v>23</v>
      </c>
      <c r="D76" s="48" t="s">
        <v>46</v>
      </c>
      <c r="E76" s="85"/>
    </row>
    <row r="77" spans="1:5" x14ac:dyDescent="0.25">
      <c r="A77" s="199">
        <v>74</v>
      </c>
      <c r="B77" s="48" t="s">
        <v>22</v>
      </c>
      <c r="C77" s="5" t="s">
        <v>23</v>
      </c>
      <c r="D77" s="48" t="s">
        <v>46</v>
      </c>
      <c r="E77" s="85"/>
    </row>
    <row r="78" spans="1:5" x14ac:dyDescent="0.25">
      <c r="A78" s="199">
        <v>75</v>
      </c>
      <c r="B78" s="48" t="s">
        <v>22</v>
      </c>
      <c r="C78" s="5" t="s">
        <v>23</v>
      </c>
      <c r="D78" s="48" t="s">
        <v>46</v>
      </c>
      <c r="E78" s="85"/>
    </row>
    <row r="79" spans="1:5" x14ac:dyDescent="0.25">
      <c r="A79" s="199">
        <v>76</v>
      </c>
      <c r="B79" s="48" t="s">
        <v>224</v>
      </c>
      <c r="C79" s="5" t="s">
        <v>225</v>
      </c>
      <c r="D79" s="48" t="s">
        <v>223</v>
      </c>
      <c r="E79" s="85"/>
    </row>
    <row r="80" spans="1:5" x14ac:dyDescent="0.25">
      <c r="A80" s="199">
        <v>77</v>
      </c>
      <c r="B80" s="48" t="s">
        <v>226</v>
      </c>
      <c r="C80" s="5" t="s">
        <v>225</v>
      </c>
      <c r="D80" s="48" t="s">
        <v>223</v>
      </c>
      <c r="E80" s="85"/>
    </row>
    <row r="81" spans="1:5" x14ac:dyDescent="0.25">
      <c r="A81" s="199">
        <v>78</v>
      </c>
      <c r="B81" s="48" t="s">
        <v>20</v>
      </c>
      <c r="C81" s="5" t="s">
        <v>21</v>
      </c>
      <c r="D81" s="5" t="s">
        <v>19</v>
      </c>
      <c r="E81" s="85"/>
    </row>
    <row r="82" spans="1:5" x14ac:dyDescent="0.25">
      <c r="A82" s="199">
        <v>79</v>
      </c>
      <c r="B82" s="48" t="s">
        <v>61</v>
      </c>
      <c r="C82" s="5" t="s">
        <v>62</v>
      </c>
      <c r="D82" s="5" t="s">
        <v>60</v>
      </c>
      <c r="E82" s="85"/>
    </row>
    <row r="83" spans="1:5" x14ac:dyDescent="0.25">
      <c r="A83" s="199">
        <v>80</v>
      </c>
      <c r="B83" s="48" t="s">
        <v>63</v>
      </c>
      <c r="C83" s="5" t="s">
        <v>28</v>
      </c>
      <c r="D83" s="5" t="s">
        <v>24</v>
      </c>
      <c r="E83" s="85"/>
    </row>
    <row r="84" spans="1:5" x14ac:dyDescent="0.25">
      <c r="A84" s="199">
        <v>81</v>
      </c>
      <c r="B84" s="48" t="s">
        <v>63</v>
      </c>
      <c r="C84" s="5" t="s">
        <v>28</v>
      </c>
      <c r="D84" s="5" t="s">
        <v>24</v>
      </c>
      <c r="E84" s="85"/>
    </row>
    <row r="85" spans="1:5" x14ac:dyDescent="0.25">
      <c r="A85" s="199">
        <v>82</v>
      </c>
      <c r="B85" s="48" t="s">
        <v>25</v>
      </c>
      <c r="C85" s="5" t="s">
        <v>26</v>
      </c>
      <c r="D85" s="5" t="s">
        <v>24</v>
      </c>
      <c r="E85" s="85"/>
    </row>
    <row r="86" spans="1:5" x14ac:dyDescent="0.25">
      <c r="A86" s="199">
        <v>83</v>
      </c>
      <c r="B86" s="48" t="s">
        <v>27</v>
      </c>
      <c r="C86" s="5" t="s">
        <v>28</v>
      </c>
      <c r="D86" s="5" t="s">
        <v>24</v>
      </c>
      <c r="E86" s="85"/>
    </row>
    <row r="87" spans="1:5" x14ac:dyDescent="0.25">
      <c r="A87" s="199">
        <v>84</v>
      </c>
      <c r="B87" s="48" t="s">
        <v>27</v>
      </c>
      <c r="C87" s="5" t="s">
        <v>28</v>
      </c>
      <c r="D87" s="5" t="s">
        <v>24</v>
      </c>
      <c r="E87" s="85"/>
    </row>
    <row r="88" spans="1:5" ht="30" x14ac:dyDescent="0.25">
      <c r="A88" s="199">
        <v>85</v>
      </c>
      <c r="B88" s="48" t="s">
        <v>29</v>
      </c>
      <c r="C88" s="5" t="s">
        <v>30</v>
      </c>
      <c r="D88" s="5" t="s">
        <v>24</v>
      </c>
      <c r="E88" s="85"/>
    </row>
    <row r="89" spans="1:5" x14ac:dyDescent="0.25">
      <c r="A89" s="199">
        <v>86</v>
      </c>
      <c r="B89" s="48" t="s">
        <v>354</v>
      </c>
      <c r="C89" s="5" t="s">
        <v>355</v>
      </c>
      <c r="D89" s="5" t="s">
        <v>357</v>
      </c>
      <c r="E89" s="85"/>
    </row>
    <row r="90" spans="1:5" x14ac:dyDescent="0.25">
      <c r="A90" s="199">
        <v>87</v>
      </c>
      <c r="B90" s="48" t="s">
        <v>354</v>
      </c>
      <c r="C90" s="5" t="s">
        <v>355</v>
      </c>
      <c r="D90" s="5" t="s">
        <v>358</v>
      </c>
      <c r="E90" s="85"/>
    </row>
    <row r="91" spans="1:5" x14ac:dyDescent="0.25">
      <c r="A91" s="199">
        <v>88</v>
      </c>
      <c r="B91" s="48" t="s">
        <v>354</v>
      </c>
      <c r="C91" s="5" t="s">
        <v>355</v>
      </c>
      <c r="D91" s="5" t="s">
        <v>358</v>
      </c>
      <c r="E91" s="85"/>
    </row>
    <row r="92" spans="1:5" x14ac:dyDescent="0.25">
      <c r="A92" s="199">
        <v>89</v>
      </c>
      <c r="B92" s="48" t="s">
        <v>32</v>
      </c>
      <c r="C92" s="5" t="s">
        <v>33</v>
      </c>
      <c r="D92" s="5" t="s">
        <v>31</v>
      </c>
      <c r="E92" s="85"/>
    </row>
    <row r="93" spans="1:5" x14ac:dyDescent="0.25">
      <c r="A93" s="199">
        <v>90</v>
      </c>
      <c r="B93" s="48" t="s">
        <v>35</v>
      </c>
      <c r="C93" s="5" t="s">
        <v>36</v>
      </c>
      <c r="D93" s="5" t="s">
        <v>34</v>
      </c>
      <c r="E93" s="85"/>
    </row>
    <row r="94" spans="1:5" x14ac:dyDescent="0.25">
      <c r="A94" s="199">
        <v>91</v>
      </c>
      <c r="B94" s="48" t="s">
        <v>38</v>
      </c>
      <c r="C94" s="5" t="s">
        <v>33</v>
      </c>
      <c r="D94" s="5" t="s">
        <v>37</v>
      </c>
      <c r="E94" s="85"/>
    </row>
    <row r="95" spans="1:5" x14ac:dyDescent="0.25">
      <c r="A95" s="199">
        <v>92</v>
      </c>
      <c r="B95" s="48" t="s">
        <v>41</v>
      </c>
      <c r="C95" s="5" t="s">
        <v>39</v>
      </c>
      <c r="D95" s="5" t="s">
        <v>40</v>
      </c>
      <c r="E95" s="85"/>
    </row>
    <row r="96" spans="1:5" x14ac:dyDescent="0.25">
      <c r="A96" s="199">
        <v>93</v>
      </c>
      <c r="B96" s="48" t="s">
        <v>41</v>
      </c>
      <c r="C96" s="5" t="s">
        <v>39</v>
      </c>
      <c r="D96" s="5" t="s">
        <v>40</v>
      </c>
      <c r="E96" s="85"/>
    </row>
    <row r="97" spans="1:5" x14ac:dyDescent="0.25">
      <c r="A97" s="199">
        <v>94</v>
      </c>
      <c r="B97" s="48" t="s">
        <v>158</v>
      </c>
      <c r="C97" s="5" t="s">
        <v>157</v>
      </c>
      <c r="D97" s="5" t="s">
        <v>42</v>
      </c>
      <c r="E97" s="85"/>
    </row>
    <row r="98" spans="1:5" x14ac:dyDescent="0.25">
      <c r="A98" s="199">
        <v>95</v>
      </c>
      <c r="B98" s="48" t="s">
        <v>20</v>
      </c>
      <c r="C98" s="5" t="s">
        <v>21</v>
      </c>
      <c r="D98" s="5" t="s">
        <v>43</v>
      </c>
      <c r="E98" s="85"/>
    </row>
    <row r="99" spans="1:5" x14ac:dyDescent="0.25">
      <c r="A99" s="199">
        <v>96</v>
      </c>
      <c r="B99" s="48" t="s">
        <v>155</v>
      </c>
      <c r="C99" s="5" t="s">
        <v>44</v>
      </c>
      <c r="D99" s="5" t="s">
        <v>359</v>
      </c>
      <c r="E99" s="85"/>
    </row>
    <row r="100" spans="1:5" x14ac:dyDescent="0.25">
      <c r="A100" s="199">
        <v>97</v>
      </c>
      <c r="B100" s="48" t="s">
        <v>156</v>
      </c>
      <c r="C100" s="5" t="s">
        <v>44</v>
      </c>
      <c r="D100" s="5" t="s">
        <v>45</v>
      </c>
      <c r="E100" s="85"/>
    </row>
    <row r="101" spans="1:5" x14ac:dyDescent="0.25">
      <c r="A101" s="199">
        <v>98</v>
      </c>
      <c r="B101" s="48" t="s">
        <v>155</v>
      </c>
      <c r="C101" s="5" t="s">
        <v>44</v>
      </c>
      <c r="D101" s="5" t="s">
        <v>45</v>
      </c>
      <c r="E101" s="85"/>
    </row>
    <row r="102" spans="1:5" x14ac:dyDescent="0.25">
      <c r="A102" s="199">
        <v>99</v>
      </c>
      <c r="B102" s="48" t="s">
        <v>155</v>
      </c>
      <c r="C102" s="5" t="s">
        <v>44</v>
      </c>
      <c r="D102" s="5" t="s">
        <v>45</v>
      </c>
      <c r="E102" s="85"/>
    </row>
    <row r="103" spans="1:5" x14ac:dyDescent="0.25">
      <c r="A103" s="199">
        <v>100</v>
      </c>
      <c r="B103" s="48" t="s">
        <v>22</v>
      </c>
      <c r="C103" s="5" t="s">
        <v>23</v>
      </c>
      <c r="D103" s="5" t="s">
        <v>46</v>
      </c>
      <c r="E103" s="85"/>
    </row>
    <row r="104" spans="1:5" x14ac:dyDescent="0.25">
      <c r="A104" s="199">
        <v>101</v>
      </c>
      <c r="B104" s="48" t="s">
        <v>22</v>
      </c>
      <c r="C104" s="5" t="s">
        <v>23</v>
      </c>
      <c r="D104" s="5" t="s">
        <v>46</v>
      </c>
      <c r="E104" s="85"/>
    </row>
    <row r="105" spans="1:5" x14ac:dyDescent="0.25">
      <c r="A105" s="199">
        <v>102</v>
      </c>
      <c r="B105" s="48" t="s">
        <v>22</v>
      </c>
      <c r="C105" s="5" t="s">
        <v>23</v>
      </c>
      <c r="D105" s="5" t="s">
        <v>46</v>
      </c>
      <c r="E105" s="85"/>
    </row>
    <row r="106" spans="1:5" x14ac:dyDescent="0.25">
      <c r="A106" s="199">
        <v>103</v>
      </c>
      <c r="B106" s="48" t="s">
        <v>224</v>
      </c>
      <c r="C106" s="5" t="s">
        <v>225</v>
      </c>
      <c r="D106" s="5" t="s">
        <v>223</v>
      </c>
      <c r="E106" s="85"/>
    </row>
    <row r="107" spans="1:5" x14ac:dyDescent="0.25">
      <c r="A107" s="199">
        <v>104</v>
      </c>
      <c r="B107" s="48" t="s">
        <v>226</v>
      </c>
      <c r="C107" s="5" t="s">
        <v>225</v>
      </c>
      <c r="D107" s="5" t="s">
        <v>223</v>
      </c>
      <c r="E107" s="85"/>
    </row>
    <row r="108" spans="1:5" x14ac:dyDescent="0.25">
      <c r="A108" s="199">
        <v>105</v>
      </c>
      <c r="B108" s="48" t="s">
        <v>362</v>
      </c>
      <c r="C108" s="48" t="s">
        <v>383</v>
      </c>
      <c r="D108" s="199" t="s">
        <v>400</v>
      </c>
      <c r="E108" s="85"/>
    </row>
    <row r="109" spans="1:5" x14ac:dyDescent="0.25">
      <c r="A109" s="199">
        <v>106</v>
      </c>
      <c r="B109" s="48" t="s">
        <v>363</v>
      </c>
      <c r="C109" s="48" t="s">
        <v>384</v>
      </c>
      <c r="D109" s="199" t="s">
        <v>401</v>
      </c>
      <c r="E109" s="85"/>
    </row>
    <row r="110" spans="1:5" x14ac:dyDescent="0.25">
      <c r="A110" s="199">
        <v>107</v>
      </c>
      <c r="B110" s="48" t="s">
        <v>364</v>
      </c>
      <c r="C110" s="48" t="s">
        <v>385</v>
      </c>
      <c r="D110" s="199" t="s">
        <v>402</v>
      </c>
      <c r="E110" s="85"/>
    </row>
    <row r="111" spans="1:5" x14ac:dyDescent="0.25">
      <c r="A111" s="199">
        <v>108</v>
      </c>
      <c r="B111" s="48" t="s">
        <v>342</v>
      </c>
      <c r="C111" s="48" t="s">
        <v>343</v>
      </c>
      <c r="D111" s="199" t="s">
        <v>403</v>
      </c>
      <c r="E111" s="85"/>
    </row>
    <row r="112" spans="1:5" x14ac:dyDescent="0.25">
      <c r="A112" s="199">
        <v>109</v>
      </c>
      <c r="B112" s="48" t="s">
        <v>20</v>
      </c>
      <c r="C112" s="48" t="s">
        <v>21</v>
      </c>
      <c r="D112" s="199" t="s">
        <v>19</v>
      </c>
      <c r="E112" s="85"/>
    </row>
    <row r="113" spans="1:5" x14ac:dyDescent="0.25">
      <c r="A113" s="199">
        <v>110</v>
      </c>
      <c r="B113" s="48" t="s">
        <v>61</v>
      </c>
      <c r="C113" s="48" t="s">
        <v>62</v>
      </c>
      <c r="D113" s="199" t="s">
        <v>60</v>
      </c>
      <c r="E113" s="85"/>
    </row>
    <row r="114" spans="1:5" x14ac:dyDescent="0.25">
      <c r="A114" s="199">
        <v>111</v>
      </c>
      <c r="B114" s="48" t="s">
        <v>365</v>
      </c>
      <c r="C114" s="48" t="s">
        <v>386</v>
      </c>
      <c r="D114" s="199" t="s">
        <v>404</v>
      </c>
      <c r="E114" s="85"/>
    </row>
    <row r="115" spans="1:5" x14ac:dyDescent="0.25">
      <c r="A115" s="199">
        <v>112</v>
      </c>
      <c r="B115" s="48" t="s">
        <v>63</v>
      </c>
      <c r="C115" s="48" t="s">
        <v>28</v>
      </c>
      <c r="D115" s="199" t="s">
        <v>24</v>
      </c>
      <c r="E115" s="85"/>
    </row>
    <row r="116" spans="1:5" x14ac:dyDescent="0.25">
      <c r="A116" s="199">
        <v>113</v>
      </c>
      <c r="B116" s="48" t="s">
        <v>63</v>
      </c>
      <c r="C116" s="48" t="s">
        <v>28</v>
      </c>
      <c r="D116" s="199" t="s">
        <v>24</v>
      </c>
      <c r="E116" s="85"/>
    </row>
    <row r="117" spans="1:5" x14ac:dyDescent="0.25">
      <c r="A117" s="199">
        <v>114</v>
      </c>
      <c r="B117" s="48" t="s">
        <v>25</v>
      </c>
      <c r="C117" s="48" t="s">
        <v>26</v>
      </c>
      <c r="D117" s="199" t="s">
        <v>24</v>
      </c>
      <c r="E117" s="85"/>
    </row>
    <row r="118" spans="1:5" x14ac:dyDescent="0.25">
      <c r="A118" s="199">
        <v>115</v>
      </c>
      <c r="B118" s="48" t="s">
        <v>27</v>
      </c>
      <c r="C118" s="48" t="s">
        <v>28</v>
      </c>
      <c r="D118" s="199" t="s">
        <v>24</v>
      </c>
      <c r="E118" s="85"/>
    </row>
    <row r="119" spans="1:5" x14ac:dyDescent="0.25">
      <c r="A119" s="199">
        <v>116</v>
      </c>
      <c r="B119" s="48" t="s">
        <v>27</v>
      </c>
      <c r="C119" s="48" t="s">
        <v>28</v>
      </c>
      <c r="D119" s="199" t="s">
        <v>24</v>
      </c>
      <c r="E119" s="85"/>
    </row>
    <row r="120" spans="1:5" ht="30" x14ac:dyDescent="0.25">
      <c r="A120" s="199">
        <v>117</v>
      </c>
      <c r="B120" s="48" t="s">
        <v>29</v>
      </c>
      <c r="C120" s="48" t="s">
        <v>30</v>
      </c>
      <c r="D120" s="199" t="s">
        <v>24</v>
      </c>
      <c r="E120" s="85"/>
    </row>
    <row r="121" spans="1:5" x14ac:dyDescent="0.25">
      <c r="A121" s="199">
        <v>118</v>
      </c>
      <c r="B121" s="48" t="s">
        <v>366</v>
      </c>
      <c r="C121" s="48" t="s">
        <v>387</v>
      </c>
      <c r="D121" s="199" t="s">
        <v>405</v>
      </c>
      <c r="E121" s="85"/>
    </row>
    <row r="122" spans="1:5" x14ac:dyDescent="0.25">
      <c r="A122" s="199">
        <v>119</v>
      </c>
      <c r="B122" s="48" t="s">
        <v>367</v>
      </c>
      <c r="C122" s="48" t="s">
        <v>388</v>
      </c>
      <c r="D122" s="199" t="s">
        <v>357</v>
      </c>
      <c r="E122" s="85"/>
    </row>
    <row r="123" spans="1:5" x14ac:dyDescent="0.25">
      <c r="A123" s="199">
        <v>120</v>
      </c>
      <c r="B123" s="48" t="s">
        <v>368</v>
      </c>
      <c r="C123" s="48" t="s">
        <v>389</v>
      </c>
      <c r="D123" s="199" t="s">
        <v>361</v>
      </c>
      <c r="E123" s="85"/>
    </row>
    <row r="124" spans="1:5" x14ac:dyDescent="0.25">
      <c r="A124" s="199">
        <v>121</v>
      </c>
      <c r="B124" s="48" t="s">
        <v>369</v>
      </c>
      <c r="C124" s="48" t="s">
        <v>390</v>
      </c>
      <c r="D124" s="199" t="s">
        <v>406</v>
      </c>
      <c r="E124" s="85"/>
    </row>
    <row r="125" spans="1:5" x14ac:dyDescent="0.25">
      <c r="A125" s="199">
        <v>122</v>
      </c>
      <c r="B125" s="48" t="s">
        <v>32</v>
      </c>
      <c r="C125" s="48" t="s">
        <v>33</v>
      </c>
      <c r="D125" s="199" t="s">
        <v>31</v>
      </c>
      <c r="E125" s="85"/>
    </row>
    <row r="126" spans="1:5" x14ac:dyDescent="0.25">
      <c r="A126" s="199">
        <v>123</v>
      </c>
      <c r="B126" s="48" t="s">
        <v>35</v>
      </c>
      <c r="C126" s="48" t="s">
        <v>36</v>
      </c>
      <c r="D126" s="199" t="s">
        <v>34</v>
      </c>
      <c r="E126" s="85"/>
    </row>
    <row r="127" spans="1:5" x14ac:dyDescent="0.25">
      <c r="A127" s="199">
        <v>124</v>
      </c>
      <c r="B127" s="48" t="s">
        <v>370</v>
      </c>
      <c r="C127" s="48" t="s">
        <v>391</v>
      </c>
      <c r="D127" s="199" t="s">
        <v>407</v>
      </c>
      <c r="E127" s="85"/>
    </row>
    <row r="128" spans="1:5" x14ac:dyDescent="0.25">
      <c r="A128" s="199">
        <v>125</v>
      </c>
      <c r="B128" s="48" t="s">
        <v>38</v>
      </c>
      <c r="C128" s="48" t="s">
        <v>33</v>
      </c>
      <c r="D128" s="199" t="s">
        <v>37</v>
      </c>
      <c r="E128" s="85"/>
    </row>
    <row r="129" spans="1:5" x14ac:dyDescent="0.25">
      <c r="A129" s="199">
        <v>126</v>
      </c>
      <c r="B129" s="48" t="s">
        <v>371</v>
      </c>
      <c r="C129" s="48" t="s">
        <v>392</v>
      </c>
      <c r="D129" s="199" t="s">
        <v>408</v>
      </c>
      <c r="E129" s="85"/>
    </row>
    <row r="130" spans="1:5" x14ac:dyDescent="0.25">
      <c r="A130" s="199">
        <v>127</v>
      </c>
      <c r="B130" s="48" t="s">
        <v>41</v>
      </c>
      <c r="C130" s="48" t="s">
        <v>39</v>
      </c>
      <c r="D130" s="199" t="s">
        <v>40</v>
      </c>
      <c r="E130" s="85"/>
    </row>
    <row r="131" spans="1:5" x14ac:dyDescent="0.25">
      <c r="A131" s="199">
        <v>128</v>
      </c>
      <c r="B131" s="48" t="s">
        <v>237</v>
      </c>
      <c r="C131" s="48" t="s">
        <v>238</v>
      </c>
      <c r="D131" s="199" t="s">
        <v>40</v>
      </c>
      <c r="E131" s="85"/>
    </row>
    <row r="132" spans="1:5" x14ac:dyDescent="0.25">
      <c r="A132" s="199">
        <v>129</v>
      </c>
      <c r="B132" s="48" t="s">
        <v>372</v>
      </c>
      <c r="C132" s="48" t="s">
        <v>39</v>
      </c>
      <c r="D132" s="199" t="s">
        <v>40</v>
      </c>
      <c r="E132" s="85"/>
    </row>
    <row r="133" spans="1:5" x14ac:dyDescent="0.25">
      <c r="A133" s="199">
        <v>130</v>
      </c>
      <c r="B133" s="48" t="s">
        <v>373</v>
      </c>
      <c r="C133" s="48" t="s">
        <v>393</v>
      </c>
      <c r="D133" s="199" t="s">
        <v>409</v>
      </c>
      <c r="E133" s="85"/>
    </row>
    <row r="134" spans="1:5" x14ac:dyDescent="0.25">
      <c r="A134" s="199">
        <v>131</v>
      </c>
      <c r="B134" s="48" t="s">
        <v>231</v>
      </c>
      <c r="C134" s="48" t="s">
        <v>232</v>
      </c>
      <c r="D134" s="199" t="s">
        <v>230</v>
      </c>
      <c r="E134" s="85"/>
    </row>
    <row r="135" spans="1:5" x14ac:dyDescent="0.25">
      <c r="A135" s="199">
        <v>132</v>
      </c>
      <c r="B135" s="48" t="s">
        <v>374</v>
      </c>
      <c r="C135" s="48" t="s">
        <v>331</v>
      </c>
      <c r="D135" s="199" t="s">
        <v>410</v>
      </c>
      <c r="E135" s="85"/>
    </row>
    <row r="136" spans="1:5" x14ac:dyDescent="0.25">
      <c r="A136" s="199">
        <v>133</v>
      </c>
      <c r="B136" s="48" t="s">
        <v>375</v>
      </c>
      <c r="C136" s="48" t="s">
        <v>394</v>
      </c>
      <c r="D136" s="199" t="s">
        <v>411</v>
      </c>
      <c r="E136" s="85"/>
    </row>
    <row r="137" spans="1:5" x14ac:dyDescent="0.25">
      <c r="A137" s="199">
        <v>134</v>
      </c>
      <c r="B137" s="48" t="s">
        <v>376</v>
      </c>
      <c r="C137" s="48" t="s">
        <v>337</v>
      </c>
      <c r="D137" s="199" t="s">
        <v>338</v>
      </c>
      <c r="E137" s="85"/>
    </row>
    <row r="138" spans="1:5" x14ac:dyDescent="0.25">
      <c r="A138" s="199">
        <v>135</v>
      </c>
      <c r="B138" s="48" t="s">
        <v>234</v>
      </c>
      <c r="C138" s="48" t="s">
        <v>235</v>
      </c>
      <c r="D138" s="199" t="s">
        <v>233</v>
      </c>
      <c r="E138" s="85"/>
    </row>
    <row r="139" spans="1:5" x14ac:dyDescent="0.25">
      <c r="A139" s="199">
        <v>136</v>
      </c>
      <c r="B139" s="48" t="s">
        <v>377</v>
      </c>
      <c r="C139" s="48" t="s">
        <v>395</v>
      </c>
      <c r="D139" s="199" t="s">
        <v>412</v>
      </c>
      <c r="E139" s="85"/>
    </row>
    <row r="140" spans="1:5" x14ac:dyDescent="0.25">
      <c r="A140" s="199">
        <v>137</v>
      </c>
      <c r="B140" s="48" t="s">
        <v>236</v>
      </c>
      <c r="C140" s="48" t="s">
        <v>396</v>
      </c>
      <c r="D140" s="199" t="s">
        <v>42</v>
      </c>
      <c r="E140" s="85"/>
    </row>
    <row r="141" spans="1:5" x14ac:dyDescent="0.25">
      <c r="A141" s="199">
        <v>138</v>
      </c>
      <c r="B141" s="48" t="s">
        <v>20</v>
      </c>
      <c r="C141" s="48" t="s">
        <v>21</v>
      </c>
      <c r="D141" s="199" t="s">
        <v>43</v>
      </c>
      <c r="E141" s="85"/>
    </row>
    <row r="142" spans="1:5" x14ac:dyDescent="0.25">
      <c r="A142" s="199">
        <v>139</v>
      </c>
      <c r="B142" s="48" t="s">
        <v>155</v>
      </c>
      <c r="C142" s="48" t="s">
        <v>44</v>
      </c>
      <c r="D142" s="199" t="s">
        <v>359</v>
      </c>
      <c r="E142" s="85"/>
    </row>
    <row r="143" spans="1:5" x14ac:dyDescent="0.25">
      <c r="A143" s="199">
        <v>140</v>
      </c>
      <c r="B143" s="48" t="s">
        <v>348</v>
      </c>
      <c r="C143" s="48" t="s">
        <v>349</v>
      </c>
      <c r="D143" s="199" t="s">
        <v>350</v>
      </c>
      <c r="E143" s="85"/>
    </row>
    <row r="144" spans="1:5" x14ac:dyDescent="0.25">
      <c r="A144" s="199">
        <v>141</v>
      </c>
      <c r="B144" s="48" t="s">
        <v>20</v>
      </c>
      <c r="C144" s="48" t="s">
        <v>21</v>
      </c>
      <c r="D144" s="199" t="s">
        <v>413</v>
      </c>
      <c r="E144" s="85"/>
    </row>
    <row r="145" spans="1:5" x14ac:dyDescent="0.25">
      <c r="A145" s="199">
        <v>142</v>
      </c>
      <c r="B145" s="48" t="s">
        <v>156</v>
      </c>
      <c r="C145" s="48" t="s">
        <v>44</v>
      </c>
      <c r="D145" s="199" t="s">
        <v>45</v>
      </c>
      <c r="E145" s="85"/>
    </row>
    <row r="146" spans="1:5" x14ac:dyDescent="0.25">
      <c r="A146" s="199">
        <v>143</v>
      </c>
      <c r="B146" s="48" t="s">
        <v>155</v>
      </c>
      <c r="C146" s="48" t="s">
        <v>44</v>
      </c>
      <c r="D146" s="199" t="s">
        <v>45</v>
      </c>
      <c r="E146" s="85"/>
    </row>
    <row r="147" spans="1:5" x14ac:dyDescent="0.25">
      <c r="A147" s="199">
        <v>144</v>
      </c>
      <c r="B147" s="48" t="s">
        <v>155</v>
      </c>
      <c r="C147" s="48" t="s">
        <v>44</v>
      </c>
      <c r="D147" s="199" t="s">
        <v>45</v>
      </c>
      <c r="E147" s="85"/>
    </row>
    <row r="148" spans="1:5" x14ac:dyDescent="0.25">
      <c r="A148" s="199">
        <v>145</v>
      </c>
      <c r="B148" s="48" t="s">
        <v>378</v>
      </c>
      <c r="C148" s="48" t="s">
        <v>397</v>
      </c>
      <c r="D148" s="199" t="s">
        <v>414</v>
      </c>
      <c r="E148" s="85"/>
    </row>
    <row r="149" spans="1:5" x14ac:dyDescent="0.25">
      <c r="A149" s="199">
        <v>146</v>
      </c>
      <c r="B149" s="48" t="s">
        <v>379</v>
      </c>
      <c r="C149" s="48" t="s">
        <v>397</v>
      </c>
      <c r="D149" s="199" t="s">
        <v>414</v>
      </c>
      <c r="E149" s="85"/>
    </row>
    <row r="150" spans="1:5" x14ac:dyDescent="0.25">
      <c r="A150" s="199">
        <v>147</v>
      </c>
      <c r="B150" s="48" t="s">
        <v>380</v>
      </c>
      <c r="C150" s="48" t="s">
        <v>398</v>
      </c>
      <c r="D150" s="199" t="s">
        <v>360</v>
      </c>
      <c r="E150" s="85"/>
    </row>
    <row r="151" spans="1:5" x14ac:dyDescent="0.25">
      <c r="A151" s="199">
        <v>148</v>
      </c>
      <c r="B151" s="48" t="s">
        <v>381</v>
      </c>
      <c r="C151" s="48" t="s">
        <v>399</v>
      </c>
      <c r="D151" s="199" t="s">
        <v>415</v>
      </c>
      <c r="E151" s="85"/>
    </row>
    <row r="152" spans="1:5" x14ac:dyDescent="0.25">
      <c r="A152" s="199">
        <v>149</v>
      </c>
      <c r="B152" s="48" t="s">
        <v>382</v>
      </c>
      <c r="C152" s="48" t="s">
        <v>399</v>
      </c>
      <c r="D152" s="199" t="s">
        <v>415</v>
      </c>
      <c r="E152" s="85"/>
    </row>
    <row r="153" spans="1:5" x14ac:dyDescent="0.25">
      <c r="A153" s="199">
        <v>150</v>
      </c>
      <c r="B153" s="48" t="s">
        <v>382</v>
      </c>
      <c r="C153" s="48" t="s">
        <v>399</v>
      </c>
      <c r="D153" s="199" t="s">
        <v>415</v>
      </c>
      <c r="E153" s="85"/>
    </row>
    <row r="154" spans="1:5" x14ac:dyDescent="0.25">
      <c r="A154" s="199">
        <v>151</v>
      </c>
      <c r="B154" s="48" t="s">
        <v>22</v>
      </c>
      <c r="C154" s="48" t="s">
        <v>23</v>
      </c>
      <c r="D154" s="199" t="s">
        <v>46</v>
      </c>
      <c r="E154" s="85"/>
    </row>
    <row r="155" spans="1:5" x14ac:dyDescent="0.25">
      <c r="A155" s="199">
        <v>152</v>
      </c>
      <c r="B155" s="48" t="s">
        <v>22</v>
      </c>
      <c r="C155" s="48" t="s">
        <v>23</v>
      </c>
      <c r="D155" s="199" t="s">
        <v>46</v>
      </c>
      <c r="E155" s="85"/>
    </row>
  </sheetData>
  <autoFilter ref="B3:B10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2"/>
  <sheetViews>
    <sheetView view="pageBreakPreview" topLeftCell="A49" zoomScale="60" zoomScaleNormal="100" workbookViewId="0">
      <selection activeCell="R108" sqref="R108"/>
    </sheetView>
  </sheetViews>
  <sheetFormatPr defaultRowHeight="15" x14ac:dyDescent="0.25"/>
  <cols>
    <col min="1" max="20" width="11.5703125" customWidth="1"/>
  </cols>
  <sheetData>
    <row r="1" spans="1:20" ht="30" customHeight="1" x14ac:dyDescent="0.5">
      <c r="A1" s="201"/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</row>
    <row r="2" spans="1:20" ht="30" customHeight="1" x14ac:dyDescent="0.5">
      <c r="A2" s="201">
        <v>1</v>
      </c>
      <c r="B2" s="201">
        <v>2</v>
      </c>
      <c r="C2" s="201">
        <v>3</v>
      </c>
      <c r="D2" s="201">
        <v>4</v>
      </c>
      <c r="E2" s="201">
        <v>5</v>
      </c>
      <c r="F2" s="201">
        <v>6</v>
      </c>
      <c r="G2" s="201">
        <v>7</v>
      </c>
      <c r="H2" s="201">
        <v>8</v>
      </c>
      <c r="I2" s="201">
        <v>9</v>
      </c>
      <c r="J2" s="201">
        <v>10</v>
      </c>
      <c r="K2" s="201">
        <v>11</v>
      </c>
      <c r="L2" s="201">
        <v>12</v>
      </c>
      <c r="M2" s="201">
        <v>13</v>
      </c>
      <c r="N2" s="201">
        <v>14</v>
      </c>
      <c r="O2" s="201">
        <v>15</v>
      </c>
      <c r="P2" s="201">
        <v>16</v>
      </c>
      <c r="Q2" s="201">
        <v>17</v>
      </c>
      <c r="R2" s="201">
        <v>18</v>
      </c>
      <c r="S2" s="201">
        <v>19</v>
      </c>
      <c r="T2" s="201">
        <v>20</v>
      </c>
    </row>
    <row r="3" spans="1:20" ht="30" customHeight="1" x14ac:dyDescent="0.5">
      <c r="A3" s="201">
        <v>21</v>
      </c>
      <c r="B3" s="201">
        <v>22</v>
      </c>
      <c r="C3" s="201">
        <v>23</v>
      </c>
      <c r="D3" s="201">
        <v>24</v>
      </c>
      <c r="E3" s="201">
        <v>25</v>
      </c>
      <c r="F3" s="201">
        <v>26</v>
      </c>
      <c r="G3" s="201">
        <v>27</v>
      </c>
      <c r="H3" s="201">
        <v>28</v>
      </c>
      <c r="I3" s="201">
        <v>29</v>
      </c>
      <c r="J3" s="201">
        <v>30</v>
      </c>
      <c r="K3" s="201">
        <v>31</v>
      </c>
      <c r="L3" s="201">
        <v>32</v>
      </c>
      <c r="M3" s="201">
        <v>33</v>
      </c>
      <c r="N3" s="201">
        <v>34</v>
      </c>
      <c r="O3" s="201">
        <v>35</v>
      </c>
      <c r="P3" s="201">
        <v>36</v>
      </c>
      <c r="Q3" s="201">
        <v>37</v>
      </c>
      <c r="R3" s="201">
        <v>38</v>
      </c>
      <c r="S3" s="201">
        <v>39</v>
      </c>
      <c r="T3" s="201">
        <v>40</v>
      </c>
    </row>
    <row r="4" spans="1:20" ht="30" customHeight="1" x14ac:dyDescent="0.5">
      <c r="A4" s="201">
        <v>41</v>
      </c>
      <c r="B4" s="201">
        <v>42</v>
      </c>
      <c r="C4" s="201">
        <v>43</v>
      </c>
      <c r="D4" s="201">
        <v>44</v>
      </c>
      <c r="E4" s="201">
        <v>45</v>
      </c>
      <c r="F4" s="201">
        <v>46</v>
      </c>
      <c r="G4" s="201">
        <v>47</v>
      </c>
      <c r="H4" s="201">
        <v>48</v>
      </c>
      <c r="I4" s="201">
        <v>49</v>
      </c>
      <c r="J4" s="201">
        <v>50</v>
      </c>
      <c r="K4" s="201">
        <v>51</v>
      </c>
      <c r="L4" s="201">
        <v>52</v>
      </c>
      <c r="M4" s="201">
        <v>53</v>
      </c>
      <c r="N4" s="201">
        <v>54</v>
      </c>
      <c r="O4" s="201">
        <v>55</v>
      </c>
      <c r="P4" s="201">
        <v>56</v>
      </c>
      <c r="Q4" s="201">
        <v>57</v>
      </c>
      <c r="R4" s="201">
        <v>58</v>
      </c>
      <c r="S4" s="201">
        <v>59</v>
      </c>
      <c r="T4" s="201">
        <v>60</v>
      </c>
    </row>
    <row r="5" spans="1:20" ht="30" customHeight="1" x14ac:dyDescent="0.5">
      <c r="A5" s="201">
        <v>61</v>
      </c>
      <c r="B5" s="201">
        <v>62</v>
      </c>
      <c r="C5" s="201">
        <v>63</v>
      </c>
      <c r="D5" s="201">
        <v>64</v>
      </c>
      <c r="E5" s="201">
        <v>65</v>
      </c>
      <c r="F5" s="201">
        <v>66</v>
      </c>
      <c r="G5" s="201">
        <v>67</v>
      </c>
      <c r="H5" s="201">
        <v>68</v>
      </c>
      <c r="I5" s="201">
        <v>69</v>
      </c>
      <c r="J5" s="201">
        <v>70</v>
      </c>
      <c r="K5" s="201">
        <v>71</v>
      </c>
      <c r="L5" s="201">
        <v>72</v>
      </c>
      <c r="M5" s="201">
        <v>73</v>
      </c>
      <c r="N5" s="201">
        <v>74</v>
      </c>
      <c r="O5" s="201">
        <v>75</v>
      </c>
      <c r="P5" s="201">
        <v>76</v>
      </c>
      <c r="Q5" s="201">
        <v>77</v>
      </c>
      <c r="R5" s="201">
        <v>78</v>
      </c>
      <c r="S5" s="201">
        <v>79</v>
      </c>
      <c r="T5" s="201">
        <v>80</v>
      </c>
    </row>
    <row r="6" spans="1:20" ht="30" customHeight="1" x14ac:dyDescent="0.5">
      <c r="A6" s="201">
        <v>81</v>
      </c>
      <c r="B6" s="201">
        <v>82</v>
      </c>
      <c r="C6" s="201">
        <v>83</v>
      </c>
      <c r="D6" s="201">
        <v>84</v>
      </c>
      <c r="E6" s="201">
        <v>85</v>
      </c>
      <c r="F6" s="201">
        <v>86</v>
      </c>
      <c r="G6" s="201">
        <v>87</v>
      </c>
      <c r="H6" s="201">
        <v>88</v>
      </c>
      <c r="I6" s="201">
        <v>89</v>
      </c>
      <c r="J6" s="201">
        <v>90</v>
      </c>
      <c r="K6" s="201">
        <v>91</v>
      </c>
      <c r="L6" s="201">
        <v>92</v>
      </c>
      <c r="M6" s="201">
        <v>93</v>
      </c>
      <c r="N6" s="201">
        <v>94</v>
      </c>
      <c r="O6" s="201">
        <v>95</v>
      </c>
      <c r="P6" s="201">
        <v>96</v>
      </c>
      <c r="Q6" s="201">
        <v>97</v>
      </c>
      <c r="R6" s="201">
        <v>98</v>
      </c>
      <c r="S6" s="201">
        <v>99</v>
      </c>
      <c r="T6" s="201">
        <v>100</v>
      </c>
    </row>
    <row r="7" spans="1:20" ht="30" customHeight="1" x14ac:dyDescent="0.5">
      <c r="A7" s="201">
        <v>101</v>
      </c>
      <c r="B7" s="201">
        <v>102</v>
      </c>
      <c r="C7" s="201">
        <v>103</v>
      </c>
      <c r="D7" s="201">
        <v>104</v>
      </c>
      <c r="E7" s="201">
        <v>105</v>
      </c>
      <c r="F7" s="201">
        <v>106</v>
      </c>
      <c r="G7" s="201">
        <v>107</v>
      </c>
      <c r="H7" s="201">
        <v>108</v>
      </c>
      <c r="I7" s="201">
        <v>109</v>
      </c>
      <c r="J7" s="201">
        <v>110</v>
      </c>
      <c r="K7" s="201">
        <v>111</v>
      </c>
      <c r="L7" s="201">
        <v>112</v>
      </c>
      <c r="M7" s="201">
        <v>113</v>
      </c>
      <c r="N7" s="201">
        <v>114</v>
      </c>
      <c r="O7" s="201">
        <v>115</v>
      </c>
      <c r="P7" s="201">
        <v>116</v>
      </c>
      <c r="Q7" s="201">
        <v>117</v>
      </c>
      <c r="R7" s="201">
        <v>118</v>
      </c>
      <c r="S7" s="201">
        <v>119</v>
      </c>
      <c r="T7" s="201">
        <v>120</v>
      </c>
    </row>
    <row r="8" spans="1:20" ht="30" customHeight="1" x14ac:dyDescent="0.5">
      <c r="A8" s="201">
        <v>121</v>
      </c>
      <c r="B8" s="201">
        <v>122</v>
      </c>
      <c r="C8" s="201">
        <v>123</v>
      </c>
      <c r="D8" s="201">
        <v>124</v>
      </c>
      <c r="E8" s="201">
        <v>125</v>
      </c>
      <c r="F8" s="201">
        <v>126</v>
      </c>
      <c r="G8" s="201">
        <v>127</v>
      </c>
      <c r="H8" s="201">
        <v>128</v>
      </c>
      <c r="I8" s="201">
        <v>129</v>
      </c>
      <c r="J8" s="201">
        <v>130</v>
      </c>
      <c r="K8" s="201">
        <v>131</v>
      </c>
      <c r="L8" s="201">
        <v>132</v>
      </c>
      <c r="M8" s="201">
        <v>133</v>
      </c>
      <c r="N8" s="201">
        <v>134</v>
      </c>
      <c r="O8" s="201">
        <v>135</v>
      </c>
      <c r="P8" s="201">
        <v>136</v>
      </c>
      <c r="Q8" s="201">
        <v>137</v>
      </c>
      <c r="R8" s="201">
        <v>138</v>
      </c>
      <c r="S8" s="201">
        <v>139</v>
      </c>
      <c r="T8" s="201">
        <v>140</v>
      </c>
    </row>
    <row r="9" spans="1:20" ht="30" customHeight="1" x14ac:dyDescent="0.5">
      <c r="A9" s="201">
        <v>141</v>
      </c>
      <c r="B9" s="201">
        <v>142</v>
      </c>
      <c r="C9" s="201">
        <v>143</v>
      </c>
      <c r="D9" s="201">
        <v>144</v>
      </c>
      <c r="E9" s="201">
        <v>145</v>
      </c>
      <c r="F9" s="201">
        <v>146</v>
      </c>
      <c r="G9" s="201">
        <v>147</v>
      </c>
      <c r="H9" s="201">
        <v>148</v>
      </c>
      <c r="I9" s="201">
        <v>149</v>
      </c>
      <c r="J9" s="201">
        <v>150</v>
      </c>
      <c r="K9" s="201">
        <v>151</v>
      </c>
      <c r="L9" s="201">
        <v>152</v>
      </c>
      <c r="M9" s="201">
        <v>153</v>
      </c>
      <c r="N9" s="201">
        <v>154</v>
      </c>
      <c r="O9" s="201">
        <v>155</v>
      </c>
      <c r="P9" s="201">
        <v>156</v>
      </c>
      <c r="Q9" s="201">
        <v>157</v>
      </c>
      <c r="R9" s="201">
        <v>158</v>
      </c>
      <c r="S9" s="201">
        <v>159</v>
      </c>
      <c r="T9" s="201">
        <v>160</v>
      </c>
    </row>
    <row r="10" spans="1:20" ht="30" customHeight="1" x14ac:dyDescent="0.5">
      <c r="A10" s="201">
        <v>161</v>
      </c>
      <c r="B10" s="201">
        <v>162</v>
      </c>
      <c r="C10" s="201">
        <v>163</v>
      </c>
      <c r="D10" s="201">
        <v>164</v>
      </c>
      <c r="E10" s="201">
        <v>165</v>
      </c>
      <c r="F10" s="201">
        <v>166</v>
      </c>
      <c r="G10" s="201">
        <v>167</v>
      </c>
      <c r="H10" s="201">
        <v>168</v>
      </c>
      <c r="I10" s="201">
        <v>169</v>
      </c>
      <c r="J10" s="201">
        <v>170</v>
      </c>
      <c r="K10" s="201">
        <v>171</v>
      </c>
      <c r="L10" s="201">
        <v>172</v>
      </c>
      <c r="M10" s="201">
        <v>173</v>
      </c>
      <c r="N10" s="201">
        <v>174</v>
      </c>
      <c r="O10" s="201">
        <v>175</v>
      </c>
      <c r="P10" s="201">
        <v>176</v>
      </c>
      <c r="Q10" s="201">
        <v>177</v>
      </c>
      <c r="R10" s="201">
        <v>178</v>
      </c>
      <c r="S10" s="201">
        <v>179</v>
      </c>
      <c r="T10" s="201">
        <v>180</v>
      </c>
    </row>
    <row r="11" spans="1:20" ht="30" customHeight="1" x14ac:dyDescent="0.5">
      <c r="A11" s="201">
        <v>181</v>
      </c>
      <c r="B11" s="201">
        <v>182</v>
      </c>
      <c r="C11" s="201">
        <v>183</v>
      </c>
      <c r="D11" s="201">
        <v>184</v>
      </c>
      <c r="E11" s="201">
        <v>185</v>
      </c>
      <c r="F11" s="201">
        <v>186</v>
      </c>
      <c r="G11" s="201">
        <v>187</v>
      </c>
      <c r="H11" s="201">
        <v>188</v>
      </c>
      <c r="I11" s="201">
        <v>189</v>
      </c>
      <c r="J11" s="201">
        <v>190</v>
      </c>
      <c r="K11" s="201">
        <v>191</v>
      </c>
      <c r="L11" s="201">
        <v>192</v>
      </c>
      <c r="M11" s="201">
        <v>193</v>
      </c>
      <c r="N11" s="201">
        <v>194</v>
      </c>
      <c r="O11" s="201">
        <v>195</v>
      </c>
      <c r="P11" s="201">
        <v>196</v>
      </c>
      <c r="Q11" s="201">
        <v>197</v>
      </c>
      <c r="R11" s="201">
        <v>198</v>
      </c>
      <c r="S11" s="201">
        <v>199</v>
      </c>
      <c r="T11" s="201">
        <v>200</v>
      </c>
    </row>
    <row r="12" spans="1:20" ht="30" customHeight="1" x14ac:dyDescent="0.5">
      <c r="A12" s="201">
        <v>201</v>
      </c>
      <c r="B12" s="201">
        <v>202</v>
      </c>
      <c r="C12" s="201">
        <v>203</v>
      </c>
      <c r="D12" s="201">
        <v>204</v>
      </c>
      <c r="E12" s="201">
        <v>205</v>
      </c>
      <c r="F12" s="201">
        <v>206</v>
      </c>
      <c r="G12" s="201">
        <v>207</v>
      </c>
      <c r="H12" s="201">
        <v>208</v>
      </c>
      <c r="I12" s="201">
        <v>209</v>
      </c>
      <c r="J12" s="201">
        <v>210</v>
      </c>
      <c r="K12" s="201">
        <v>211</v>
      </c>
      <c r="L12" s="201">
        <v>212</v>
      </c>
      <c r="M12" s="201">
        <v>213</v>
      </c>
      <c r="N12" s="201">
        <v>214</v>
      </c>
      <c r="O12" s="201">
        <v>215</v>
      </c>
      <c r="P12" s="201">
        <v>216</v>
      </c>
      <c r="Q12" s="201">
        <v>217</v>
      </c>
      <c r="R12" s="201">
        <v>218</v>
      </c>
      <c r="S12" s="201">
        <v>219</v>
      </c>
      <c r="T12" s="201">
        <v>220</v>
      </c>
    </row>
    <row r="13" spans="1:20" ht="30" customHeight="1" x14ac:dyDescent="0.5">
      <c r="A13" s="201">
        <v>221</v>
      </c>
      <c r="B13" s="201">
        <v>222</v>
      </c>
      <c r="C13" s="201">
        <v>223</v>
      </c>
      <c r="D13" s="201">
        <v>224</v>
      </c>
      <c r="E13" s="201">
        <v>225</v>
      </c>
      <c r="F13" s="201">
        <v>226</v>
      </c>
      <c r="G13" s="201">
        <v>227</v>
      </c>
      <c r="H13" s="201">
        <v>228</v>
      </c>
      <c r="I13" s="201">
        <v>229</v>
      </c>
      <c r="J13" s="201">
        <v>230</v>
      </c>
      <c r="K13" s="201">
        <v>231</v>
      </c>
      <c r="L13" s="201">
        <v>232</v>
      </c>
      <c r="M13" s="201">
        <v>233</v>
      </c>
      <c r="N13" s="201">
        <v>234</v>
      </c>
      <c r="O13" s="201">
        <v>235</v>
      </c>
      <c r="P13" s="201">
        <v>236</v>
      </c>
      <c r="Q13" s="201">
        <v>237</v>
      </c>
      <c r="R13" s="201">
        <v>238</v>
      </c>
      <c r="S13" s="201">
        <v>239</v>
      </c>
      <c r="T13" s="201">
        <v>240</v>
      </c>
    </row>
    <row r="14" spans="1:20" ht="30" customHeight="1" x14ac:dyDescent="0.5">
      <c r="A14" s="201">
        <v>241</v>
      </c>
      <c r="B14" s="201">
        <v>242</v>
      </c>
      <c r="C14" s="201">
        <v>243</v>
      </c>
      <c r="D14" s="201">
        <v>244</v>
      </c>
      <c r="E14" s="201">
        <v>245</v>
      </c>
      <c r="F14" s="201">
        <v>246</v>
      </c>
      <c r="G14" s="201">
        <v>247</v>
      </c>
      <c r="H14" s="201">
        <v>248</v>
      </c>
      <c r="I14" s="201">
        <v>249</v>
      </c>
      <c r="J14" s="201">
        <v>250</v>
      </c>
      <c r="K14" s="201">
        <v>251</v>
      </c>
      <c r="L14" s="201">
        <v>252</v>
      </c>
      <c r="M14" s="201">
        <v>253</v>
      </c>
      <c r="N14" s="201">
        <v>254</v>
      </c>
      <c r="O14" s="201">
        <v>255</v>
      </c>
      <c r="P14" s="201">
        <v>256</v>
      </c>
      <c r="Q14" s="201">
        <v>257</v>
      </c>
      <c r="R14" s="201">
        <v>258</v>
      </c>
      <c r="S14" s="201">
        <v>259</v>
      </c>
      <c r="T14" s="201">
        <v>260</v>
      </c>
    </row>
    <row r="15" spans="1:20" ht="30" customHeight="1" x14ac:dyDescent="0.5">
      <c r="A15" s="201">
        <v>261</v>
      </c>
      <c r="B15" s="201">
        <v>262</v>
      </c>
      <c r="C15" s="201">
        <v>263</v>
      </c>
      <c r="D15" s="201">
        <v>264</v>
      </c>
      <c r="E15" s="201">
        <v>265</v>
      </c>
      <c r="F15" s="201">
        <v>266</v>
      </c>
      <c r="G15" s="201">
        <v>267</v>
      </c>
      <c r="H15" s="201">
        <v>268</v>
      </c>
      <c r="I15" s="201">
        <v>269</v>
      </c>
      <c r="J15" s="201">
        <v>270</v>
      </c>
      <c r="K15" s="201">
        <v>271</v>
      </c>
      <c r="L15" s="201">
        <v>272</v>
      </c>
      <c r="M15" s="201">
        <v>273</v>
      </c>
      <c r="N15" s="201">
        <v>274</v>
      </c>
      <c r="O15" s="201">
        <v>275</v>
      </c>
      <c r="P15" s="201">
        <v>276</v>
      </c>
      <c r="Q15" s="201">
        <v>277</v>
      </c>
      <c r="R15" s="201">
        <v>278</v>
      </c>
      <c r="S15" s="201">
        <v>279</v>
      </c>
      <c r="T15" s="201">
        <v>280</v>
      </c>
    </row>
    <row r="16" spans="1:20" ht="30" customHeight="1" x14ac:dyDescent="0.5">
      <c r="A16" s="201">
        <v>281</v>
      </c>
      <c r="B16" s="201">
        <v>282</v>
      </c>
      <c r="C16" s="201">
        <v>283</v>
      </c>
      <c r="D16" s="201">
        <v>284</v>
      </c>
      <c r="E16" s="201">
        <v>285</v>
      </c>
      <c r="F16" s="201">
        <v>286</v>
      </c>
      <c r="G16" s="201">
        <v>287</v>
      </c>
      <c r="H16" s="201">
        <v>288</v>
      </c>
      <c r="I16" s="201">
        <v>289</v>
      </c>
      <c r="J16" s="201">
        <v>290</v>
      </c>
      <c r="K16" s="201">
        <v>291</v>
      </c>
      <c r="L16" s="201">
        <v>292</v>
      </c>
      <c r="M16" s="201">
        <v>293</v>
      </c>
      <c r="N16" s="201">
        <v>294</v>
      </c>
      <c r="O16" s="201">
        <v>295</v>
      </c>
      <c r="P16" s="201">
        <v>296</v>
      </c>
      <c r="Q16" s="201">
        <v>297</v>
      </c>
      <c r="R16" s="201">
        <v>298</v>
      </c>
      <c r="S16" s="201">
        <v>299</v>
      </c>
      <c r="T16" s="201">
        <v>300</v>
      </c>
    </row>
    <row r="17" spans="1:20" ht="30" customHeight="1" x14ac:dyDescent="0.5">
      <c r="A17" s="201">
        <v>301</v>
      </c>
      <c r="B17" s="201">
        <v>302</v>
      </c>
      <c r="C17" s="201">
        <v>303</v>
      </c>
      <c r="D17" s="201">
        <v>304</v>
      </c>
      <c r="E17" s="201">
        <v>305</v>
      </c>
      <c r="F17" s="201">
        <v>306</v>
      </c>
      <c r="G17" s="201">
        <v>307</v>
      </c>
      <c r="H17" s="201">
        <v>308</v>
      </c>
      <c r="I17" s="201">
        <v>309</v>
      </c>
      <c r="J17" s="201">
        <v>310</v>
      </c>
      <c r="K17" s="201">
        <v>311</v>
      </c>
      <c r="L17" s="201">
        <v>312</v>
      </c>
      <c r="M17" s="201">
        <v>313</v>
      </c>
      <c r="N17" s="201">
        <v>314</v>
      </c>
      <c r="O17" s="201">
        <v>315</v>
      </c>
      <c r="P17" s="201">
        <v>316</v>
      </c>
      <c r="Q17" s="201">
        <v>317</v>
      </c>
      <c r="R17" s="201">
        <v>318</v>
      </c>
      <c r="S17" s="201">
        <v>319</v>
      </c>
      <c r="T17" s="201">
        <v>320</v>
      </c>
    </row>
    <row r="18" spans="1:20" ht="30" customHeight="1" x14ac:dyDescent="0.5">
      <c r="A18" s="201">
        <v>321</v>
      </c>
      <c r="B18" s="201">
        <v>322</v>
      </c>
      <c r="C18" s="201">
        <v>323</v>
      </c>
      <c r="D18" s="201">
        <v>324</v>
      </c>
      <c r="E18" s="201">
        <v>325</v>
      </c>
      <c r="F18" s="201">
        <v>326</v>
      </c>
      <c r="G18" s="201">
        <v>327</v>
      </c>
      <c r="H18" s="201">
        <v>328</v>
      </c>
      <c r="I18" s="201">
        <v>329</v>
      </c>
      <c r="J18" s="201">
        <v>330</v>
      </c>
      <c r="K18" s="201">
        <v>331</v>
      </c>
      <c r="L18" s="201">
        <v>332</v>
      </c>
      <c r="M18" s="201">
        <v>333</v>
      </c>
      <c r="N18" s="201">
        <v>334</v>
      </c>
      <c r="O18" s="201">
        <v>335</v>
      </c>
      <c r="P18" s="201">
        <v>336</v>
      </c>
      <c r="Q18" s="201">
        <v>337</v>
      </c>
      <c r="R18" s="201">
        <v>338</v>
      </c>
      <c r="S18" s="201">
        <v>339</v>
      </c>
      <c r="T18" s="201">
        <v>340</v>
      </c>
    </row>
    <row r="19" spans="1:20" ht="30" customHeight="1" x14ac:dyDescent="0.5">
      <c r="A19" s="201">
        <v>341</v>
      </c>
      <c r="B19" s="201">
        <v>342</v>
      </c>
      <c r="C19" s="201">
        <v>343</v>
      </c>
      <c r="D19" s="201">
        <v>344</v>
      </c>
      <c r="E19" s="201">
        <v>345</v>
      </c>
      <c r="F19" s="201">
        <v>346</v>
      </c>
      <c r="G19" s="201">
        <v>347</v>
      </c>
      <c r="H19" s="201">
        <v>348</v>
      </c>
      <c r="I19" s="201">
        <v>349</v>
      </c>
      <c r="J19" s="201">
        <v>350</v>
      </c>
      <c r="K19" s="201">
        <v>351</v>
      </c>
      <c r="L19" s="201">
        <v>352</v>
      </c>
      <c r="M19" s="201">
        <v>353</v>
      </c>
      <c r="N19" s="201">
        <v>354</v>
      </c>
      <c r="O19" s="201">
        <v>355</v>
      </c>
      <c r="P19" s="201">
        <v>356</v>
      </c>
      <c r="Q19" s="201">
        <v>357</v>
      </c>
      <c r="R19" s="201">
        <v>358</v>
      </c>
      <c r="S19" s="201">
        <v>359</v>
      </c>
      <c r="T19" s="201">
        <v>360</v>
      </c>
    </row>
    <row r="20" spans="1:20" ht="30" customHeight="1" x14ac:dyDescent="0.5">
      <c r="A20" s="201">
        <v>361</v>
      </c>
      <c r="B20" s="201">
        <v>362</v>
      </c>
      <c r="C20" s="201">
        <v>363</v>
      </c>
      <c r="D20" s="201">
        <v>364</v>
      </c>
      <c r="E20" s="201">
        <v>365</v>
      </c>
      <c r="F20" s="201">
        <v>366</v>
      </c>
      <c r="G20" s="201">
        <v>367</v>
      </c>
      <c r="H20" s="201">
        <v>368</v>
      </c>
      <c r="I20" s="201">
        <v>369</v>
      </c>
      <c r="J20" s="201">
        <v>370</v>
      </c>
      <c r="K20" s="201">
        <v>371</v>
      </c>
      <c r="L20" s="201">
        <v>372</v>
      </c>
      <c r="M20" s="201">
        <v>373</v>
      </c>
      <c r="N20" s="201">
        <v>374</v>
      </c>
      <c r="O20" s="201">
        <v>375</v>
      </c>
      <c r="P20" s="201">
        <v>376</v>
      </c>
      <c r="Q20" s="201">
        <v>377</v>
      </c>
      <c r="R20" s="201">
        <v>378</v>
      </c>
      <c r="S20" s="201">
        <v>379</v>
      </c>
      <c r="T20" s="201">
        <v>380</v>
      </c>
    </row>
    <row r="21" spans="1:20" ht="30" customHeight="1" x14ac:dyDescent="0.5">
      <c r="A21" s="201">
        <v>381</v>
      </c>
      <c r="B21" s="201">
        <v>382</v>
      </c>
      <c r="C21" s="201">
        <v>383</v>
      </c>
      <c r="D21" s="201">
        <v>384</v>
      </c>
      <c r="E21" s="201">
        <v>385</v>
      </c>
      <c r="F21" s="201">
        <v>386</v>
      </c>
      <c r="G21" s="201">
        <v>387</v>
      </c>
      <c r="H21" s="201">
        <v>388</v>
      </c>
      <c r="I21" s="201">
        <v>389</v>
      </c>
      <c r="J21" s="201">
        <v>390</v>
      </c>
      <c r="K21" s="201">
        <v>391</v>
      </c>
      <c r="L21" s="201">
        <v>392</v>
      </c>
      <c r="M21" s="201">
        <v>393</v>
      </c>
      <c r="N21" s="201">
        <v>394</v>
      </c>
      <c r="O21" s="201">
        <v>395</v>
      </c>
      <c r="P21" s="201">
        <v>396</v>
      </c>
      <c r="Q21" s="201">
        <v>397</v>
      </c>
      <c r="R21" s="201">
        <v>398</v>
      </c>
      <c r="S21" s="201">
        <v>399</v>
      </c>
      <c r="T21" s="201">
        <v>400</v>
      </c>
    </row>
    <row r="22" spans="1:20" ht="30" customHeight="1" x14ac:dyDescent="0.5">
      <c r="A22" s="201">
        <v>401</v>
      </c>
      <c r="B22" s="201">
        <v>402</v>
      </c>
      <c r="C22" s="201">
        <v>403</v>
      </c>
      <c r="D22" s="201">
        <v>404</v>
      </c>
      <c r="E22" s="201">
        <v>405</v>
      </c>
      <c r="F22" s="201">
        <v>406</v>
      </c>
      <c r="G22" s="201">
        <v>407</v>
      </c>
      <c r="H22" s="201">
        <v>408</v>
      </c>
      <c r="I22" s="201">
        <v>409</v>
      </c>
      <c r="J22" s="201">
        <v>410</v>
      </c>
      <c r="K22" s="201">
        <v>411</v>
      </c>
      <c r="L22" s="201">
        <v>412</v>
      </c>
      <c r="M22" s="201">
        <v>413</v>
      </c>
      <c r="N22" s="201">
        <v>414</v>
      </c>
      <c r="O22" s="201">
        <v>415</v>
      </c>
      <c r="P22" s="201">
        <v>416</v>
      </c>
      <c r="Q22" s="201">
        <v>417</v>
      </c>
      <c r="R22" s="201">
        <v>418</v>
      </c>
      <c r="S22" s="201">
        <v>419</v>
      </c>
      <c r="T22" s="201">
        <v>420</v>
      </c>
    </row>
    <row r="23" spans="1:20" ht="30" customHeight="1" x14ac:dyDescent="0.5">
      <c r="A23" s="201">
        <v>421</v>
      </c>
      <c r="B23" s="201">
        <v>422</v>
      </c>
      <c r="C23" s="201">
        <v>423</v>
      </c>
      <c r="D23" s="201">
        <v>424</v>
      </c>
      <c r="E23" s="201">
        <v>425</v>
      </c>
      <c r="F23" s="201">
        <v>426</v>
      </c>
      <c r="G23" s="201">
        <v>427</v>
      </c>
      <c r="H23" s="201">
        <v>428</v>
      </c>
      <c r="I23" s="201">
        <v>429</v>
      </c>
      <c r="J23" s="201">
        <v>430</v>
      </c>
      <c r="K23" s="201">
        <v>431</v>
      </c>
      <c r="L23" s="201">
        <v>432</v>
      </c>
      <c r="M23" s="201">
        <v>433</v>
      </c>
      <c r="N23" s="201">
        <v>434</v>
      </c>
      <c r="O23" s="201">
        <v>435</v>
      </c>
      <c r="P23" s="201">
        <v>436</v>
      </c>
      <c r="Q23" s="201">
        <v>437</v>
      </c>
      <c r="R23" s="201">
        <v>438</v>
      </c>
      <c r="S23" s="201">
        <v>439</v>
      </c>
      <c r="T23" s="201">
        <v>440</v>
      </c>
    </row>
    <row r="24" spans="1:20" ht="30" customHeight="1" x14ac:dyDescent="0.5">
      <c r="A24" s="201">
        <v>441</v>
      </c>
      <c r="B24" s="201">
        <v>442</v>
      </c>
      <c r="C24" s="201">
        <v>443</v>
      </c>
      <c r="D24" s="201">
        <v>444</v>
      </c>
      <c r="E24" s="201">
        <v>445</v>
      </c>
      <c r="F24" s="201">
        <v>446</v>
      </c>
      <c r="G24" s="201">
        <v>447</v>
      </c>
      <c r="H24" s="201">
        <v>448</v>
      </c>
      <c r="I24" s="201">
        <v>449</v>
      </c>
      <c r="J24" s="201">
        <v>450</v>
      </c>
      <c r="K24" s="201">
        <v>451</v>
      </c>
      <c r="L24" s="201">
        <v>452</v>
      </c>
      <c r="M24" s="201">
        <v>453</v>
      </c>
      <c r="N24" s="201">
        <v>454</v>
      </c>
      <c r="O24" s="201">
        <v>455</v>
      </c>
      <c r="P24" s="201">
        <v>456</v>
      </c>
      <c r="Q24" s="201">
        <v>457</v>
      </c>
      <c r="R24" s="201">
        <v>458</v>
      </c>
      <c r="S24" s="201">
        <v>459</v>
      </c>
      <c r="T24" s="201">
        <v>460</v>
      </c>
    </row>
    <row r="25" spans="1:20" ht="30" customHeight="1" x14ac:dyDescent="0.5">
      <c r="A25" s="201">
        <v>461</v>
      </c>
      <c r="B25" s="201">
        <v>462</v>
      </c>
      <c r="C25" s="201">
        <v>463</v>
      </c>
      <c r="D25" s="201">
        <v>464</v>
      </c>
      <c r="E25" s="201">
        <v>465</v>
      </c>
      <c r="F25" s="201">
        <v>466</v>
      </c>
      <c r="G25" s="201">
        <v>467</v>
      </c>
      <c r="H25" s="201">
        <v>468</v>
      </c>
      <c r="I25" s="201">
        <v>469</v>
      </c>
      <c r="J25" s="201">
        <v>470</v>
      </c>
      <c r="K25" s="201">
        <v>471</v>
      </c>
      <c r="L25" s="201">
        <v>472</v>
      </c>
      <c r="M25" s="201">
        <v>473</v>
      </c>
      <c r="N25" s="201">
        <v>474</v>
      </c>
      <c r="O25" s="201">
        <v>475</v>
      </c>
      <c r="P25" s="201">
        <v>476</v>
      </c>
      <c r="Q25" s="201">
        <v>477</v>
      </c>
      <c r="R25" s="201">
        <v>478</v>
      </c>
      <c r="S25" s="201">
        <v>479</v>
      </c>
      <c r="T25" s="201">
        <v>480</v>
      </c>
    </row>
    <row r="26" spans="1:20" ht="30" customHeight="1" x14ac:dyDescent="0.5">
      <c r="A26" s="201">
        <v>481</v>
      </c>
      <c r="B26" s="201">
        <v>482</v>
      </c>
      <c r="C26" s="201">
        <v>483</v>
      </c>
      <c r="D26" s="201">
        <v>484</v>
      </c>
      <c r="E26" s="201">
        <v>485</v>
      </c>
      <c r="F26" s="201">
        <v>486</v>
      </c>
      <c r="G26" s="201">
        <v>487</v>
      </c>
      <c r="H26" s="201">
        <v>488</v>
      </c>
      <c r="I26" s="201">
        <v>489</v>
      </c>
      <c r="J26" s="201">
        <v>490</v>
      </c>
      <c r="K26" s="201">
        <v>491</v>
      </c>
      <c r="L26" s="201">
        <v>492</v>
      </c>
      <c r="M26" s="201">
        <v>493</v>
      </c>
      <c r="N26" s="201">
        <v>494</v>
      </c>
      <c r="O26" s="201">
        <v>495</v>
      </c>
      <c r="P26" s="201">
        <v>496</v>
      </c>
      <c r="Q26" s="201">
        <v>497</v>
      </c>
      <c r="R26" s="201">
        <v>498</v>
      </c>
      <c r="S26" s="201">
        <v>499</v>
      </c>
      <c r="T26" s="201">
        <v>500</v>
      </c>
    </row>
    <row r="27" spans="1:20" ht="30" customHeight="1" x14ac:dyDescent="0.5">
      <c r="A27" s="201">
        <v>501</v>
      </c>
      <c r="B27" s="201">
        <v>502</v>
      </c>
      <c r="C27" s="201">
        <v>503</v>
      </c>
      <c r="D27" s="201">
        <v>504</v>
      </c>
      <c r="E27" s="201">
        <v>505</v>
      </c>
      <c r="F27" s="201">
        <v>506</v>
      </c>
      <c r="G27" s="201">
        <v>507</v>
      </c>
      <c r="H27" s="201">
        <v>508</v>
      </c>
      <c r="I27" s="201">
        <v>509</v>
      </c>
      <c r="J27" s="201">
        <v>510</v>
      </c>
      <c r="K27" s="201">
        <v>511</v>
      </c>
      <c r="L27" s="201">
        <v>512</v>
      </c>
      <c r="M27" s="201">
        <v>513</v>
      </c>
      <c r="N27" s="201">
        <v>514</v>
      </c>
      <c r="O27" s="201">
        <v>515</v>
      </c>
      <c r="P27" s="201">
        <v>516</v>
      </c>
      <c r="Q27" s="201">
        <v>517</v>
      </c>
      <c r="R27" s="201">
        <v>518</v>
      </c>
      <c r="S27" s="201">
        <v>519</v>
      </c>
      <c r="T27" s="201">
        <v>520</v>
      </c>
    </row>
    <row r="28" spans="1:20" ht="30" customHeight="1" x14ac:dyDescent="0.5">
      <c r="A28" s="201">
        <v>521</v>
      </c>
      <c r="B28" s="201">
        <v>522</v>
      </c>
      <c r="C28" s="201">
        <v>523</v>
      </c>
      <c r="D28" s="201">
        <v>524</v>
      </c>
      <c r="E28" s="201">
        <v>525</v>
      </c>
      <c r="F28" s="201">
        <v>526</v>
      </c>
      <c r="G28" s="201">
        <v>527</v>
      </c>
      <c r="H28" s="201">
        <v>528</v>
      </c>
      <c r="I28" s="201">
        <v>529</v>
      </c>
      <c r="J28" s="201">
        <v>530</v>
      </c>
      <c r="K28" s="201">
        <v>531</v>
      </c>
      <c r="L28" s="201">
        <v>532</v>
      </c>
      <c r="M28" s="201">
        <v>533</v>
      </c>
      <c r="N28" s="201">
        <v>534</v>
      </c>
      <c r="O28" s="201">
        <v>535</v>
      </c>
      <c r="P28" s="201">
        <v>536</v>
      </c>
      <c r="Q28" s="201">
        <v>537</v>
      </c>
      <c r="R28" s="201">
        <v>538</v>
      </c>
      <c r="S28" s="201">
        <v>539</v>
      </c>
      <c r="T28" s="201">
        <v>540</v>
      </c>
    </row>
    <row r="29" spans="1:20" ht="30" customHeight="1" x14ac:dyDescent="0.5">
      <c r="A29" s="201">
        <v>541</v>
      </c>
      <c r="B29" s="201">
        <v>542</v>
      </c>
      <c r="C29" s="201">
        <v>543</v>
      </c>
      <c r="D29" s="201">
        <v>544</v>
      </c>
      <c r="E29" s="201">
        <v>545</v>
      </c>
      <c r="F29" s="201">
        <v>546</v>
      </c>
      <c r="G29" s="201">
        <v>547</v>
      </c>
      <c r="H29" s="201">
        <v>548</v>
      </c>
      <c r="I29" s="201">
        <v>549</v>
      </c>
      <c r="J29" s="201">
        <v>550</v>
      </c>
      <c r="K29" s="201">
        <v>551</v>
      </c>
      <c r="L29" s="201">
        <v>552</v>
      </c>
      <c r="M29" s="201">
        <v>553</v>
      </c>
      <c r="N29" s="201">
        <v>554</v>
      </c>
      <c r="O29" s="201">
        <v>555</v>
      </c>
      <c r="P29" s="201">
        <v>556</v>
      </c>
      <c r="Q29" s="201">
        <v>557</v>
      </c>
      <c r="R29" s="201">
        <v>558</v>
      </c>
      <c r="S29" s="201">
        <v>559</v>
      </c>
      <c r="T29" s="201">
        <v>560</v>
      </c>
    </row>
    <row r="30" spans="1:20" ht="30" customHeight="1" x14ac:dyDescent="0.5">
      <c r="A30" s="201">
        <v>561</v>
      </c>
      <c r="B30" s="201">
        <v>562</v>
      </c>
      <c r="C30" s="201">
        <v>563</v>
      </c>
      <c r="D30" s="201">
        <v>564</v>
      </c>
      <c r="E30" s="201">
        <v>565</v>
      </c>
      <c r="F30" s="201">
        <v>566</v>
      </c>
      <c r="G30" s="201">
        <v>567</v>
      </c>
      <c r="H30" s="201">
        <v>568</v>
      </c>
      <c r="I30" s="201">
        <v>569</v>
      </c>
      <c r="J30" s="201">
        <v>570</v>
      </c>
      <c r="K30" s="201">
        <v>571</v>
      </c>
      <c r="L30" s="201">
        <v>572</v>
      </c>
      <c r="M30" s="201">
        <v>573</v>
      </c>
      <c r="N30" s="201">
        <v>574</v>
      </c>
      <c r="O30" s="201">
        <v>575</v>
      </c>
      <c r="P30" s="201">
        <v>576</v>
      </c>
      <c r="Q30" s="201">
        <v>577</v>
      </c>
      <c r="R30" s="201">
        <v>578</v>
      </c>
      <c r="S30" s="201">
        <v>579</v>
      </c>
      <c r="T30" s="201">
        <v>580</v>
      </c>
    </row>
    <row r="31" spans="1:20" ht="30" customHeight="1" x14ac:dyDescent="0.5">
      <c r="A31" s="201">
        <v>581</v>
      </c>
      <c r="B31" s="201">
        <v>582</v>
      </c>
      <c r="C31" s="201">
        <v>583</v>
      </c>
      <c r="D31" s="201">
        <v>584</v>
      </c>
      <c r="E31" s="201">
        <v>585</v>
      </c>
      <c r="F31" s="201">
        <v>586</v>
      </c>
      <c r="G31" s="201">
        <v>587</v>
      </c>
      <c r="H31" s="201">
        <v>588</v>
      </c>
      <c r="I31" s="201">
        <v>589</v>
      </c>
      <c r="J31" s="201">
        <v>590</v>
      </c>
      <c r="K31" s="201">
        <v>591</v>
      </c>
      <c r="L31" s="201">
        <v>592</v>
      </c>
      <c r="M31" s="201">
        <v>593</v>
      </c>
      <c r="N31" s="201">
        <v>594</v>
      </c>
      <c r="O31" s="201">
        <v>595</v>
      </c>
      <c r="P31" s="201">
        <v>596</v>
      </c>
      <c r="Q31" s="201">
        <v>597</v>
      </c>
      <c r="R31" s="201">
        <v>598</v>
      </c>
      <c r="S31" s="201">
        <v>599</v>
      </c>
      <c r="T31" s="201">
        <v>600</v>
      </c>
    </row>
    <row r="32" spans="1:20" ht="30" customHeight="1" x14ac:dyDescent="0.5">
      <c r="A32" s="201">
        <v>601</v>
      </c>
      <c r="B32" s="201">
        <v>602</v>
      </c>
      <c r="C32" s="201">
        <v>603</v>
      </c>
      <c r="D32" s="201">
        <v>604</v>
      </c>
      <c r="E32" s="201">
        <v>605</v>
      </c>
      <c r="F32" s="201">
        <v>606</v>
      </c>
      <c r="G32" s="201">
        <v>607</v>
      </c>
      <c r="H32" s="201">
        <v>608</v>
      </c>
      <c r="I32" s="201">
        <v>609</v>
      </c>
      <c r="J32" s="201">
        <v>610</v>
      </c>
      <c r="K32" s="201">
        <v>611</v>
      </c>
      <c r="L32" s="201">
        <v>612</v>
      </c>
      <c r="M32" s="201">
        <v>613</v>
      </c>
      <c r="N32" s="201">
        <v>614</v>
      </c>
      <c r="O32" s="201">
        <v>615</v>
      </c>
      <c r="P32" s="201">
        <v>616</v>
      </c>
      <c r="Q32" s="201">
        <v>617</v>
      </c>
      <c r="R32" s="201">
        <v>618</v>
      </c>
      <c r="S32" s="201">
        <v>619</v>
      </c>
      <c r="T32" s="201">
        <v>620</v>
      </c>
    </row>
    <row r="33" spans="1:20" ht="30" customHeight="1" x14ac:dyDescent="0.5">
      <c r="A33" s="201">
        <v>621</v>
      </c>
      <c r="B33" s="201">
        <v>622</v>
      </c>
      <c r="C33" s="201">
        <v>623</v>
      </c>
      <c r="D33" s="201">
        <v>624</v>
      </c>
      <c r="E33" s="201">
        <v>625</v>
      </c>
      <c r="F33" s="201">
        <v>626</v>
      </c>
      <c r="G33" s="201">
        <v>627</v>
      </c>
      <c r="H33" s="201">
        <v>628</v>
      </c>
      <c r="I33" s="201">
        <v>629</v>
      </c>
      <c r="J33" s="201">
        <v>630</v>
      </c>
      <c r="K33" s="201">
        <v>631</v>
      </c>
      <c r="L33" s="201">
        <v>632</v>
      </c>
      <c r="M33" s="201">
        <v>633</v>
      </c>
      <c r="N33" s="201">
        <v>634</v>
      </c>
      <c r="O33" s="201">
        <v>635</v>
      </c>
      <c r="P33" s="201">
        <v>636</v>
      </c>
      <c r="Q33" s="201">
        <v>637</v>
      </c>
      <c r="R33" s="201">
        <v>638</v>
      </c>
      <c r="S33" s="201">
        <v>639</v>
      </c>
      <c r="T33" s="201">
        <v>640</v>
      </c>
    </row>
    <row r="34" spans="1:20" ht="30" customHeight="1" x14ac:dyDescent="0.5">
      <c r="A34" s="201">
        <v>641</v>
      </c>
      <c r="B34" s="201">
        <v>642</v>
      </c>
      <c r="C34" s="201">
        <v>643</v>
      </c>
      <c r="D34" s="201">
        <v>644</v>
      </c>
      <c r="E34" s="201">
        <v>645</v>
      </c>
      <c r="F34" s="201">
        <v>646</v>
      </c>
      <c r="G34" s="201">
        <v>647</v>
      </c>
      <c r="H34" s="201">
        <v>648</v>
      </c>
      <c r="I34" s="201">
        <v>649</v>
      </c>
      <c r="J34" s="201">
        <v>650</v>
      </c>
      <c r="K34" s="201">
        <v>651</v>
      </c>
      <c r="L34" s="201">
        <v>652</v>
      </c>
      <c r="M34" s="201">
        <v>653</v>
      </c>
      <c r="N34" s="201">
        <v>654</v>
      </c>
      <c r="O34" s="201">
        <v>655</v>
      </c>
      <c r="P34" s="201">
        <v>656</v>
      </c>
      <c r="Q34" s="201">
        <v>657</v>
      </c>
      <c r="R34" s="201">
        <v>658</v>
      </c>
      <c r="S34" s="201">
        <v>659</v>
      </c>
      <c r="T34" s="201">
        <v>660</v>
      </c>
    </row>
    <row r="35" spans="1:20" ht="30" customHeight="1" x14ac:dyDescent="0.5">
      <c r="A35" s="201">
        <v>661</v>
      </c>
      <c r="B35" s="201">
        <v>662</v>
      </c>
      <c r="C35" s="201">
        <v>663</v>
      </c>
      <c r="D35" s="201">
        <v>664</v>
      </c>
      <c r="E35" s="201">
        <v>665</v>
      </c>
      <c r="F35" s="201">
        <v>666</v>
      </c>
      <c r="G35" s="201">
        <v>667</v>
      </c>
      <c r="H35" s="201">
        <v>668</v>
      </c>
      <c r="I35" s="201">
        <v>669</v>
      </c>
      <c r="J35" s="201">
        <v>670</v>
      </c>
      <c r="K35" s="201">
        <v>671</v>
      </c>
      <c r="L35" s="201">
        <v>672</v>
      </c>
      <c r="M35" s="201">
        <v>673</v>
      </c>
      <c r="N35" s="201">
        <v>674</v>
      </c>
      <c r="O35" s="201">
        <v>675</v>
      </c>
      <c r="P35" s="201">
        <v>676</v>
      </c>
      <c r="Q35" s="201">
        <v>677</v>
      </c>
      <c r="R35" s="201">
        <v>678</v>
      </c>
      <c r="S35" s="201">
        <v>679</v>
      </c>
      <c r="T35" s="201">
        <v>680</v>
      </c>
    </row>
    <row r="36" spans="1:20" ht="30" customHeight="1" x14ac:dyDescent="0.5">
      <c r="A36" s="201">
        <v>681</v>
      </c>
      <c r="B36" s="201">
        <v>682</v>
      </c>
      <c r="C36" s="201">
        <v>683</v>
      </c>
      <c r="D36" s="201">
        <v>684</v>
      </c>
      <c r="E36" s="201">
        <v>685</v>
      </c>
      <c r="F36" s="201">
        <v>686</v>
      </c>
      <c r="G36" s="201">
        <v>687</v>
      </c>
      <c r="H36" s="201">
        <v>688</v>
      </c>
      <c r="I36" s="201">
        <v>689</v>
      </c>
      <c r="J36" s="201">
        <v>690</v>
      </c>
      <c r="K36" s="201">
        <v>691</v>
      </c>
      <c r="L36" s="201">
        <v>692</v>
      </c>
      <c r="M36" s="201">
        <v>693</v>
      </c>
      <c r="N36" s="201">
        <v>694</v>
      </c>
      <c r="O36" s="201">
        <v>695</v>
      </c>
      <c r="P36" s="201">
        <v>696</v>
      </c>
      <c r="Q36" s="201">
        <v>697</v>
      </c>
      <c r="R36" s="201">
        <v>698</v>
      </c>
      <c r="S36" s="201">
        <v>699</v>
      </c>
      <c r="T36" s="201">
        <v>700</v>
      </c>
    </row>
    <row r="37" spans="1:20" ht="30" customHeight="1" x14ac:dyDescent="0.5">
      <c r="A37" s="201">
        <v>701</v>
      </c>
      <c r="B37" s="201">
        <v>702</v>
      </c>
      <c r="C37" s="201">
        <v>703</v>
      </c>
      <c r="D37" s="201">
        <v>704</v>
      </c>
      <c r="E37" s="201">
        <v>705</v>
      </c>
      <c r="F37" s="201">
        <v>706</v>
      </c>
      <c r="G37" s="201">
        <v>707</v>
      </c>
      <c r="H37" s="201">
        <v>708</v>
      </c>
      <c r="I37" s="201">
        <v>709</v>
      </c>
      <c r="J37" s="201">
        <v>710</v>
      </c>
      <c r="K37" s="201">
        <v>711</v>
      </c>
      <c r="L37" s="201">
        <v>712</v>
      </c>
      <c r="M37" s="201">
        <v>713</v>
      </c>
      <c r="N37" s="201">
        <v>714</v>
      </c>
      <c r="O37" s="201">
        <v>715</v>
      </c>
      <c r="P37" s="201">
        <v>716</v>
      </c>
      <c r="Q37" s="201">
        <v>717</v>
      </c>
      <c r="R37" s="201">
        <v>718</v>
      </c>
      <c r="S37" s="201">
        <v>719</v>
      </c>
      <c r="T37" s="201">
        <v>720</v>
      </c>
    </row>
    <row r="38" spans="1:20" ht="30" customHeight="1" x14ac:dyDescent="0.5">
      <c r="A38" s="201">
        <v>721</v>
      </c>
      <c r="B38" s="201">
        <v>722</v>
      </c>
      <c r="C38" s="201">
        <v>723</v>
      </c>
      <c r="D38" s="201">
        <v>724</v>
      </c>
      <c r="E38" s="201">
        <v>725</v>
      </c>
      <c r="F38" s="201">
        <v>726</v>
      </c>
      <c r="G38" s="201">
        <v>727</v>
      </c>
      <c r="H38" s="201">
        <v>728</v>
      </c>
      <c r="I38" s="201">
        <v>729</v>
      </c>
      <c r="J38" s="201">
        <v>730</v>
      </c>
      <c r="K38" s="201">
        <v>731</v>
      </c>
      <c r="L38" s="201">
        <v>732</v>
      </c>
      <c r="M38" s="201">
        <v>733</v>
      </c>
      <c r="N38" s="201">
        <v>734</v>
      </c>
      <c r="O38" s="201">
        <v>735</v>
      </c>
      <c r="P38" s="201">
        <v>736</v>
      </c>
      <c r="Q38" s="201">
        <v>737</v>
      </c>
      <c r="R38" s="201">
        <v>738</v>
      </c>
      <c r="S38" s="201">
        <v>739</v>
      </c>
      <c r="T38" s="201">
        <v>740</v>
      </c>
    </row>
    <row r="39" spans="1:20" ht="30" customHeight="1" x14ac:dyDescent="0.5">
      <c r="A39" s="201">
        <v>741</v>
      </c>
      <c r="B39" s="201">
        <v>742</v>
      </c>
      <c r="C39" s="201">
        <v>743</v>
      </c>
      <c r="D39" s="201">
        <v>744</v>
      </c>
      <c r="E39" s="201">
        <v>745</v>
      </c>
      <c r="F39" s="201">
        <v>746</v>
      </c>
      <c r="G39" s="201">
        <v>747</v>
      </c>
      <c r="H39" s="201">
        <v>748</v>
      </c>
      <c r="I39" s="201">
        <v>749</v>
      </c>
      <c r="J39" s="201">
        <v>750</v>
      </c>
      <c r="K39" s="201">
        <v>751</v>
      </c>
      <c r="L39" s="201">
        <v>752</v>
      </c>
      <c r="M39" s="201">
        <v>753</v>
      </c>
      <c r="N39" s="201">
        <v>754</v>
      </c>
      <c r="O39" s="201">
        <v>755</v>
      </c>
      <c r="P39" s="201">
        <v>756</v>
      </c>
      <c r="Q39" s="201">
        <v>757</v>
      </c>
      <c r="R39" s="201">
        <v>758</v>
      </c>
      <c r="S39" s="201">
        <v>759</v>
      </c>
      <c r="T39" s="201">
        <v>760</v>
      </c>
    </row>
    <row r="40" spans="1:20" ht="30" customHeight="1" x14ac:dyDescent="0.5">
      <c r="A40" s="201">
        <v>761</v>
      </c>
      <c r="B40" s="201">
        <v>762</v>
      </c>
      <c r="C40" s="201">
        <v>763</v>
      </c>
      <c r="D40" s="201">
        <v>764</v>
      </c>
      <c r="E40" s="201">
        <v>765</v>
      </c>
      <c r="F40" s="201">
        <v>766</v>
      </c>
      <c r="G40" s="201">
        <v>767</v>
      </c>
      <c r="H40" s="201">
        <v>768</v>
      </c>
      <c r="I40" s="201">
        <v>769</v>
      </c>
      <c r="J40" s="201">
        <v>770</v>
      </c>
      <c r="K40" s="201">
        <v>771</v>
      </c>
      <c r="L40" s="201">
        <v>772</v>
      </c>
      <c r="M40" s="201">
        <v>773</v>
      </c>
      <c r="N40" s="201">
        <v>774</v>
      </c>
      <c r="O40" s="201">
        <v>775</v>
      </c>
      <c r="P40" s="201">
        <v>776</v>
      </c>
      <c r="Q40" s="201">
        <v>777</v>
      </c>
      <c r="R40" s="201">
        <v>778</v>
      </c>
      <c r="S40" s="201">
        <v>779</v>
      </c>
      <c r="T40" s="201">
        <v>780</v>
      </c>
    </row>
    <row r="41" spans="1:20" ht="30" customHeight="1" x14ac:dyDescent="0.5">
      <c r="A41" s="201">
        <v>781</v>
      </c>
      <c r="B41" s="201">
        <v>782</v>
      </c>
      <c r="C41" s="201">
        <v>783</v>
      </c>
      <c r="D41" s="201">
        <v>784</v>
      </c>
      <c r="E41" s="201">
        <v>785</v>
      </c>
      <c r="F41" s="201">
        <v>786</v>
      </c>
      <c r="G41" s="201">
        <v>787</v>
      </c>
      <c r="H41" s="201">
        <v>788</v>
      </c>
      <c r="I41" s="201">
        <v>789</v>
      </c>
      <c r="J41" s="201">
        <v>790</v>
      </c>
      <c r="K41" s="201">
        <v>791</v>
      </c>
      <c r="L41" s="201">
        <v>792</v>
      </c>
      <c r="M41" s="201">
        <v>793</v>
      </c>
      <c r="N41" s="201">
        <v>794</v>
      </c>
      <c r="O41" s="201">
        <v>795</v>
      </c>
      <c r="P41" s="201">
        <v>796</v>
      </c>
      <c r="Q41" s="201">
        <v>797</v>
      </c>
      <c r="R41" s="201">
        <v>798</v>
      </c>
      <c r="S41" s="201">
        <v>799</v>
      </c>
      <c r="T41" s="201">
        <v>800</v>
      </c>
    </row>
    <row r="42" spans="1:20" ht="30" customHeight="1" x14ac:dyDescent="0.5">
      <c r="A42" s="201">
        <v>801</v>
      </c>
      <c r="B42" s="201">
        <v>802</v>
      </c>
      <c r="C42" s="201">
        <v>803</v>
      </c>
      <c r="D42" s="201">
        <v>804</v>
      </c>
      <c r="E42" s="201">
        <v>805</v>
      </c>
      <c r="F42" s="201">
        <v>806</v>
      </c>
      <c r="G42" s="201">
        <v>807</v>
      </c>
      <c r="H42" s="201">
        <v>808</v>
      </c>
      <c r="I42" s="201">
        <v>809</v>
      </c>
      <c r="J42" s="201">
        <v>810</v>
      </c>
      <c r="K42" s="201">
        <v>811</v>
      </c>
      <c r="L42" s="201">
        <v>812</v>
      </c>
      <c r="M42" s="201">
        <v>813</v>
      </c>
      <c r="N42" s="201">
        <v>814</v>
      </c>
      <c r="O42" s="201">
        <v>815</v>
      </c>
      <c r="P42" s="201">
        <v>816</v>
      </c>
      <c r="Q42" s="201">
        <v>817</v>
      </c>
      <c r="R42" s="201">
        <v>818</v>
      </c>
      <c r="S42" s="201">
        <v>819</v>
      </c>
      <c r="T42" s="201">
        <v>820</v>
      </c>
    </row>
    <row r="43" spans="1:20" ht="30" customHeight="1" x14ac:dyDescent="0.5">
      <c r="A43" s="201">
        <v>821</v>
      </c>
      <c r="B43" s="201">
        <v>822</v>
      </c>
      <c r="C43" s="201">
        <v>823</v>
      </c>
      <c r="D43" s="201">
        <v>824</v>
      </c>
      <c r="E43" s="201">
        <v>825</v>
      </c>
      <c r="F43" s="201">
        <v>826</v>
      </c>
      <c r="G43" s="201">
        <v>827</v>
      </c>
      <c r="H43" s="201">
        <v>828</v>
      </c>
      <c r="I43" s="201">
        <v>829</v>
      </c>
      <c r="J43" s="201">
        <v>830</v>
      </c>
      <c r="K43" s="201">
        <v>831</v>
      </c>
      <c r="L43" s="201">
        <v>832</v>
      </c>
      <c r="M43" s="201">
        <v>833</v>
      </c>
      <c r="N43" s="201">
        <v>834</v>
      </c>
      <c r="O43" s="201">
        <v>835</v>
      </c>
      <c r="P43" s="201">
        <v>836</v>
      </c>
      <c r="Q43" s="201">
        <v>837</v>
      </c>
      <c r="R43" s="201">
        <v>838</v>
      </c>
      <c r="S43" s="201">
        <v>839</v>
      </c>
      <c r="T43" s="201">
        <v>840</v>
      </c>
    </row>
    <row r="44" spans="1:20" ht="30" customHeight="1" x14ac:dyDescent="0.5">
      <c r="A44" s="201">
        <v>841</v>
      </c>
      <c r="B44" s="201">
        <v>842</v>
      </c>
      <c r="C44" s="201">
        <v>843</v>
      </c>
      <c r="D44" s="201">
        <v>844</v>
      </c>
      <c r="E44" s="201">
        <v>845</v>
      </c>
      <c r="F44" s="201">
        <v>846</v>
      </c>
      <c r="G44" s="201">
        <v>847</v>
      </c>
      <c r="H44" s="201">
        <v>848</v>
      </c>
      <c r="I44" s="201">
        <v>849</v>
      </c>
      <c r="J44" s="201">
        <v>850</v>
      </c>
      <c r="K44" s="201">
        <v>851</v>
      </c>
      <c r="L44" s="201">
        <v>852</v>
      </c>
      <c r="M44" s="201">
        <v>853</v>
      </c>
      <c r="N44" s="201">
        <v>854</v>
      </c>
      <c r="O44" s="201">
        <v>855</v>
      </c>
      <c r="P44" s="201">
        <v>856</v>
      </c>
      <c r="Q44" s="201">
        <v>857</v>
      </c>
      <c r="R44" s="201">
        <v>858</v>
      </c>
      <c r="S44" s="201">
        <v>859</v>
      </c>
      <c r="T44" s="201">
        <v>860</v>
      </c>
    </row>
    <row r="45" spans="1:20" ht="30" customHeight="1" x14ac:dyDescent="0.5">
      <c r="A45" s="201">
        <v>861</v>
      </c>
      <c r="B45" s="201">
        <v>862</v>
      </c>
      <c r="C45" s="201">
        <v>863</v>
      </c>
      <c r="D45" s="201">
        <v>864</v>
      </c>
      <c r="E45" s="201">
        <v>865</v>
      </c>
      <c r="F45" s="201">
        <v>866</v>
      </c>
      <c r="G45" s="201">
        <v>867</v>
      </c>
      <c r="H45" s="201">
        <v>868</v>
      </c>
      <c r="I45" s="201">
        <v>869</v>
      </c>
      <c r="J45" s="201">
        <v>870</v>
      </c>
      <c r="K45" s="201">
        <v>871</v>
      </c>
      <c r="L45" s="201">
        <v>872</v>
      </c>
      <c r="M45" s="201">
        <v>873</v>
      </c>
      <c r="N45" s="201">
        <v>874</v>
      </c>
      <c r="O45" s="201">
        <v>875</v>
      </c>
      <c r="P45" s="201">
        <v>876</v>
      </c>
      <c r="Q45" s="201">
        <v>877</v>
      </c>
      <c r="R45" s="201">
        <v>878</v>
      </c>
      <c r="S45" s="201">
        <v>879</v>
      </c>
      <c r="T45" s="201">
        <v>880</v>
      </c>
    </row>
    <row r="46" spans="1:20" ht="30" customHeight="1" x14ac:dyDescent="0.5">
      <c r="A46" s="201">
        <v>881</v>
      </c>
      <c r="B46" s="201">
        <v>882</v>
      </c>
      <c r="C46" s="201">
        <v>883</v>
      </c>
      <c r="D46" s="201">
        <v>884</v>
      </c>
      <c r="E46" s="201">
        <v>885</v>
      </c>
      <c r="F46" s="201">
        <v>886</v>
      </c>
      <c r="G46" s="201">
        <v>887</v>
      </c>
      <c r="H46" s="201">
        <v>888</v>
      </c>
      <c r="I46" s="201">
        <v>889</v>
      </c>
      <c r="J46" s="201">
        <v>890</v>
      </c>
      <c r="K46" s="201">
        <v>891</v>
      </c>
      <c r="L46" s="201">
        <v>892</v>
      </c>
      <c r="M46" s="201">
        <v>893</v>
      </c>
      <c r="N46" s="201">
        <v>894</v>
      </c>
      <c r="O46" s="201">
        <v>895</v>
      </c>
      <c r="P46" s="201">
        <v>896</v>
      </c>
      <c r="Q46" s="201">
        <v>897</v>
      </c>
      <c r="R46" s="201">
        <v>898</v>
      </c>
      <c r="S46" s="201">
        <v>899</v>
      </c>
      <c r="T46" s="201">
        <v>900</v>
      </c>
    </row>
    <row r="47" spans="1:20" ht="30" customHeight="1" x14ac:dyDescent="0.5">
      <c r="A47" s="201">
        <v>901</v>
      </c>
      <c r="B47" s="201">
        <v>902</v>
      </c>
      <c r="C47" s="201">
        <v>903</v>
      </c>
      <c r="D47" s="201">
        <v>904</v>
      </c>
      <c r="E47" s="201">
        <v>905</v>
      </c>
      <c r="F47" s="201">
        <v>906</v>
      </c>
      <c r="G47" s="201">
        <v>907</v>
      </c>
      <c r="H47" s="201">
        <v>908</v>
      </c>
      <c r="I47" s="201">
        <v>909</v>
      </c>
      <c r="J47" s="201">
        <v>910</v>
      </c>
      <c r="K47" s="201">
        <v>911</v>
      </c>
      <c r="L47" s="201">
        <v>912</v>
      </c>
      <c r="M47" s="201">
        <v>913</v>
      </c>
      <c r="N47" s="201">
        <v>914</v>
      </c>
      <c r="O47" s="201">
        <v>915</v>
      </c>
      <c r="P47" s="201">
        <v>916</v>
      </c>
      <c r="Q47" s="201">
        <v>917</v>
      </c>
      <c r="R47" s="201">
        <v>918</v>
      </c>
      <c r="S47" s="201">
        <v>919</v>
      </c>
      <c r="T47" s="201">
        <v>920</v>
      </c>
    </row>
    <row r="48" spans="1:20" ht="30" customHeight="1" x14ac:dyDescent="0.5">
      <c r="A48" s="201">
        <v>921</v>
      </c>
      <c r="B48" s="201">
        <v>922</v>
      </c>
      <c r="C48" s="201">
        <v>923</v>
      </c>
      <c r="D48" s="201">
        <v>924</v>
      </c>
      <c r="E48" s="201">
        <v>925</v>
      </c>
      <c r="F48" s="201">
        <v>926</v>
      </c>
      <c r="G48" s="201">
        <v>927</v>
      </c>
      <c r="H48" s="201">
        <v>928</v>
      </c>
      <c r="I48" s="201">
        <v>929</v>
      </c>
      <c r="J48" s="201">
        <v>930</v>
      </c>
      <c r="K48" s="201">
        <v>931</v>
      </c>
      <c r="L48" s="201">
        <v>932</v>
      </c>
      <c r="M48" s="201">
        <v>933</v>
      </c>
      <c r="N48" s="201">
        <v>934</v>
      </c>
      <c r="O48" s="201">
        <v>935</v>
      </c>
      <c r="P48" s="201">
        <v>936</v>
      </c>
      <c r="Q48" s="201">
        <v>937</v>
      </c>
      <c r="R48" s="201">
        <v>938</v>
      </c>
      <c r="S48" s="201">
        <v>939</v>
      </c>
      <c r="T48" s="201">
        <v>940</v>
      </c>
    </row>
    <row r="49" spans="1:20" ht="30" customHeight="1" x14ac:dyDescent="0.5">
      <c r="A49" s="201">
        <v>941</v>
      </c>
      <c r="B49" s="201">
        <v>942</v>
      </c>
      <c r="C49" s="201">
        <v>943</v>
      </c>
      <c r="D49" s="201">
        <v>944</v>
      </c>
      <c r="E49" s="201">
        <v>945</v>
      </c>
      <c r="F49" s="201">
        <v>946</v>
      </c>
      <c r="G49" s="201">
        <v>947</v>
      </c>
      <c r="H49" s="201">
        <v>948</v>
      </c>
      <c r="I49" s="201">
        <v>949</v>
      </c>
      <c r="J49" s="201">
        <v>950</v>
      </c>
      <c r="K49" s="201">
        <v>951</v>
      </c>
      <c r="L49" s="201">
        <v>952</v>
      </c>
      <c r="M49" s="201">
        <v>953</v>
      </c>
      <c r="N49" s="201">
        <v>954</v>
      </c>
      <c r="O49" s="201">
        <v>955</v>
      </c>
      <c r="P49" s="201">
        <v>956</v>
      </c>
      <c r="Q49" s="201">
        <v>957</v>
      </c>
      <c r="R49" s="201">
        <v>958</v>
      </c>
      <c r="S49" s="201">
        <v>959</v>
      </c>
      <c r="T49" s="201">
        <v>960</v>
      </c>
    </row>
    <row r="50" spans="1:20" ht="30" customHeight="1" x14ac:dyDescent="0.5">
      <c r="A50" s="201">
        <v>961</v>
      </c>
      <c r="B50" s="201">
        <v>962</v>
      </c>
      <c r="C50" s="201">
        <v>963</v>
      </c>
      <c r="D50" s="201">
        <v>964</v>
      </c>
      <c r="E50" s="201">
        <v>965</v>
      </c>
      <c r="F50" s="201">
        <v>966</v>
      </c>
      <c r="G50" s="201">
        <v>967</v>
      </c>
      <c r="H50" s="201">
        <v>968</v>
      </c>
      <c r="I50" s="201">
        <v>969</v>
      </c>
      <c r="J50" s="201">
        <v>970</v>
      </c>
      <c r="K50" s="201">
        <v>971</v>
      </c>
      <c r="L50" s="201">
        <v>972</v>
      </c>
      <c r="M50" s="201">
        <v>973</v>
      </c>
      <c r="N50" s="201">
        <v>974</v>
      </c>
      <c r="O50" s="201">
        <v>975</v>
      </c>
      <c r="P50" s="201">
        <v>976</v>
      </c>
      <c r="Q50" s="201">
        <v>977</v>
      </c>
      <c r="R50" s="201">
        <v>978</v>
      </c>
      <c r="S50" s="201">
        <v>979</v>
      </c>
      <c r="T50" s="201">
        <v>980</v>
      </c>
    </row>
    <row r="51" spans="1:20" ht="30" customHeight="1" x14ac:dyDescent="0.5">
      <c r="A51" s="201">
        <v>981</v>
      </c>
      <c r="B51" s="201">
        <v>982</v>
      </c>
      <c r="C51" s="201">
        <v>983</v>
      </c>
      <c r="D51" s="201">
        <v>984</v>
      </c>
      <c r="E51" s="201">
        <v>985</v>
      </c>
      <c r="F51" s="201">
        <v>986</v>
      </c>
      <c r="G51" s="201">
        <v>987</v>
      </c>
      <c r="H51" s="201">
        <v>988</v>
      </c>
      <c r="I51" s="201">
        <v>989</v>
      </c>
      <c r="J51" s="201">
        <v>990</v>
      </c>
      <c r="K51" s="201">
        <v>991</v>
      </c>
      <c r="L51" s="201">
        <v>992</v>
      </c>
      <c r="M51" s="201">
        <v>993</v>
      </c>
      <c r="N51" s="201">
        <v>994</v>
      </c>
      <c r="O51" s="201">
        <v>995</v>
      </c>
      <c r="P51" s="201">
        <v>996</v>
      </c>
      <c r="Q51" s="201">
        <v>997</v>
      </c>
      <c r="R51" s="201">
        <v>998</v>
      </c>
      <c r="S51" s="201">
        <v>999</v>
      </c>
      <c r="T51" s="201">
        <v>1000</v>
      </c>
    </row>
    <row r="52" spans="1:20" ht="30" customHeight="1" x14ac:dyDescent="0.5">
      <c r="A52" s="201">
        <v>1001</v>
      </c>
      <c r="B52" s="201">
        <v>1002</v>
      </c>
      <c r="C52" s="201">
        <v>1003</v>
      </c>
      <c r="D52" s="201">
        <v>1004</v>
      </c>
      <c r="E52" s="201">
        <v>1005</v>
      </c>
      <c r="F52" s="201">
        <v>1006</v>
      </c>
      <c r="G52" s="201">
        <v>1007</v>
      </c>
      <c r="H52" s="201">
        <v>1008</v>
      </c>
      <c r="I52" s="201">
        <v>1009</v>
      </c>
      <c r="J52" s="201">
        <v>1010</v>
      </c>
      <c r="K52" s="201">
        <v>1011</v>
      </c>
      <c r="L52" s="201">
        <v>1012</v>
      </c>
      <c r="M52" s="201">
        <v>1013</v>
      </c>
      <c r="N52" s="201">
        <v>1014</v>
      </c>
      <c r="O52" s="201">
        <v>1015</v>
      </c>
      <c r="P52" s="201">
        <v>1016</v>
      </c>
      <c r="Q52" s="201">
        <v>1017</v>
      </c>
      <c r="R52" s="201">
        <v>1018</v>
      </c>
      <c r="S52" s="201">
        <v>1019</v>
      </c>
      <c r="T52" s="201">
        <v>1020</v>
      </c>
    </row>
    <row r="53" spans="1:20" ht="30" customHeight="1" x14ac:dyDescent="0.5">
      <c r="A53" s="201">
        <v>1021</v>
      </c>
      <c r="B53" s="201">
        <v>1022</v>
      </c>
      <c r="C53" s="201">
        <v>1023</v>
      </c>
      <c r="D53" s="201">
        <v>1024</v>
      </c>
      <c r="E53" s="201">
        <v>1025</v>
      </c>
      <c r="F53" s="201">
        <v>1026</v>
      </c>
      <c r="G53" s="201">
        <v>1027</v>
      </c>
      <c r="H53" s="201">
        <v>1028</v>
      </c>
      <c r="I53" s="201">
        <v>1029</v>
      </c>
      <c r="J53" s="201">
        <v>1030</v>
      </c>
      <c r="K53" s="201">
        <v>1031</v>
      </c>
      <c r="L53" s="201">
        <v>1032</v>
      </c>
      <c r="M53" s="201">
        <v>1033</v>
      </c>
      <c r="N53" s="201">
        <v>1034</v>
      </c>
      <c r="O53" s="201">
        <v>1035</v>
      </c>
      <c r="P53" s="201">
        <v>1036</v>
      </c>
      <c r="Q53" s="201">
        <v>1037</v>
      </c>
      <c r="R53" s="201">
        <v>1038</v>
      </c>
      <c r="S53" s="201">
        <v>1039</v>
      </c>
      <c r="T53" s="201">
        <v>1040</v>
      </c>
    </row>
    <row r="54" spans="1:20" ht="30" customHeight="1" x14ac:dyDescent="0.5">
      <c r="A54" s="201">
        <v>1041</v>
      </c>
      <c r="B54" s="201">
        <v>1042</v>
      </c>
      <c r="C54" s="201">
        <v>1043</v>
      </c>
      <c r="D54" s="201">
        <v>1044</v>
      </c>
      <c r="E54" s="201">
        <v>1045</v>
      </c>
      <c r="F54" s="201">
        <v>1046</v>
      </c>
      <c r="G54" s="201">
        <v>1047</v>
      </c>
      <c r="H54" s="201">
        <v>1048</v>
      </c>
      <c r="I54" s="201">
        <v>1049</v>
      </c>
      <c r="J54" s="201">
        <v>1050</v>
      </c>
      <c r="K54" s="201">
        <v>1051</v>
      </c>
      <c r="L54" s="201">
        <v>1052</v>
      </c>
      <c r="M54" s="201">
        <v>1053</v>
      </c>
      <c r="N54" s="201">
        <v>1054</v>
      </c>
      <c r="O54" s="201">
        <v>1055</v>
      </c>
      <c r="P54" s="201">
        <v>1056</v>
      </c>
      <c r="Q54" s="201">
        <v>1057</v>
      </c>
      <c r="R54" s="201">
        <v>1058</v>
      </c>
      <c r="S54" s="201">
        <v>1059</v>
      </c>
      <c r="T54" s="201">
        <v>1060</v>
      </c>
    </row>
    <row r="55" spans="1:20" ht="30" customHeight="1" x14ac:dyDescent="0.5">
      <c r="A55" s="201">
        <v>1061</v>
      </c>
      <c r="B55" s="201">
        <v>1062</v>
      </c>
      <c r="C55" s="201">
        <v>1063</v>
      </c>
      <c r="D55" s="201">
        <v>1064</v>
      </c>
      <c r="E55" s="201">
        <v>1065</v>
      </c>
      <c r="F55" s="201">
        <v>1066</v>
      </c>
      <c r="G55" s="201">
        <v>1067</v>
      </c>
      <c r="H55" s="201">
        <v>1068</v>
      </c>
      <c r="I55" s="201">
        <v>1069</v>
      </c>
      <c r="J55" s="201">
        <v>1070</v>
      </c>
      <c r="K55" s="201">
        <v>1071</v>
      </c>
      <c r="L55" s="201">
        <v>1072</v>
      </c>
      <c r="M55" s="201">
        <v>1073</v>
      </c>
      <c r="N55" s="201">
        <v>1074</v>
      </c>
      <c r="O55" s="201">
        <v>1075</v>
      </c>
      <c r="P55" s="201">
        <v>1076</v>
      </c>
      <c r="Q55" s="201">
        <v>1077</v>
      </c>
      <c r="R55" s="201">
        <v>1078</v>
      </c>
      <c r="S55" s="201">
        <v>1079</v>
      </c>
      <c r="T55" s="201">
        <v>1080</v>
      </c>
    </row>
    <row r="56" spans="1:20" ht="30" customHeight="1" x14ac:dyDescent="0.5">
      <c r="A56" s="201">
        <v>1081</v>
      </c>
      <c r="B56" s="201">
        <v>1082</v>
      </c>
      <c r="C56" s="201">
        <v>1083</v>
      </c>
      <c r="D56" s="201">
        <v>1084</v>
      </c>
      <c r="E56" s="201">
        <v>1085</v>
      </c>
      <c r="F56" s="201">
        <v>1086</v>
      </c>
      <c r="G56" s="201">
        <v>1087</v>
      </c>
      <c r="H56" s="201">
        <v>1088</v>
      </c>
      <c r="I56" s="201">
        <v>1089</v>
      </c>
      <c r="J56" s="201">
        <v>1090</v>
      </c>
      <c r="K56" s="201">
        <v>1091</v>
      </c>
      <c r="L56" s="201">
        <v>1092</v>
      </c>
      <c r="M56" s="201">
        <v>1093</v>
      </c>
      <c r="N56" s="201">
        <v>1094</v>
      </c>
      <c r="O56" s="201">
        <v>1095</v>
      </c>
      <c r="P56" s="201">
        <v>1096</v>
      </c>
      <c r="Q56" s="201">
        <v>1097</v>
      </c>
      <c r="R56" s="201">
        <v>1098</v>
      </c>
      <c r="S56" s="201">
        <v>1099</v>
      </c>
      <c r="T56" s="201">
        <v>1100</v>
      </c>
    </row>
    <row r="57" spans="1:20" ht="30" customHeight="1" x14ac:dyDescent="0.5">
      <c r="A57" s="201">
        <v>1101</v>
      </c>
      <c r="B57" s="201">
        <v>1102</v>
      </c>
      <c r="C57" s="201">
        <v>1103</v>
      </c>
      <c r="D57" s="201">
        <v>1104</v>
      </c>
      <c r="E57" s="201">
        <v>1105</v>
      </c>
      <c r="F57" s="201">
        <v>1106</v>
      </c>
      <c r="G57" s="201">
        <v>1107</v>
      </c>
      <c r="H57" s="201">
        <v>1108</v>
      </c>
      <c r="I57" s="201">
        <v>1109</v>
      </c>
      <c r="J57" s="201">
        <v>1110</v>
      </c>
      <c r="K57" s="201">
        <v>1111</v>
      </c>
      <c r="L57" s="201">
        <v>1112</v>
      </c>
      <c r="M57" s="201">
        <v>1113</v>
      </c>
      <c r="N57" s="201">
        <v>1114</v>
      </c>
      <c r="O57" s="201">
        <v>1115</v>
      </c>
      <c r="P57" s="201">
        <v>1116</v>
      </c>
      <c r="Q57" s="201">
        <v>1117</v>
      </c>
      <c r="R57" s="201">
        <v>1118</v>
      </c>
      <c r="S57" s="201">
        <v>1119</v>
      </c>
      <c r="T57" s="201">
        <v>1120</v>
      </c>
    </row>
    <row r="58" spans="1:20" ht="30" customHeight="1" x14ac:dyDescent="0.5">
      <c r="A58" s="201">
        <v>1121</v>
      </c>
      <c r="B58" s="201">
        <v>1122</v>
      </c>
      <c r="C58" s="201">
        <v>1123</v>
      </c>
      <c r="D58" s="201">
        <v>1124</v>
      </c>
      <c r="E58" s="201">
        <v>1125</v>
      </c>
      <c r="F58" s="201">
        <v>1126</v>
      </c>
      <c r="G58" s="201">
        <v>1127</v>
      </c>
      <c r="H58" s="201">
        <v>1128</v>
      </c>
      <c r="I58" s="201">
        <v>1129</v>
      </c>
      <c r="J58" s="201">
        <v>1130</v>
      </c>
      <c r="K58" s="201">
        <v>1131</v>
      </c>
      <c r="L58" s="201">
        <v>1132</v>
      </c>
      <c r="M58" s="201">
        <v>1133</v>
      </c>
      <c r="N58" s="201">
        <v>1134</v>
      </c>
      <c r="O58" s="201">
        <v>1135</v>
      </c>
      <c r="P58" s="201">
        <v>1136</v>
      </c>
      <c r="Q58" s="201">
        <v>1137</v>
      </c>
      <c r="R58" s="201">
        <v>1138</v>
      </c>
      <c r="S58" s="201">
        <v>1139</v>
      </c>
      <c r="T58" s="201">
        <v>1140</v>
      </c>
    </row>
    <row r="59" spans="1:20" ht="30" customHeight="1" x14ac:dyDescent="0.5">
      <c r="A59" s="201">
        <v>1141</v>
      </c>
      <c r="B59" s="201">
        <v>1142</v>
      </c>
      <c r="C59" s="201">
        <v>1143</v>
      </c>
      <c r="D59" s="201">
        <v>1144</v>
      </c>
      <c r="E59" s="201">
        <v>1145</v>
      </c>
      <c r="F59" s="201">
        <v>1146</v>
      </c>
      <c r="G59" s="201">
        <v>1147</v>
      </c>
      <c r="H59" s="201">
        <v>1148</v>
      </c>
      <c r="I59" s="201">
        <v>1149</v>
      </c>
      <c r="J59" s="201">
        <v>1150</v>
      </c>
      <c r="K59" s="201">
        <v>1151</v>
      </c>
      <c r="L59" s="201">
        <v>1152</v>
      </c>
      <c r="M59" s="201">
        <v>1153</v>
      </c>
      <c r="N59" s="201">
        <v>1154</v>
      </c>
      <c r="O59" s="201">
        <v>1155</v>
      </c>
      <c r="P59" s="201">
        <v>1156</v>
      </c>
      <c r="Q59" s="201">
        <v>1157</v>
      </c>
      <c r="R59" s="201">
        <v>1158</v>
      </c>
      <c r="S59" s="201">
        <v>1159</v>
      </c>
      <c r="T59" s="201">
        <v>1160</v>
      </c>
    </row>
    <row r="60" spans="1:20" ht="30" customHeight="1" x14ac:dyDescent="0.5">
      <c r="A60" s="201">
        <v>1161</v>
      </c>
      <c r="B60" s="201">
        <v>1162</v>
      </c>
      <c r="C60" s="201">
        <v>1163</v>
      </c>
      <c r="D60" s="201">
        <v>1164</v>
      </c>
      <c r="E60" s="201">
        <v>1165</v>
      </c>
      <c r="F60" s="201">
        <v>1166</v>
      </c>
      <c r="G60" s="201">
        <v>1167</v>
      </c>
      <c r="H60" s="201">
        <v>1168</v>
      </c>
      <c r="I60" s="201">
        <v>1169</v>
      </c>
      <c r="J60" s="201">
        <v>1170</v>
      </c>
      <c r="K60" s="201">
        <v>1171</v>
      </c>
      <c r="L60" s="201">
        <v>1172</v>
      </c>
      <c r="M60" s="201">
        <v>1173</v>
      </c>
      <c r="N60" s="201">
        <v>1174</v>
      </c>
      <c r="O60" s="201">
        <v>1175</v>
      </c>
      <c r="P60" s="201">
        <v>1176</v>
      </c>
      <c r="Q60" s="201">
        <v>1177</v>
      </c>
      <c r="R60" s="201">
        <v>1178</v>
      </c>
      <c r="S60" s="201">
        <v>1179</v>
      </c>
      <c r="T60" s="201">
        <v>1180</v>
      </c>
    </row>
    <row r="61" spans="1:20" ht="30" customHeight="1" x14ac:dyDescent="0.5">
      <c r="A61" s="201">
        <v>1181</v>
      </c>
      <c r="B61" s="201">
        <v>1182</v>
      </c>
      <c r="C61" s="201">
        <v>1183</v>
      </c>
      <c r="D61" s="201">
        <v>1184</v>
      </c>
      <c r="E61" s="201">
        <v>1185</v>
      </c>
      <c r="F61" s="201">
        <v>1186</v>
      </c>
      <c r="G61" s="201">
        <v>1187</v>
      </c>
      <c r="H61" s="201">
        <v>1188</v>
      </c>
      <c r="I61" s="201">
        <v>1189</v>
      </c>
      <c r="J61" s="201">
        <v>1190</v>
      </c>
      <c r="K61" s="201">
        <v>1191</v>
      </c>
      <c r="L61" s="201">
        <v>1192</v>
      </c>
      <c r="M61" s="201">
        <v>1193</v>
      </c>
      <c r="N61" s="201">
        <v>1194</v>
      </c>
      <c r="O61" s="201">
        <v>1195</v>
      </c>
      <c r="P61" s="201">
        <v>1196</v>
      </c>
      <c r="Q61" s="201">
        <v>1197</v>
      </c>
      <c r="R61" s="201">
        <v>1198</v>
      </c>
      <c r="S61" s="201">
        <v>1199</v>
      </c>
      <c r="T61" s="201">
        <v>1200</v>
      </c>
    </row>
    <row r="62" spans="1:20" ht="30" customHeight="1" x14ac:dyDescent="0.5">
      <c r="A62" s="201">
        <v>1201</v>
      </c>
      <c r="B62" s="201">
        <v>1202</v>
      </c>
      <c r="C62" s="201">
        <v>1203</v>
      </c>
      <c r="D62" s="201">
        <v>1204</v>
      </c>
      <c r="E62" s="201">
        <v>1205</v>
      </c>
      <c r="F62" s="201">
        <v>1206</v>
      </c>
      <c r="G62" s="201">
        <v>1207</v>
      </c>
      <c r="H62" s="201">
        <v>1208</v>
      </c>
      <c r="I62" s="201">
        <v>1209</v>
      </c>
      <c r="J62" s="201">
        <v>1210</v>
      </c>
      <c r="K62" s="201">
        <v>1211</v>
      </c>
      <c r="L62" s="201">
        <v>1212</v>
      </c>
      <c r="M62" s="201">
        <v>1213</v>
      </c>
      <c r="N62" s="201">
        <v>1214</v>
      </c>
      <c r="O62" s="201">
        <v>1215</v>
      </c>
      <c r="P62" s="201">
        <v>1216</v>
      </c>
      <c r="Q62" s="201">
        <v>1217</v>
      </c>
      <c r="R62" s="201">
        <v>1218</v>
      </c>
      <c r="S62" s="201">
        <v>1219</v>
      </c>
      <c r="T62" s="201">
        <v>1220</v>
      </c>
    </row>
    <row r="63" spans="1:20" ht="30" customHeight="1" x14ac:dyDescent="0.5">
      <c r="A63" s="201">
        <v>1221</v>
      </c>
      <c r="B63" s="201">
        <v>1222</v>
      </c>
      <c r="C63" s="201">
        <v>1223</v>
      </c>
      <c r="D63" s="201">
        <v>1224</v>
      </c>
      <c r="E63" s="201">
        <v>1225</v>
      </c>
      <c r="F63" s="201">
        <v>1226</v>
      </c>
      <c r="G63" s="201">
        <v>1227</v>
      </c>
      <c r="H63" s="201">
        <v>1228</v>
      </c>
      <c r="I63" s="201">
        <v>1229</v>
      </c>
      <c r="J63" s="201">
        <v>1230</v>
      </c>
      <c r="K63" s="201">
        <v>1231</v>
      </c>
      <c r="L63" s="201">
        <v>1232</v>
      </c>
      <c r="M63" s="201">
        <v>1233</v>
      </c>
      <c r="N63" s="201">
        <v>1234</v>
      </c>
      <c r="O63" s="201">
        <v>1235</v>
      </c>
      <c r="P63" s="201">
        <v>1236</v>
      </c>
      <c r="Q63" s="201">
        <v>1237</v>
      </c>
      <c r="R63" s="201">
        <v>1238</v>
      </c>
      <c r="S63" s="201">
        <v>1239</v>
      </c>
      <c r="T63" s="201">
        <v>1240</v>
      </c>
    </row>
    <row r="64" spans="1:20" ht="30" customHeight="1" x14ac:dyDescent="0.5">
      <c r="A64" s="201">
        <v>1241</v>
      </c>
      <c r="B64" s="201">
        <v>1242</v>
      </c>
      <c r="C64" s="201">
        <v>1243</v>
      </c>
      <c r="D64" s="201">
        <v>1244</v>
      </c>
      <c r="E64" s="201">
        <v>1245</v>
      </c>
      <c r="F64" s="201">
        <v>1246</v>
      </c>
      <c r="G64" s="201">
        <v>1247</v>
      </c>
      <c r="H64" s="201">
        <v>1248</v>
      </c>
      <c r="I64" s="201">
        <v>1249</v>
      </c>
      <c r="J64" s="201">
        <v>1250</v>
      </c>
      <c r="K64" s="201">
        <v>1251</v>
      </c>
      <c r="L64" s="201">
        <v>1252</v>
      </c>
      <c r="M64" s="201">
        <v>1253</v>
      </c>
      <c r="N64" s="201">
        <v>1254</v>
      </c>
      <c r="O64" s="201">
        <v>1255</v>
      </c>
      <c r="P64" s="201">
        <v>1256</v>
      </c>
      <c r="Q64" s="201">
        <v>1257</v>
      </c>
      <c r="R64" s="201">
        <v>1258</v>
      </c>
      <c r="S64" s="201">
        <v>1259</v>
      </c>
      <c r="T64" s="201">
        <v>1260</v>
      </c>
    </row>
    <row r="65" spans="1:20" ht="30" customHeight="1" x14ac:dyDescent="0.5">
      <c r="A65" s="201">
        <v>1261</v>
      </c>
      <c r="B65" s="201">
        <v>1262</v>
      </c>
      <c r="C65" s="201">
        <v>1263</v>
      </c>
      <c r="D65" s="201">
        <v>1264</v>
      </c>
      <c r="E65" s="201">
        <v>1265</v>
      </c>
      <c r="F65" s="201">
        <v>1266</v>
      </c>
      <c r="G65" s="201">
        <v>1267</v>
      </c>
      <c r="H65" s="201">
        <v>1268</v>
      </c>
      <c r="I65" s="201">
        <v>1269</v>
      </c>
      <c r="J65" s="201">
        <v>1270</v>
      </c>
      <c r="K65" s="201">
        <v>1271</v>
      </c>
      <c r="L65" s="201">
        <v>1272</v>
      </c>
      <c r="M65" s="201">
        <v>1273</v>
      </c>
      <c r="N65" s="201">
        <v>1274</v>
      </c>
      <c r="O65" s="201">
        <v>1275</v>
      </c>
      <c r="P65" s="201">
        <v>1276</v>
      </c>
      <c r="Q65" s="201">
        <v>1277</v>
      </c>
      <c r="R65" s="201">
        <v>1278</v>
      </c>
      <c r="S65" s="201">
        <v>1279</v>
      </c>
      <c r="T65" s="201">
        <v>1280</v>
      </c>
    </row>
    <row r="66" spans="1:20" ht="30" customHeight="1" x14ac:dyDescent="0.5">
      <c r="A66" s="201">
        <v>1281</v>
      </c>
      <c r="B66" s="201">
        <v>1282</v>
      </c>
      <c r="C66" s="201">
        <v>1283</v>
      </c>
      <c r="D66" s="201">
        <v>1284</v>
      </c>
      <c r="E66" s="201">
        <v>1285</v>
      </c>
      <c r="F66" s="201">
        <v>1286</v>
      </c>
      <c r="G66" s="201">
        <v>1287</v>
      </c>
      <c r="H66" s="201">
        <v>1288</v>
      </c>
      <c r="I66" s="201">
        <v>1289</v>
      </c>
      <c r="J66" s="201">
        <v>1290</v>
      </c>
      <c r="K66" s="201">
        <v>1291</v>
      </c>
      <c r="L66" s="201">
        <v>1292</v>
      </c>
      <c r="M66" s="201">
        <v>1293</v>
      </c>
      <c r="N66" s="201">
        <v>1294</v>
      </c>
      <c r="O66" s="201">
        <v>1295</v>
      </c>
      <c r="P66" s="201">
        <v>1296</v>
      </c>
      <c r="Q66" s="201">
        <v>1297</v>
      </c>
      <c r="R66" s="201">
        <v>1298</v>
      </c>
      <c r="S66" s="201">
        <v>1299</v>
      </c>
      <c r="T66" s="201">
        <v>1300</v>
      </c>
    </row>
    <row r="67" spans="1:20" ht="30" customHeight="1" x14ac:dyDescent="0.5">
      <c r="A67" s="201">
        <v>1301</v>
      </c>
      <c r="B67" s="201">
        <v>1302</v>
      </c>
      <c r="C67" s="201">
        <v>1303</v>
      </c>
      <c r="D67" s="201">
        <v>1304</v>
      </c>
      <c r="E67" s="201">
        <v>1305</v>
      </c>
      <c r="F67" s="201">
        <v>1306</v>
      </c>
      <c r="G67" s="201">
        <v>1307</v>
      </c>
      <c r="H67" s="201">
        <v>1308</v>
      </c>
      <c r="I67" s="201">
        <v>1309</v>
      </c>
      <c r="J67" s="201">
        <v>1310</v>
      </c>
      <c r="K67" s="201">
        <v>1311</v>
      </c>
      <c r="L67" s="201">
        <v>1312</v>
      </c>
      <c r="M67" s="201">
        <v>1313</v>
      </c>
      <c r="N67" s="201">
        <v>1314</v>
      </c>
      <c r="O67" s="201">
        <v>1315</v>
      </c>
      <c r="P67" s="201">
        <v>1316</v>
      </c>
      <c r="Q67" s="201">
        <v>1317</v>
      </c>
      <c r="R67" s="201">
        <v>1318</v>
      </c>
      <c r="S67" s="201">
        <v>1319</v>
      </c>
      <c r="T67" s="201">
        <v>1320</v>
      </c>
    </row>
    <row r="68" spans="1:20" ht="30" customHeight="1" x14ac:dyDescent="0.5">
      <c r="A68" s="201">
        <v>1321</v>
      </c>
      <c r="B68" s="201">
        <v>1322</v>
      </c>
      <c r="C68" s="201">
        <v>1323</v>
      </c>
      <c r="D68" s="201">
        <v>1324</v>
      </c>
      <c r="E68" s="201">
        <v>1325</v>
      </c>
      <c r="F68" s="201">
        <v>1326</v>
      </c>
      <c r="G68" s="201">
        <v>1327</v>
      </c>
      <c r="H68" s="201">
        <v>1328</v>
      </c>
      <c r="I68" s="201">
        <v>1329</v>
      </c>
      <c r="J68" s="201">
        <v>1330</v>
      </c>
      <c r="K68" s="201">
        <v>1331</v>
      </c>
      <c r="L68" s="201">
        <v>1332</v>
      </c>
      <c r="M68" s="201">
        <v>1333</v>
      </c>
      <c r="N68" s="201">
        <v>1334</v>
      </c>
      <c r="O68" s="201">
        <v>1335</v>
      </c>
      <c r="P68" s="201">
        <v>1336</v>
      </c>
      <c r="Q68" s="201">
        <v>1337</v>
      </c>
      <c r="R68" s="201">
        <v>1338</v>
      </c>
      <c r="S68" s="201">
        <v>1339</v>
      </c>
      <c r="T68" s="201">
        <v>1340</v>
      </c>
    </row>
    <row r="69" spans="1:20" ht="30" customHeight="1" x14ac:dyDescent="0.5">
      <c r="A69" s="201">
        <v>1341</v>
      </c>
      <c r="B69" s="201">
        <v>1342</v>
      </c>
      <c r="C69" s="201">
        <v>1343</v>
      </c>
      <c r="D69" s="201">
        <v>1344</v>
      </c>
      <c r="E69" s="201">
        <v>1345</v>
      </c>
      <c r="F69" s="201">
        <v>1346</v>
      </c>
      <c r="G69" s="201">
        <v>1347</v>
      </c>
      <c r="H69" s="201">
        <v>1348</v>
      </c>
      <c r="I69" s="201">
        <v>1349</v>
      </c>
      <c r="J69" s="201">
        <v>1350</v>
      </c>
      <c r="K69" s="201">
        <v>1351</v>
      </c>
      <c r="L69" s="201">
        <v>1352</v>
      </c>
      <c r="M69" s="201">
        <v>1353</v>
      </c>
      <c r="N69" s="201">
        <v>1354</v>
      </c>
      <c r="O69" s="201">
        <v>1355</v>
      </c>
      <c r="P69" s="201">
        <v>1356</v>
      </c>
      <c r="Q69" s="201">
        <v>1357</v>
      </c>
      <c r="R69" s="201">
        <v>1358</v>
      </c>
      <c r="S69" s="201">
        <v>1359</v>
      </c>
      <c r="T69" s="201">
        <v>1360</v>
      </c>
    </row>
    <row r="70" spans="1:20" ht="30" customHeight="1" x14ac:dyDescent="0.5">
      <c r="A70" s="201">
        <v>1361</v>
      </c>
      <c r="B70" s="201">
        <v>1362</v>
      </c>
      <c r="C70" s="201">
        <v>1363</v>
      </c>
      <c r="D70" s="201">
        <v>1364</v>
      </c>
      <c r="E70" s="201">
        <v>1365</v>
      </c>
      <c r="F70" s="201">
        <v>1366</v>
      </c>
      <c r="G70" s="201">
        <v>1367</v>
      </c>
      <c r="H70" s="201">
        <v>1368</v>
      </c>
      <c r="I70" s="201">
        <v>1369</v>
      </c>
      <c r="J70" s="201">
        <v>1370</v>
      </c>
      <c r="K70" s="201">
        <v>1371</v>
      </c>
      <c r="L70" s="201">
        <v>1372</v>
      </c>
      <c r="M70" s="201">
        <v>1373</v>
      </c>
      <c r="N70" s="201">
        <v>1374</v>
      </c>
      <c r="O70" s="201">
        <v>1375</v>
      </c>
      <c r="P70" s="201">
        <v>1376</v>
      </c>
      <c r="Q70" s="201">
        <v>1377</v>
      </c>
      <c r="R70" s="201">
        <v>1378</v>
      </c>
      <c r="S70" s="201">
        <v>1379</v>
      </c>
      <c r="T70" s="201">
        <v>1380</v>
      </c>
    </row>
    <row r="71" spans="1:20" ht="30" customHeight="1" x14ac:dyDescent="0.5">
      <c r="A71" s="201">
        <v>1381</v>
      </c>
      <c r="B71" s="201">
        <v>1382</v>
      </c>
      <c r="C71" s="201">
        <v>1383</v>
      </c>
      <c r="D71" s="201">
        <v>1384</v>
      </c>
      <c r="E71" s="201">
        <v>1385</v>
      </c>
      <c r="F71" s="201">
        <v>1386</v>
      </c>
      <c r="G71" s="201">
        <v>1387</v>
      </c>
      <c r="H71" s="201">
        <v>1388</v>
      </c>
      <c r="I71" s="201">
        <v>1389</v>
      </c>
      <c r="J71" s="201">
        <v>1390</v>
      </c>
      <c r="K71" s="201">
        <v>1391</v>
      </c>
      <c r="L71" s="201">
        <v>1392</v>
      </c>
      <c r="M71" s="201">
        <v>1393</v>
      </c>
      <c r="N71" s="201">
        <v>1394</v>
      </c>
      <c r="O71" s="201">
        <v>1395</v>
      </c>
      <c r="P71" s="201">
        <v>1396</v>
      </c>
      <c r="Q71" s="201">
        <v>1397</v>
      </c>
      <c r="R71" s="201">
        <v>1398</v>
      </c>
      <c r="S71" s="201">
        <v>1399</v>
      </c>
      <c r="T71" s="201">
        <v>1400</v>
      </c>
    </row>
    <row r="72" spans="1:20" ht="30" customHeight="1" x14ac:dyDescent="0.5">
      <c r="A72" s="201">
        <v>1401</v>
      </c>
      <c r="B72" s="201">
        <v>1402</v>
      </c>
      <c r="C72" s="201">
        <v>1403</v>
      </c>
      <c r="D72" s="201">
        <v>1404</v>
      </c>
      <c r="E72" s="201">
        <v>1405</v>
      </c>
      <c r="F72" s="201">
        <v>1406</v>
      </c>
      <c r="G72" s="201">
        <v>1407</v>
      </c>
      <c r="H72" s="201">
        <v>1408</v>
      </c>
      <c r="I72" s="201">
        <v>1409</v>
      </c>
      <c r="J72" s="201">
        <v>1410</v>
      </c>
      <c r="K72" s="201">
        <v>1411</v>
      </c>
      <c r="L72" s="201">
        <v>1412</v>
      </c>
      <c r="M72" s="201">
        <v>1413</v>
      </c>
      <c r="N72" s="201">
        <v>1414</v>
      </c>
      <c r="O72" s="201">
        <v>1415</v>
      </c>
      <c r="P72" s="201">
        <v>1416</v>
      </c>
      <c r="Q72" s="201">
        <v>1417</v>
      </c>
      <c r="R72" s="201">
        <v>1418</v>
      </c>
      <c r="S72" s="201">
        <v>1419</v>
      </c>
      <c r="T72" s="201">
        <v>1420</v>
      </c>
    </row>
    <row r="73" spans="1:20" ht="30" customHeight="1" x14ac:dyDescent="0.5">
      <c r="A73" s="201">
        <v>1421</v>
      </c>
      <c r="B73" s="201">
        <v>1422</v>
      </c>
      <c r="C73" s="201">
        <v>1423</v>
      </c>
      <c r="D73" s="201">
        <v>1424</v>
      </c>
      <c r="E73" s="201">
        <v>1425</v>
      </c>
      <c r="F73" s="201">
        <v>1426</v>
      </c>
      <c r="G73" s="201">
        <v>1427</v>
      </c>
      <c r="H73" s="201">
        <v>1428</v>
      </c>
      <c r="I73" s="201">
        <v>1429</v>
      </c>
      <c r="J73" s="201">
        <v>1430</v>
      </c>
      <c r="K73" s="201">
        <v>1431</v>
      </c>
      <c r="L73" s="201">
        <v>1432</v>
      </c>
      <c r="M73" s="201">
        <v>1433</v>
      </c>
      <c r="N73" s="201">
        <v>1434</v>
      </c>
      <c r="O73" s="201">
        <v>1435</v>
      </c>
      <c r="P73" s="201">
        <v>1436</v>
      </c>
      <c r="Q73" s="201">
        <v>1437</v>
      </c>
      <c r="R73" s="201">
        <v>1438</v>
      </c>
      <c r="S73" s="201">
        <v>1439</v>
      </c>
      <c r="T73" s="201">
        <v>1440</v>
      </c>
    </row>
    <row r="74" spans="1:20" ht="30" customHeight="1" x14ac:dyDescent="0.5">
      <c r="A74" s="201">
        <v>1441</v>
      </c>
      <c r="B74" s="201">
        <v>1442</v>
      </c>
      <c r="C74" s="201">
        <v>1443</v>
      </c>
      <c r="D74" s="201">
        <v>1444</v>
      </c>
      <c r="E74" s="201">
        <v>1445</v>
      </c>
      <c r="F74" s="201">
        <v>1446</v>
      </c>
      <c r="G74" s="201">
        <v>1447</v>
      </c>
      <c r="H74" s="201">
        <v>1448</v>
      </c>
      <c r="I74" s="201">
        <v>1449</v>
      </c>
      <c r="J74" s="201">
        <v>1450</v>
      </c>
      <c r="K74" s="201">
        <v>1451</v>
      </c>
      <c r="L74" s="201">
        <v>1452</v>
      </c>
      <c r="M74" s="201">
        <v>1453</v>
      </c>
      <c r="N74" s="201">
        <v>1454</v>
      </c>
      <c r="O74" s="201">
        <v>1455</v>
      </c>
      <c r="P74" s="201">
        <v>1456</v>
      </c>
      <c r="Q74" s="201">
        <v>1457</v>
      </c>
      <c r="R74" s="201">
        <v>1458</v>
      </c>
      <c r="S74" s="201">
        <v>1459</v>
      </c>
      <c r="T74" s="201">
        <v>1460</v>
      </c>
    </row>
    <row r="75" spans="1:20" ht="30" customHeight="1" x14ac:dyDescent="0.5">
      <c r="A75" s="201">
        <v>1461</v>
      </c>
      <c r="B75" s="201">
        <v>1462</v>
      </c>
      <c r="C75" s="201">
        <v>1463</v>
      </c>
      <c r="D75" s="201">
        <v>1464</v>
      </c>
      <c r="E75" s="201">
        <v>1465</v>
      </c>
      <c r="F75" s="201">
        <v>1466</v>
      </c>
      <c r="G75" s="201">
        <v>1467</v>
      </c>
      <c r="H75" s="201">
        <v>1468</v>
      </c>
      <c r="I75" s="201">
        <v>1469</v>
      </c>
      <c r="J75" s="201">
        <v>1470</v>
      </c>
      <c r="K75" s="201">
        <v>1471</v>
      </c>
      <c r="L75" s="201">
        <v>1472</v>
      </c>
      <c r="M75" s="201">
        <v>1473</v>
      </c>
      <c r="N75" s="201">
        <v>1474</v>
      </c>
      <c r="O75" s="201">
        <v>1475</v>
      </c>
      <c r="P75" s="201">
        <v>1476</v>
      </c>
      <c r="Q75" s="201">
        <v>1477</v>
      </c>
      <c r="R75" s="201">
        <v>1478</v>
      </c>
      <c r="S75" s="201">
        <v>1479</v>
      </c>
      <c r="T75" s="201">
        <v>1480</v>
      </c>
    </row>
    <row r="76" spans="1:20" ht="30" customHeight="1" x14ac:dyDescent="0.5">
      <c r="A76" s="201">
        <v>1481</v>
      </c>
      <c r="B76" s="201">
        <v>1482</v>
      </c>
      <c r="C76" s="201">
        <v>1483</v>
      </c>
      <c r="D76" s="201">
        <v>1484</v>
      </c>
      <c r="E76" s="201">
        <v>1485</v>
      </c>
      <c r="F76" s="201">
        <v>1486</v>
      </c>
      <c r="G76" s="201">
        <v>1487</v>
      </c>
      <c r="H76" s="201">
        <v>1488</v>
      </c>
      <c r="I76" s="201">
        <v>1489</v>
      </c>
      <c r="J76" s="201">
        <v>1490</v>
      </c>
      <c r="K76" s="201">
        <v>1491</v>
      </c>
      <c r="L76" s="201">
        <v>1492</v>
      </c>
      <c r="M76" s="201">
        <v>1493</v>
      </c>
      <c r="N76" s="201">
        <v>1494</v>
      </c>
      <c r="O76" s="201">
        <v>1495</v>
      </c>
      <c r="P76" s="201">
        <v>1496</v>
      </c>
      <c r="Q76" s="201">
        <v>1497</v>
      </c>
      <c r="R76" s="201">
        <v>1498</v>
      </c>
      <c r="S76" s="201">
        <v>1499</v>
      </c>
      <c r="T76" s="201">
        <v>1500</v>
      </c>
    </row>
    <row r="77" spans="1:20" ht="30" customHeight="1" x14ac:dyDescent="0.5">
      <c r="A77" s="201">
        <v>1501</v>
      </c>
      <c r="B77" s="201">
        <v>1502</v>
      </c>
      <c r="C77" s="201">
        <v>1503</v>
      </c>
      <c r="D77" s="201">
        <v>1504</v>
      </c>
      <c r="E77" s="201">
        <v>1505</v>
      </c>
      <c r="F77" s="201">
        <v>1506</v>
      </c>
      <c r="G77" s="201">
        <v>1507</v>
      </c>
      <c r="H77" s="201">
        <v>1508</v>
      </c>
      <c r="I77" s="201">
        <v>1509</v>
      </c>
      <c r="J77" s="201">
        <v>1510</v>
      </c>
      <c r="K77" s="201">
        <v>1511</v>
      </c>
      <c r="L77" s="201">
        <v>1512</v>
      </c>
      <c r="M77" s="201">
        <v>1513</v>
      </c>
      <c r="N77" s="201">
        <v>1514</v>
      </c>
      <c r="O77" s="201">
        <v>1515</v>
      </c>
      <c r="P77" s="201">
        <v>1516</v>
      </c>
      <c r="Q77" s="201">
        <v>1517</v>
      </c>
      <c r="R77" s="201">
        <v>1518</v>
      </c>
      <c r="S77" s="201">
        <v>1519</v>
      </c>
      <c r="T77" s="201">
        <v>1520</v>
      </c>
    </row>
    <row r="78" spans="1:20" ht="30" customHeight="1" x14ac:dyDescent="0.5">
      <c r="A78" s="201">
        <v>1521</v>
      </c>
      <c r="B78" s="201">
        <v>1522</v>
      </c>
      <c r="C78" s="201">
        <v>1523</v>
      </c>
      <c r="D78" s="201">
        <v>1524</v>
      </c>
      <c r="E78" s="201">
        <v>1525</v>
      </c>
      <c r="F78" s="201">
        <v>1526</v>
      </c>
      <c r="G78" s="201">
        <v>1527</v>
      </c>
      <c r="H78" s="201">
        <v>1528</v>
      </c>
      <c r="I78" s="201">
        <v>1529</v>
      </c>
      <c r="J78" s="201">
        <v>1530</v>
      </c>
      <c r="K78" s="201">
        <v>1531</v>
      </c>
      <c r="L78" s="201">
        <v>1532</v>
      </c>
      <c r="M78" s="201">
        <v>1533</v>
      </c>
      <c r="N78" s="201">
        <v>1534</v>
      </c>
      <c r="O78" s="201">
        <v>1535</v>
      </c>
      <c r="P78" s="201">
        <v>1536</v>
      </c>
      <c r="Q78" s="201">
        <v>1537</v>
      </c>
      <c r="R78" s="201">
        <v>1538</v>
      </c>
      <c r="S78" s="201">
        <v>1539</v>
      </c>
      <c r="T78" s="201">
        <v>1540</v>
      </c>
    </row>
    <row r="79" spans="1:20" ht="30" customHeight="1" x14ac:dyDescent="0.5">
      <c r="A79" s="201">
        <v>1541</v>
      </c>
      <c r="B79" s="201">
        <v>1542</v>
      </c>
      <c r="C79" s="201">
        <v>1543</v>
      </c>
      <c r="D79" s="201">
        <v>1544</v>
      </c>
      <c r="E79" s="201">
        <v>1545</v>
      </c>
      <c r="F79" s="201">
        <v>1546</v>
      </c>
      <c r="G79" s="201">
        <v>1547</v>
      </c>
      <c r="H79" s="201">
        <v>1548</v>
      </c>
      <c r="I79" s="201">
        <v>1549</v>
      </c>
      <c r="J79" s="201">
        <v>1550</v>
      </c>
      <c r="K79" s="201">
        <v>1551</v>
      </c>
      <c r="L79" s="201">
        <v>1552</v>
      </c>
      <c r="M79" s="201">
        <v>1553</v>
      </c>
      <c r="N79" s="201">
        <v>1554</v>
      </c>
      <c r="O79" s="201">
        <v>1555</v>
      </c>
      <c r="P79" s="201">
        <v>1556</v>
      </c>
      <c r="Q79" s="201">
        <v>1557</v>
      </c>
      <c r="R79" s="201">
        <v>1558</v>
      </c>
      <c r="S79" s="201">
        <v>1559</v>
      </c>
      <c r="T79" s="201">
        <v>1560</v>
      </c>
    </row>
    <row r="80" spans="1:20" ht="30" customHeight="1" x14ac:dyDescent="0.5">
      <c r="A80" s="201">
        <v>1561</v>
      </c>
      <c r="B80" s="201">
        <v>1562</v>
      </c>
      <c r="C80" s="201">
        <v>1563</v>
      </c>
      <c r="D80" s="201">
        <v>1564</v>
      </c>
      <c r="E80" s="201">
        <v>1565</v>
      </c>
      <c r="F80" s="201">
        <v>1566</v>
      </c>
      <c r="G80" s="201">
        <v>1567</v>
      </c>
      <c r="H80" s="201">
        <v>1568</v>
      </c>
      <c r="I80" s="201">
        <v>1569</v>
      </c>
      <c r="J80" s="201">
        <v>1570</v>
      </c>
      <c r="K80" s="201">
        <v>1571</v>
      </c>
      <c r="L80" s="201">
        <v>1572</v>
      </c>
      <c r="M80" s="201">
        <v>1573</v>
      </c>
      <c r="N80" s="201">
        <v>1574</v>
      </c>
      <c r="O80" s="201">
        <v>1575</v>
      </c>
      <c r="P80" s="201">
        <v>1576</v>
      </c>
      <c r="Q80" s="201">
        <v>1577</v>
      </c>
      <c r="R80" s="201">
        <v>1578</v>
      </c>
      <c r="S80" s="201">
        <v>1579</v>
      </c>
      <c r="T80" s="201">
        <v>1580</v>
      </c>
    </row>
    <row r="81" spans="1:20" ht="30" customHeight="1" x14ac:dyDescent="0.5">
      <c r="A81" s="201">
        <v>1581</v>
      </c>
      <c r="B81" s="201">
        <v>1582</v>
      </c>
      <c r="C81" s="201">
        <v>1583</v>
      </c>
      <c r="D81" s="201">
        <v>1584</v>
      </c>
      <c r="E81" s="201">
        <v>1585</v>
      </c>
      <c r="F81" s="201">
        <v>1586</v>
      </c>
      <c r="G81" s="201">
        <v>1587</v>
      </c>
      <c r="H81" s="201">
        <v>1588</v>
      </c>
      <c r="I81" s="201">
        <v>1589</v>
      </c>
      <c r="J81" s="201">
        <v>1590</v>
      </c>
      <c r="K81" s="201">
        <v>1591</v>
      </c>
      <c r="L81" s="201">
        <v>1592</v>
      </c>
      <c r="M81" s="201">
        <v>1593</v>
      </c>
      <c r="N81" s="201">
        <v>1594</v>
      </c>
      <c r="O81" s="201">
        <v>1595</v>
      </c>
      <c r="P81" s="201">
        <v>1596</v>
      </c>
      <c r="Q81" s="201">
        <v>1597</v>
      </c>
      <c r="R81" s="201">
        <v>1598</v>
      </c>
      <c r="S81" s="201">
        <v>1599</v>
      </c>
      <c r="T81" s="201">
        <v>1600</v>
      </c>
    </row>
    <row r="82" spans="1:20" ht="30" customHeight="1" x14ac:dyDescent="0.5">
      <c r="A82" s="201">
        <v>1601</v>
      </c>
      <c r="B82" s="201">
        <v>1602</v>
      </c>
      <c r="C82" s="201">
        <v>1603</v>
      </c>
      <c r="D82" s="201">
        <v>1604</v>
      </c>
      <c r="E82" s="201">
        <v>1605</v>
      </c>
      <c r="F82" s="201">
        <v>1606</v>
      </c>
      <c r="G82" s="201">
        <v>1607</v>
      </c>
      <c r="H82" s="201">
        <v>1608</v>
      </c>
      <c r="I82" s="201">
        <v>1609</v>
      </c>
      <c r="J82" s="201">
        <v>1610</v>
      </c>
      <c r="K82" s="201">
        <v>1611</v>
      </c>
      <c r="L82" s="201">
        <v>1612</v>
      </c>
      <c r="M82" s="201">
        <v>1613</v>
      </c>
      <c r="N82" s="201">
        <v>1614</v>
      </c>
      <c r="O82" s="201">
        <v>1615</v>
      </c>
      <c r="P82" s="201">
        <v>1616</v>
      </c>
      <c r="Q82" s="201">
        <v>1617</v>
      </c>
      <c r="R82" s="201">
        <v>1618</v>
      </c>
      <c r="S82" s="201">
        <v>1619</v>
      </c>
      <c r="T82" s="201">
        <v>1620</v>
      </c>
    </row>
    <row r="83" spans="1:20" ht="30" customHeight="1" x14ac:dyDescent="0.5">
      <c r="A83" s="201">
        <v>1621</v>
      </c>
      <c r="B83" s="201">
        <v>1622</v>
      </c>
      <c r="C83" s="201">
        <v>1623</v>
      </c>
      <c r="D83" s="201">
        <v>1624</v>
      </c>
      <c r="E83" s="201">
        <v>1625</v>
      </c>
      <c r="F83" s="201">
        <v>1626</v>
      </c>
      <c r="G83" s="201">
        <v>1627</v>
      </c>
      <c r="H83" s="201">
        <v>1628</v>
      </c>
      <c r="I83" s="201">
        <v>1629</v>
      </c>
      <c r="J83" s="201">
        <v>1630</v>
      </c>
      <c r="K83" s="201">
        <v>1631</v>
      </c>
      <c r="L83" s="201">
        <v>1632</v>
      </c>
      <c r="M83" s="201">
        <v>1633</v>
      </c>
      <c r="N83" s="201">
        <v>1634</v>
      </c>
      <c r="O83" s="201">
        <v>1635</v>
      </c>
      <c r="P83" s="201">
        <v>1636</v>
      </c>
      <c r="Q83" s="201">
        <v>1637</v>
      </c>
      <c r="R83" s="201">
        <v>1638</v>
      </c>
      <c r="S83" s="201">
        <v>1639</v>
      </c>
      <c r="T83" s="201">
        <v>1640</v>
      </c>
    </row>
    <row r="84" spans="1:20" ht="30" customHeight="1" x14ac:dyDescent="0.5">
      <c r="A84" s="201">
        <v>1641</v>
      </c>
      <c r="B84" s="201">
        <v>1642</v>
      </c>
      <c r="C84" s="201">
        <v>1643</v>
      </c>
      <c r="D84" s="201">
        <v>1644</v>
      </c>
      <c r="E84" s="201">
        <v>1645</v>
      </c>
      <c r="F84" s="201">
        <v>1646</v>
      </c>
      <c r="G84" s="201">
        <v>1647</v>
      </c>
      <c r="H84" s="201">
        <v>1648</v>
      </c>
      <c r="I84" s="201">
        <v>1649</v>
      </c>
      <c r="J84" s="201">
        <v>1650</v>
      </c>
      <c r="K84" s="201">
        <v>1651</v>
      </c>
      <c r="L84" s="201">
        <v>1652</v>
      </c>
      <c r="M84" s="201">
        <v>1653</v>
      </c>
      <c r="N84" s="201">
        <v>1654</v>
      </c>
      <c r="O84" s="201">
        <v>1655</v>
      </c>
      <c r="P84" s="201">
        <v>1656</v>
      </c>
      <c r="Q84" s="201">
        <v>1657</v>
      </c>
      <c r="R84" s="201">
        <v>1658</v>
      </c>
      <c r="S84" s="201">
        <v>1659</v>
      </c>
      <c r="T84" s="201">
        <v>1660</v>
      </c>
    </row>
    <row r="85" spans="1:20" ht="30" customHeight="1" x14ac:dyDescent="0.5">
      <c r="A85" s="201">
        <v>1661</v>
      </c>
      <c r="B85" s="201">
        <v>1662</v>
      </c>
      <c r="C85" s="201">
        <v>1663</v>
      </c>
      <c r="D85" s="201">
        <v>1664</v>
      </c>
      <c r="E85" s="201">
        <v>1665</v>
      </c>
      <c r="F85" s="201">
        <v>1666</v>
      </c>
      <c r="G85" s="201">
        <v>1667</v>
      </c>
      <c r="H85" s="201">
        <v>1668</v>
      </c>
      <c r="I85" s="201">
        <v>1669</v>
      </c>
      <c r="J85" s="201">
        <v>1670</v>
      </c>
      <c r="K85" s="201">
        <v>1671</v>
      </c>
      <c r="L85" s="201">
        <v>1672</v>
      </c>
      <c r="M85" s="201">
        <v>1673</v>
      </c>
      <c r="N85" s="201">
        <v>1674</v>
      </c>
      <c r="O85" s="201">
        <v>1675</v>
      </c>
      <c r="P85" s="201">
        <v>1676</v>
      </c>
      <c r="Q85" s="201">
        <v>1677</v>
      </c>
      <c r="R85" s="201">
        <v>1678</v>
      </c>
      <c r="S85" s="201">
        <v>1679</v>
      </c>
      <c r="T85" s="201">
        <v>1680</v>
      </c>
    </row>
    <row r="86" spans="1:20" ht="30" customHeight="1" x14ac:dyDescent="0.5">
      <c r="A86" s="201">
        <v>1681</v>
      </c>
      <c r="B86" s="201">
        <v>1682</v>
      </c>
      <c r="C86" s="201">
        <v>1683</v>
      </c>
      <c r="D86" s="201">
        <v>1684</v>
      </c>
      <c r="E86" s="201">
        <v>1685</v>
      </c>
      <c r="F86" s="201">
        <v>1686</v>
      </c>
      <c r="G86" s="201">
        <v>1687</v>
      </c>
      <c r="H86" s="201">
        <v>1688</v>
      </c>
      <c r="I86" s="201">
        <v>1689</v>
      </c>
      <c r="J86" s="201">
        <v>1690</v>
      </c>
      <c r="K86" s="201">
        <v>1691</v>
      </c>
      <c r="L86" s="201">
        <v>1692</v>
      </c>
      <c r="M86" s="201">
        <v>1693</v>
      </c>
      <c r="N86" s="201">
        <v>1694</v>
      </c>
      <c r="O86" s="201">
        <v>1695</v>
      </c>
      <c r="P86" s="201">
        <v>1696</v>
      </c>
      <c r="Q86" s="201">
        <v>1697</v>
      </c>
      <c r="R86" s="201">
        <v>1698</v>
      </c>
      <c r="S86" s="201">
        <v>1699</v>
      </c>
      <c r="T86" s="201">
        <v>1700</v>
      </c>
    </row>
    <row r="87" spans="1:20" ht="30" customHeight="1" x14ac:dyDescent="0.5">
      <c r="A87" s="201">
        <v>1701</v>
      </c>
      <c r="B87" s="201">
        <v>1702</v>
      </c>
      <c r="C87" s="201">
        <v>1703</v>
      </c>
      <c r="D87" s="201">
        <v>1704</v>
      </c>
      <c r="E87" s="201">
        <v>1705</v>
      </c>
      <c r="F87" s="201">
        <v>1706</v>
      </c>
      <c r="G87" s="201">
        <v>1707</v>
      </c>
      <c r="H87" s="201">
        <v>1708</v>
      </c>
      <c r="I87" s="201">
        <v>1709</v>
      </c>
      <c r="J87" s="201">
        <v>1710</v>
      </c>
      <c r="K87" s="201">
        <v>1711</v>
      </c>
      <c r="L87" s="201">
        <v>1712</v>
      </c>
      <c r="M87" s="201">
        <v>1713</v>
      </c>
      <c r="N87" s="201">
        <v>1714</v>
      </c>
      <c r="O87" s="201">
        <v>1715</v>
      </c>
      <c r="P87" s="201">
        <v>1716</v>
      </c>
      <c r="Q87" s="201">
        <v>1717</v>
      </c>
      <c r="R87" s="201">
        <v>1718</v>
      </c>
      <c r="S87" s="201">
        <v>1719</v>
      </c>
      <c r="T87" s="201">
        <v>1720</v>
      </c>
    </row>
    <row r="88" spans="1:20" ht="30" customHeight="1" x14ac:dyDescent="0.5">
      <c r="A88" s="201">
        <v>1721</v>
      </c>
      <c r="B88" s="201">
        <v>1722</v>
      </c>
      <c r="C88" s="201">
        <v>1723</v>
      </c>
      <c r="D88" s="201">
        <v>1724</v>
      </c>
      <c r="E88" s="201">
        <v>1725</v>
      </c>
      <c r="F88" s="201">
        <v>1726</v>
      </c>
      <c r="G88" s="201">
        <v>1727</v>
      </c>
      <c r="H88" s="201">
        <v>1728</v>
      </c>
      <c r="I88" s="201">
        <v>1729</v>
      </c>
      <c r="J88" s="201">
        <v>1730</v>
      </c>
      <c r="K88" s="201">
        <v>1731</v>
      </c>
      <c r="L88" s="201">
        <v>1732</v>
      </c>
      <c r="M88" s="201">
        <v>1733</v>
      </c>
      <c r="N88" s="201">
        <v>1734</v>
      </c>
      <c r="O88" s="201">
        <v>1735</v>
      </c>
      <c r="P88" s="201">
        <v>1736</v>
      </c>
      <c r="Q88" s="201">
        <v>1737</v>
      </c>
      <c r="R88" s="201">
        <v>1738</v>
      </c>
      <c r="S88" s="201">
        <v>1739</v>
      </c>
      <c r="T88" s="201">
        <v>1740</v>
      </c>
    </row>
    <row r="89" spans="1:20" ht="30" customHeight="1" x14ac:dyDescent="0.5">
      <c r="A89" s="201">
        <v>1741</v>
      </c>
      <c r="B89" s="201">
        <v>1742</v>
      </c>
      <c r="C89" s="201">
        <v>1743</v>
      </c>
      <c r="D89" s="201">
        <v>1744</v>
      </c>
      <c r="E89" s="201">
        <v>1745</v>
      </c>
      <c r="F89" s="201">
        <v>1746</v>
      </c>
      <c r="G89" s="201">
        <v>1747</v>
      </c>
      <c r="H89" s="201">
        <v>1748</v>
      </c>
      <c r="I89" s="201">
        <v>1749</v>
      </c>
      <c r="J89" s="201">
        <v>1750</v>
      </c>
      <c r="K89" s="201">
        <v>1751</v>
      </c>
      <c r="L89" s="201">
        <v>1752</v>
      </c>
      <c r="M89" s="201">
        <v>1753</v>
      </c>
      <c r="N89" s="201">
        <v>1754</v>
      </c>
      <c r="O89" s="201">
        <v>1755</v>
      </c>
      <c r="P89" s="201">
        <v>1756</v>
      </c>
      <c r="Q89" s="201">
        <v>1757</v>
      </c>
      <c r="R89" s="201">
        <v>1758</v>
      </c>
      <c r="S89" s="201">
        <v>1759</v>
      </c>
      <c r="T89" s="201">
        <v>1760</v>
      </c>
    </row>
    <row r="90" spans="1:20" ht="30" customHeight="1" x14ac:dyDescent="0.5">
      <c r="A90" s="201">
        <v>1761</v>
      </c>
      <c r="B90" s="201">
        <v>1762</v>
      </c>
      <c r="C90" s="201">
        <v>1763</v>
      </c>
      <c r="D90" s="201">
        <v>1764</v>
      </c>
      <c r="E90" s="201">
        <v>1765</v>
      </c>
      <c r="F90" s="201">
        <v>1766</v>
      </c>
      <c r="G90" s="201">
        <v>1767</v>
      </c>
      <c r="H90" s="201">
        <v>1768</v>
      </c>
      <c r="I90" s="201">
        <v>1769</v>
      </c>
      <c r="J90" s="201">
        <v>1770</v>
      </c>
      <c r="K90" s="201">
        <v>1771</v>
      </c>
      <c r="L90" s="201">
        <v>1772</v>
      </c>
      <c r="M90" s="201">
        <v>1773</v>
      </c>
      <c r="N90" s="201">
        <v>1774</v>
      </c>
      <c r="O90" s="201">
        <v>1775</v>
      </c>
      <c r="P90" s="201">
        <v>1776</v>
      </c>
      <c r="Q90" s="201">
        <v>1777</v>
      </c>
      <c r="R90" s="201">
        <v>1778</v>
      </c>
      <c r="S90" s="201">
        <v>1779</v>
      </c>
      <c r="T90" s="201">
        <v>1780</v>
      </c>
    </row>
    <row r="91" spans="1:20" ht="30" customHeight="1" x14ac:dyDescent="0.5">
      <c r="A91" s="201">
        <v>1781</v>
      </c>
      <c r="B91" s="201">
        <v>1782</v>
      </c>
      <c r="C91" s="201">
        <v>1783</v>
      </c>
      <c r="D91" s="201">
        <v>1784</v>
      </c>
      <c r="E91" s="201">
        <v>1785</v>
      </c>
      <c r="F91" s="201">
        <v>1786</v>
      </c>
      <c r="G91" s="201">
        <v>1787</v>
      </c>
      <c r="H91" s="201">
        <v>1788</v>
      </c>
      <c r="I91" s="201">
        <v>1789</v>
      </c>
      <c r="J91" s="201">
        <v>1790</v>
      </c>
      <c r="K91" s="201">
        <v>1791</v>
      </c>
      <c r="L91" s="201">
        <v>1792</v>
      </c>
      <c r="M91" s="201">
        <v>1793</v>
      </c>
      <c r="N91" s="201">
        <v>1794</v>
      </c>
      <c r="O91" s="201">
        <v>1795</v>
      </c>
      <c r="P91" s="201">
        <v>1796</v>
      </c>
      <c r="Q91" s="201">
        <v>1797</v>
      </c>
      <c r="R91" s="201">
        <v>1798</v>
      </c>
      <c r="S91" s="201">
        <v>1799</v>
      </c>
      <c r="T91" s="201">
        <v>1800</v>
      </c>
    </row>
    <row r="92" spans="1:20" ht="30" customHeight="1" x14ac:dyDescent="0.5">
      <c r="A92" s="201">
        <v>1801</v>
      </c>
      <c r="B92" s="201">
        <v>1802</v>
      </c>
      <c r="C92" s="201">
        <v>1803</v>
      </c>
      <c r="D92" s="201">
        <v>1804</v>
      </c>
      <c r="E92" s="201">
        <v>1805</v>
      </c>
      <c r="F92" s="201">
        <v>1806</v>
      </c>
      <c r="G92" s="201">
        <v>1807</v>
      </c>
      <c r="H92" s="201">
        <v>1808</v>
      </c>
      <c r="I92" s="201">
        <v>1809</v>
      </c>
      <c r="J92" s="201">
        <v>1810</v>
      </c>
      <c r="K92" s="201">
        <v>1811</v>
      </c>
      <c r="L92" s="201">
        <v>1812</v>
      </c>
      <c r="M92" s="201">
        <v>1813</v>
      </c>
      <c r="N92" s="201">
        <v>1814</v>
      </c>
      <c r="O92" s="201">
        <v>1815</v>
      </c>
      <c r="P92" s="201">
        <v>1816</v>
      </c>
      <c r="Q92" s="201">
        <v>1817</v>
      </c>
      <c r="R92" s="201">
        <v>1818</v>
      </c>
      <c r="S92" s="201">
        <v>1819</v>
      </c>
      <c r="T92" s="201">
        <v>1820</v>
      </c>
    </row>
    <row r="93" spans="1:20" ht="30" customHeight="1" x14ac:dyDescent="0.5">
      <c r="A93" s="201">
        <v>1821</v>
      </c>
      <c r="B93" s="201">
        <v>1822</v>
      </c>
      <c r="C93" s="201">
        <v>1823</v>
      </c>
      <c r="D93" s="201">
        <v>1824</v>
      </c>
      <c r="E93" s="201">
        <v>1825</v>
      </c>
      <c r="F93" s="201">
        <v>1826</v>
      </c>
      <c r="G93" s="201">
        <v>1827</v>
      </c>
      <c r="H93" s="201">
        <v>1828</v>
      </c>
      <c r="I93" s="201">
        <v>1829</v>
      </c>
      <c r="J93" s="201">
        <v>1830</v>
      </c>
      <c r="K93" s="201">
        <v>1831</v>
      </c>
      <c r="L93" s="201">
        <v>1832</v>
      </c>
      <c r="M93" s="201">
        <v>1833</v>
      </c>
      <c r="N93" s="201">
        <v>1834</v>
      </c>
      <c r="O93" s="201">
        <v>1835</v>
      </c>
      <c r="P93" s="201">
        <v>1836</v>
      </c>
      <c r="Q93" s="201">
        <v>1837</v>
      </c>
      <c r="R93" s="201">
        <v>1838</v>
      </c>
      <c r="S93" s="201">
        <v>1839</v>
      </c>
      <c r="T93" s="201">
        <v>1840</v>
      </c>
    </row>
    <row r="94" spans="1:20" ht="30" customHeight="1" x14ac:dyDescent="0.5">
      <c r="A94" s="201">
        <v>1841</v>
      </c>
      <c r="B94" s="201">
        <v>1842</v>
      </c>
      <c r="C94" s="201">
        <v>1843</v>
      </c>
      <c r="D94" s="201">
        <v>1844</v>
      </c>
      <c r="E94" s="201">
        <v>1845</v>
      </c>
      <c r="F94" s="201">
        <v>1846</v>
      </c>
      <c r="G94" s="201">
        <v>1847</v>
      </c>
      <c r="H94" s="201">
        <v>1848</v>
      </c>
      <c r="I94" s="201">
        <v>1849</v>
      </c>
      <c r="J94" s="201">
        <v>1850</v>
      </c>
      <c r="K94" s="201">
        <v>1851</v>
      </c>
      <c r="L94" s="201">
        <v>1852</v>
      </c>
      <c r="M94" s="201">
        <v>1853</v>
      </c>
      <c r="N94" s="201">
        <v>1854</v>
      </c>
      <c r="O94" s="201">
        <v>1855</v>
      </c>
      <c r="P94" s="201">
        <v>1856</v>
      </c>
      <c r="Q94" s="201">
        <v>1857</v>
      </c>
      <c r="R94" s="201">
        <v>1858</v>
      </c>
      <c r="S94" s="201">
        <v>1859</v>
      </c>
      <c r="T94" s="201">
        <v>1860</v>
      </c>
    </row>
    <row r="95" spans="1:20" ht="30" customHeight="1" x14ac:dyDescent="0.5">
      <c r="A95" s="201">
        <v>1861</v>
      </c>
      <c r="B95" s="201">
        <v>1862</v>
      </c>
      <c r="C95" s="201">
        <v>1863</v>
      </c>
      <c r="D95" s="201">
        <v>1864</v>
      </c>
      <c r="E95" s="201">
        <v>1865</v>
      </c>
      <c r="F95" s="201">
        <v>1866</v>
      </c>
      <c r="G95" s="201">
        <v>1867</v>
      </c>
      <c r="H95" s="201">
        <v>1868</v>
      </c>
      <c r="I95" s="201">
        <v>1869</v>
      </c>
      <c r="J95" s="201">
        <v>1870</v>
      </c>
      <c r="K95" s="201">
        <v>1871</v>
      </c>
      <c r="L95" s="201">
        <v>1872</v>
      </c>
      <c r="M95" s="201">
        <v>1873</v>
      </c>
      <c r="N95" s="201">
        <v>1874</v>
      </c>
      <c r="O95" s="201">
        <v>1875</v>
      </c>
      <c r="P95" s="201">
        <v>1876</v>
      </c>
      <c r="Q95" s="201">
        <v>1877</v>
      </c>
      <c r="R95" s="201">
        <v>1878</v>
      </c>
      <c r="S95" s="201">
        <v>1879</v>
      </c>
      <c r="T95" s="201">
        <v>1880</v>
      </c>
    </row>
    <row r="96" spans="1:20" ht="30" customHeight="1" x14ac:dyDescent="0.5">
      <c r="A96" s="201">
        <v>1881</v>
      </c>
      <c r="B96" s="201">
        <v>1882</v>
      </c>
      <c r="C96" s="201">
        <v>1883</v>
      </c>
      <c r="D96" s="201">
        <v>1884</v>
      </c>
      <c r="E96" s="201">
        <v>1885</v>
      </c>
      <c r="F96" s="201">
        <v>1886</v>
      </c>
      <c r="G96" s="201">
        <v>1887</v>
      </c>
      <c r="H96" s="201">
        <v>1888</v>
      </c>
      <c r="I96" s="201">
        <v>1889</v>
      </c>
      <c r="J96" s="201">
        <v>1890</v>
      </c>
      <c r="K96" s="201">
        <v>1891</v>
      </c>
      <c r="L96" s="201">
        <v>1892</v>
      </c>
      <c r="M96" s="201">
        <v>1893</v>
      </c>
      <c r="N96" s="201">
        <v>1894</v>
      </c>
      <c r="O96" s="201">
        <v>1895</v>
      </c>
      <c r="P96" s="201">
        <v>1896</v>
      </c>
      <c r="Q96" s="201">
        <v>1897</v>
      </c>
      <c r="R96" s="201">
        <v>1898</v>
      </c>
      <c r="S96" s="201">
        <v>1899</v>
      </c>
      <c r="T96" s="201">
        <v>1900</v>
      </c>
    </row>
    <row r="97" spans="1:20" ht="30" customHeight="1" x14ac:dyDescent="0.5">
      <c r="A97" s="201">
        <v>1901</v>
      </c>
      <c r="B97" s="201">
        <v>1902</v>
      </c>
      <c r="C97" s="201">
        <v>1903</v>
      </c>
      <c r="D97" s="201">
        <v>1904</v>
      </c>
      <c r="E97" s="201">
        <v>1905</v>
      </c>
      <c r="F97" s="201">
        <v>1906</v>
      </c>
      <c r="G97" s="201">
        <v>1907</v>
      </c>
      <c r="H97" s="201">
        <v>1908</v>
      </c>
      <c r="I97" s="201">
        <v>1909</v>
      </c>
      <c r="J97" s="201">
        <v>1910</v>
      </c>
      <c r="K97" s="201">
        <v>1911</v>
      </c>
      <c r="L97" s="201">
        <v>1912</v>
      </c>
      <c r="M97" s="201">
        <v>1913</v>
      </c>
      <c r="N97" s="201">
        <v>1914</v>
      </c>
      <c r="O97" s="201">
        <v>1915</v>
      </c>
      <c r="P97" s="201">
        <v>1916</v>
      </c>
      <c r="Q97" s="201">
        <v>1917</v>
      </c>
      <c r="R97" s="201">
        <v>1918</v>
      </c>
      <c r="S97" s="201">
        <v>1919</v>
      </c>
      <c r="T97" s="201">
        <v>1920</v>
      </c>
    </row>
    <row r="98" spans="1:20" ht="30" customHeight="1" x14ac:dyDescent="0.5">
      <c r="A98" s="201">
        <v>1921</v>
      </c>
      <c r="B98" s="201">
        <v>1922</v>
      </c>
      <c r="C98" s="201">
        <v>1923</v>
      </c>
      <c r="D98" s="201">
        <v>1924</v>
      </c>
      <c r="E98" s="201">
        <v>1925</v>
      </c>
      <c r="F98" s="201">
        <v>1926</v>
      </c>
      <c r="G98" s="201">
        <v>1927</v>
      </c>
      <c r="H98" s="201">
        <v>1928</v>
      </c>
      <c r="I98" s="201">
        <v>1929</v>
      </c>
      <c r="J98" s="201">
        <v>1930</v>
      </c>
      <c r="K98" s="201">
        <v>1931</v>
      </c>
      <c r="L98" s="201">
        <v>1932</v>
      </c>
      <c r="M98" s="201">
        <v>1933</v>
      </c>
      <c r="N98" s="201">
        <v>1934</v>
      </c>
      <c r="O98" s="201">
        <v>1935</v>
      </c>
      <c r="P98" s="201">
        <v>1936</v>
      </c>
      <c r="Q98" s="201">
        <v>1937</v>
      </c>
      <c r="R98" s="201">
        <v>1938</v>
      </c>
      <c r="S98" s="201">
        <v>1939</v>
      </c>
      <c r="T98" s="201">
        <v>1940</v>
      </c>
    </row>
    <row r="99" spans="1:20" ht="30" customHeight="1" x14ac:dyDescent="0.5">
      <c r="A99" s="201">
        <v>1941</v>
      </c>
      <c r="B99" s="201">
        <v>1942</v>
      </c>
      <c r="C99" s="201">
        <v>1943</v>
      </c>
      <c r="D99" s="201">
        <v>1944</v>
      </c>
      <c r="E99" s="201">
        <v>1945</v>
      </c>
      <c r="F99" s="201">
        <v>1946</v>
      </c>
      <c r="G99" s="201">
        <v>1947</v>
      </c>
      <c r="H99" s="201">
        <v>1948</v>
      </c>
      <c r="I99" s="201">
        <v>1949</v>
      </c>
      <c r="J99" s="201">
        <v>1950</v>
      </c>
      <c r="K99" s="201">
        <v>1951</v>
      </c>
      <c r="L99" s="201">
        <v>1952</v>
      </c>
      <c r="M99" s="201">
        <v>1953</v>
      </c>
      <c r="N99" s="201">
        <v>1954</v>
      </c>
      <c r="O99" s="201">
        <v>1955</v>
      </c>
      <c r="P99" s="201">
        <v>1956</v>
      </c>
      <c r="Q99" s="201">
        <v>1957</v>
      </c>
      <c r="R99" s="201">
        <v>1958</v>
      </c>
      <c r="S99" s="201">
        <v>1959</v>
      </c>
      <c r="T99" s="201">
        <v>1960</v>
      </c>
    </row>
    <row r="100" spans="1:20" ht="30" customHeight="1" x14ac:dyDescent="0.5">
      <c r="A100" s="201">
        <v>1961</v>
      </c>
      <c r="B100" s="201">
        <v>1962</v>
      </c>
      <c r="C100" s="201">
        <v>1963</v>
      </c>
      <c r="D100" s="201">
        <v>1964</v>
      </c>
      <c r="E100" s="201">
        <v>1965</v>
      </c>
      <c r="F100" s="201">
        <v>1966</v>
      </c>
      <c r="G100" s="201">
        <v>1967</v>
      </c>
      <c r="H100" s="201">
        <v>1968</v>
      </c>
      <c r="I100" s="201">
        <v>1969</v>
      </c>
      <c r="J100" s="201">
        <v>1970</v>
      </c>
      <c r="K100" s="201">
        <v>1971</v>
      </c>
      <c r="L100" s="201">
        <v>1972</v>
      </c>
      <c r="M100" s="201">
        <v>1973</v>
      </c>
      <c r="N100" s="201">
        <v>1974</v>
      </c>
      <c r="O100" s="201">
        <v>1975</v>
      </c>
      <c r="P100" s="201">
        <v>1976</v>
      </c>
      <c r="Q100" s="201">
        <v>1977</v>
      </c>
      <c r="R100" s="201">
        <v>1978</v>
      </c>
      <c r="S100" s="201">
        <v>1979</v>
      </c>
      <c r="T100" s="201">
        <v>1980</v>
      </c>
    </row>
    <row r="101" spans="1:20" ht="30" customHeight="1" x14ac:dyDescent="0.5">
      <c r="A101" s="201">
        <v>1981</v>
      </c>
      <c r="B101" s="201">
        <v>1982</v>
      </c>
      <c r="C101" s="201">
        <v>1983</v>
      </c>
      <c r="D101" s="201">
        <v>1984</v>
      </c>
      <c r="E101" s="201">
        <v>1985</v>
      </c>
      <c r="F101" s="201">
        <v>1986</v>
      </c>
      <c r="G101" s="201">
        <v>1987</v>
      </c>
      <c r="H101" s="201">
        <v>1988</v>
      </c>
      <c r="I101" s="201">
        <v>1989</v>
      </c>
      <c r="J101" s="201">
        <v>1990</v>
      </c>
      <c r="K101" s="201">
        <v>1991</v>
      </c>
      <c r="L101" s="201">
        <v>1992</v>
      </c>
      <c r="M101" s="201">
        <v>1993</v>
      </c>
      <c r="N101" s="201">
        <v>1994</v>
      </c>
      <c r="O101" s="201">
        <v>1995</v>
      </c>
      <c r="P101" s="201">
        <v>1996</v>
      </c>
      <c r="Q101" s="201">
        <v>1997</v>
      </c>
      <c r="R101" s="201">
        <v>1998</v>
      </c>
      <c r="S101" s="201">
        <v>1999</v>
      </c>
      <c r="T101" s="201">
        <v>2000</v>
      </c>
    </row>
    <row r="102" spans="1:20" ht="30" customHeight="1" x14ac:dyDescent="0.5">
      <c r="A102" s="201">
        <v>2001</v>
      </c>
      <c r="B102" s="201">
        <v>2002</v>
      </c>
      <c r="C102" s="201">
        <v>2003</v>
      </c>
      <c r="D102" s="201">
        <v>2004</v>
      </c>
      <c r="E102" s="201">
        <v>2005</v>
      </c>
      <c r="F102" s="201">
        <v>2006</v>
      </c>
      <c r="G102" s="201">
        <v>2007</v>
      </c>
      <c r="H102" s="201">
        <v>2008</v>
      </c>
      <c r="I102" s="201">
        <v>2009</v>
      </c>
      <c r="J102" s="201">
        <v>2010</v>
      </c>
      <c r="K102" s="201">
        <v>2011</v>
      </c>
      <c r="L102" s="201">
        <v>2012</v>
      </c>
      <c r="M102" s="201">
        <v>2013</v>
      </c>
      <c r="N102" s="201">
        <v>2014</v>
      </c>
      <c r="O102" s="201">
        <v>2015</v>
      </c>
      <c r="P102" s="201">
        <v>2016</v>
      </c>
      <c r="Q102" s="201">
        <v>2017</v>
      </c>
      <c r="R102" s="201">
        <v>2018</v>
      </c>
      <c r="S102" s="201">
        <v>2019</v>
      </c>
      <c r="T102" s="201">
        <v>2020</v>
      </c>
    </row>
  </sheetData>
  <pageMargins left="0.70866141732283472" right="0.70866141732283472" top="0.74803149606299213" bottom="0.74803149606299213" header="0.31496062992125984" footer="0.31496062992125984"/>
  <pageSetup scale="52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A53"/>
  <sheetViews>
    <sheetView topLeftCell="AQ1" workbookViewId="0">
      <selection activeCell="AX7" sqref="AX7"/>
    </sheetView>
  </sheetViews>
  <sheetFormatPr defaultRowHeight="15" x14ac:dyDescent="0.25"/>
  <cols>
    <col min="2" max="21" width="25.7109375" customWidth="1"/>
    <col min="22" max="22" width="25.7109375" style="202" customWidth="1"/>
    <col min="23" max="30" width="25.7109375" customWidth="1"/>
    <col min="31" max="31" width="22.140625" customWidth="1"/>
    <col min="32" max="32" width="24" customWidth="1"/>
    <col min="33" max="33" width="25.5703125" customWidth="1"/>
    <col min="34" max="34" width="26" customWidth="1"/>
    <col min="35" max="35" width="24.85546875" customWidth="1"/>
    <col min="36" max="36" width="21.85546875" customWidth="1"/>
    <col min="37" max="37" width="20.85546875" customWidth="1"/>
    <col min="38" max="38" width="25" customWidth="1"/>
    <col min="39" max="39" width="19.7109375" customWidth="1"/>
    <col min="40" max="40" width="23.5703125" customWidth="1"/>
    <col min="41" max="41" width="18.85546875" bestFit="1" customWidth="1"/>
    <col min="42" max="42" width="15.42578125" bestFit="1" customWidth="1"/>
    <col min="43" max="43" width="14" bestFit="1" customWidth="1"/>
    <col min="44" max="44" width="15.85546875" bestFit="1" customWidth="1"/>
    <col min="45" max="45" width="14.7109375" bestFit="1" customWidth="1"/>
    <col min="46" max="46" width="24.7109375" style="50" customWidth="1"/>
    <col min="47" max="47" width="20.7109375" style="50" customWidth="1"/>
    <col min="48" max="48" width="18" style="202" customWidth="1"/>
    <col min="49" max="49" width="41.42578125" bestFit="1" customWidth="1"/>
    <col min="50" max="50" width="29.7109375" customWidth="1"/>
  </cols>
  <sheetData>
    <row r="2" spans="1:79" s="83" customFormat="1" ht="23.25" x14ac:dyDescent="0.25">
      <c r="A2" s="199"/>
      <c r="B2" s="204" t="s">
        <v>573</v>
      </c>
      <c r="C2" s="205" t="s">
        <v>574</v>
      </c>
      <c r="D2" s="205" t="s">
        <v>575</v>
      </c>
      <c r="E2" s="205" t="s">
        <v>576</v>
      </c>
      <c r="F2" s="206" t="s">
        <v>577</v>
      </c>
      <c r="G2" s="206" t="s">
        <v>578</v>
      </c>
      <c r="H2" s="206" t="s">
        <v>579</v>
      </c>
      <c r="I2" s="206" t="s">
        <v>580</v>
      </c>
      <c r="J2" s="206" t="s">
        <v>581</v>
      </c>
      <c r="K2" s="206" t="s">
        <v>582</v>
      </c>
      <c r="L2" s="206" t="s">
        <v>583</v>
      </c>
      <c r="M2" s="206" t="s">
        <v>584</v>
      </c>
      <c r="N2" s="206" t="s">
        <v>585</v>
      </c>
      <c r="O2" s="206" t="s">
        <v>586</v>
      </c>
      <c r="P2" s="206" t="s">
        <v>587</v>
      </c>
      <c r="Q2" s="206" t="s">
        <v>588</v>
      </c>
      <c r="R2" s="206" t="s">
        <v>589</v>
      </c>
      <c r="S2" s="206" t="s">
        <v>691</v>
      </c>
      <c r="T2" s="206" t="s">
        <v>590</v>
      </c>
      <c r="U2" s="206" t="s">
        <v>591</v>
      </c>
      <c r="V2" s="207" t="s">
        <v>592</v>
      </c>
      <c r="W2" s="206" t="s">
        <v>710</v>
      </c>
      <c r="X2" s="206" t="s">
        <v>593</v>
      </c>
      <c r="Y2" s="206" t="s">
        <v>594</v>
      </c>
      <c r="Z2" s="206" t="s">
        <v>595</v>
      </c>
      <c r="AA2" s="206" t="s">
        <v>596</v>
      </c>
      <c r="AB2" s="206" t="s">
        <v>597</v>
      </c>
      <c r="AC2" s="206" t="s">
        <v>728</v>
      </c>
      <c r="AD2" s="206" t="s">
        <v>729</v>
      </c>
      <c r="AE2" s="206" t="s">
        <v>755</v>
      </c>
      <c r="AF2" s="206" t="s">
        <v>756</v>
      </c>
      <c r="AG2" s="199" t="s">
        <v>757</v>
      </c>
      <c r="AH2" s="199" t="s">
        <v>758</v>
      </c>
      <c r="AI2" s="206" t="s">
        <v>759</v>
      </c>
      <c r="AJ2" s="206" t="s">
        <v>760</v>
      </c>
      <c r="AK2" s="206" t="s">
        <v>761</v>
      </c>
      <c r="AL2" s="206" t="s">
        <v>762</v>
      </c>
      <c r="AM2" s="206" t="s">
        <v>763</v>
      </c>
      <c r="AN2" s="206" t="s">
        <v>764</v>
      </c>
      <c r="AO2" s="206" t="s">
        <v>765</v>
      </c>
      <c r="AP2" s="206" t="s">
        <v>766</v>
      </c>
      <c r="AQ2" s="206" t="s">
        <v>767</v>
      </c>
      <c r="AR2" s="206" t="s">
        <v>768</v>
      </c>
      <c r="AS2" s="206" t="s">
        <v>769</v>
      </c>
      <c r="AT2" s="207" t="s">
        <v>927</v>
      </c>
      <c r="AU2" s="48" t="s">
        <v>936</v>
      </c>
      <c r="AV2" s="200" t="s">
        <v>942</v>
      </c>
      <c r="AW2" s="199" t="s">
        <v>944</v>
      </c>
      <c r="AX2" s="199" t="s">
        <v>947</v>
      </c>
      <c r="AY2" s="199"/>
      <c r="AZ2" s="199"/>
      <c r="BA2" s="199"/>
      <c r="BB2" s="199"/>
      <c r="BC2" s="199"/>
      <c r="BD2" s="199"/>
      <c r="BE2" s="199"/>
      <c r="BF2" s="199"/>
      <c r="BG2" s="199"/>
      <c r="BH2" s="199"/>
      <c r="BI2" s="199"/>
      <c r="BJ2" s="199"/>
      <c r="BK2" s="199"/>
      <c r="BL2" s="199"/>
      <c r="BM2" s="199"/>
      <c r="BN2" s="199"/>
      <c r="BO2" s="199"/>
      <c r="BP2" s="199"/>
      <c r="BQ2" s="199"/>
      <c r="BR2" s="199"/>
      <c r="BS2" s="199"/>
      <c r="BT2" s="199"/>
      <c r="BU2" s="199"/>
      <c r="BV2" s="199"/>
      <c r="BW2" s="199"/>
      <c r="BX2" s="199"/>
      <c r="BY2" s="199"/>
      <c r="BZ2" s="199"/>
      <c r="CA2" s="199"/>
    </row>
    <row r="3" spans="1:79" ht="60" x14ac:dyDescent="0.25">
      <c r="A3" s="85"/>
      <c r="B3" s="205" t="s">
        <v>574</v>
      </c>
      <c r="C3" s="206" t="s">
        <v>577</v>
      </c>
      <c r="D3" s="206"/>
      <c r="E3" s="206"/>
      <c r="F3" s="207" t="s">
        <v>420</v>
      </c>
      <c r="G3" s="207" t="s">
        <v>430</v>
      </c>
      <c r="H3" s="207" t="s">
        <v>441</v>
      </c>
      <c r="I3" s="207" t="s">
        <v>450</v>
      </c>
      <c r="J3" s="207" t="s">
        <v>461</v>
      </c>
      <c r="K3" s="207" t="s">
        <v>465</v>
      </c>
      <c r="L3" s="207" t="s">
        <v>480</v>
      </c>
      <c r="M3" s="207" t="s">
        <v>483</v>
      </c>
      <c r="N3" s="207" t="s">
        <v>495</v>
      </c>
      <c r="O3" s="207" t="s">
        <v>509</v>
      </c>
      <c r="P3" s="207" t="s">
        <v>523</v>
      </c>
      <c r="Q3" s="207" t="s">
        <v>537</v>
      </c>
      <c r="R3" s="207" t="s">
        <v>544</v>
      </c>
      <c r="S3" s="207" t="s">
        <v>548</v>
      </c>
      <c r="T3" s="207" t="s">
        <v>558</v>
      </c>
      <c r="U3" s="207" t="s">
        <v>598</v>
      </c>
      <c r="V3" s="207" t="s">
        <v>599</v>
      </c>
      <c r="W3" s="207" t="s">
        <v>600</v>
      </c>
      <c r="X3" s="207" t="s">
        <v>601</v>
      </c>
      <c r="Y3" s="207" t="s">
        <v>602</v>
      </c>
      <c r="Z3" s="207" t="s">
        <v>603</v>
      </c>
      <c r="AA3" s="207" t="s">
        <v>604</v>
      </c>
      <c r="AB3" s="207" t="s">
        <v>605</v>
      </c>
      <c r="AC3" s="207" t="s">
        <v>730</v>
      </c>
      <c r="AD3" s="207" t="s">
        <v>731</v>
      </c>
      <c r="AE3" s="207" t="s">
        <v>770</v>
      </c>
      <c r="AF3" s="207" t="s">
        <v>771</v>
      </c>
      <c r="AG3" s="207" t="s">
        <v>772</v>
      </c>
      <c r="AH3" s="207" t="s">
        <v>773</v>
      </c>
      <c r="AI3" s="207" t="s">
        <v>774</v>
      </c>
      <c r="AJ3" s="207" t="s">
        <v>775</v>
      </c>
      <c r="AK3" s="207" t="s">
        <v>776</v>
      </c>
      <c r="AL3" s="207" t="s">
        <v>777</v>
      </c>
      <c r="AM3" s="207" t="s">
        <v>778</v>
      </c>
      <c r="AN3" s="207" t="s">
        <v>779</v>
      </c>
      <c r="AO3" s="207" t="s">
        <v>780</v>
      </c>
      <c r="AP3" s="207" t="s">
        <v>781</v>
      </c>
      <c r="AQ3" s="207" t="s">
        <v>782</v>
      </c>
      <c r="AR3" s="207" t="s">
        <v>783</v>
      </c>
      <c r="AS3" s="207" t="s">
        <v>784</v>
      </c>
      <c r="AT3" s="48" t="s">
        <v>928</v>
      </c>
      <c r="AU3" s="48" t="s">
        <v>937</v>
      </c>
      <c r="AV3" s="203" t="s">
        <v>943</v>
      </c>
      <c r="AW3" s="85" t="s">
        <v>945</v>
      </c>
      <c r="AX3" s="85" t="s">
        <v>948</v>
      </c>
      <c r="AY3" s="85"/>
      <c r="AZ3" s="85"/>
      <c r="BA3" s="85"/>
      <c r="BB3" s="85"/>
      <c r="BC3" s="85"/>
      <c r="BD3" s="85"/>
      <c r="BE3" s="85"/>
      <c r="BF3" s="85"/>
      <c r="BG3" s="85"/>
      <c r="BH3" s="85"/>
      <c r="BI3" s="85"/>
      <c r="BJ3" s="85"/>
      <c r="BK3" s="85"/>
      <c r="BL3" s="85"/>
      <c r="BM3" s="85"/>
      <c r="BN3" s="85"/>
      <c r="BO3" s="85"/>
      <c r="BP3" s="85"/>
      <c r="BQ3" s="85"/>
      <c r="BR3" s="85"/>
      <c r="BS3" s="85"/>
      <c r="BT3" s="85"/>
      <c r="BU3" s="85"/>
      <c r="BV3" s="85"/>
      <c r="BW3" s="85"/>
      <c r="BX3" s="85"/>
      <c r="BY3" s="85"/>
      <c r="BZ3" s="85"/>
      <c r="CA3" s="85"/>
    </row>
    <row r="4" spans="1:79" ht="60" x14ac:dyDescent="0.25">
      <c r="A4" s="85"/>
      <c r="B4" s="205" t="s">
        <v>575</v>
      </c>
      <c r="C4" s="206" t="s">
        <v>578</v>
      </c>
      <c r="D4" s="206"/>
      <c r="E4" s="206"/>
      <c r="F4" s="207" t="s">
        <v>785</v>
      </c>
      <c r="G4" s="207" t="s">
        <v>431</v>
      </c>
      <c r="H4" s="207" t="s">
        <v>442</v>
      </c>
      <c r="I4" s="207" t="s">
        <v>451</v>
      </c>
      <c r="J4" s="207" t="s">
        <v>462</v>
      </c>
      <c r="K4" s="207" t="s">
        <v>466</v>
      </c>
      <c r="L4" s="207" t="s">
        <v>481</v>
      </c>
      <c r="M4" s="207" t="s">
        <v>484</v>
      </c>
      <c r="N4" s="207" t="s">
        <v>496</v>
      </c>
      <c r="O4" s="207" t="s">
        <v>510</v>
      </c>
      <c r="P4" s="207" t="s">
        <v>524</v>
      </c>
      <c r="Q4" s="207" t="s">
        <v>538</v>
      </c>
      <c r="R4" s="207" t="s">
        <v>545</v>
      </c>
      <c r="S4" s="207" t="s">
        <v>549</v>
      </c>
      <c r="T4" s="207" t="s">
        <v>559</v>
      </c>
      <c r="U4" s="207" t="s">
        <v>606</v>
      </c>
      <c r="V4" s="207" t="s">
        <v>607</v>
      </c>
      <c r="W4" s="207" t="s">
        <v>608</v>
      </c>
      <c r="X4" s="207" t="s">
        <v>609</v>
      </c>
      <c r="Y4" s="207" t="s">
        <v>610</v>
      </c>
      <c r="Z4" s="207" t="s">
        <v>611</v>
      </c>
      <c r="AA4" s="207" t="s">
        <v>604</v>
      </c>
      <c r="AB4" s="207" t="s">
        <v>605</v>
      </c>
      <c r="AC4" s="207" t="s">
        <v>732</v>
      </c>
      <c r="AD4" s="207" t="s">
        <v>733</v>
      </c>
      <c r="AE4" s="207" t="s">
        <v>786</v>
      </c>
      <c r="AF4" s="207" t="s">
        <v>787</v>
      </c>
      <c r="AG4" s="207" t="s">
        <v>788</v>
      </c>
      <c r="AH4" s="207" t="s">
        <v>789</v>
      </c>
      <c r="AI4" s="207" t="s">
        <v>790</v>
      </c>
      <c r="AJ4" s="207" t="s">
        <v>791</v>
      </c>
      <c r="AK4" s="207" t="s">
        <v>792</v>
      </c>
      <c r="AL4" s="207" t="s">
        <v>793</v>
      </c>
      <c r="AM4" s="207" t="s">
        <v>794</v>
      </c>
      <c r="AN4" s="207" t="s">
        <v>795</v>
      </c>
      <c r="AO4" s="207" t="s">
        <v>796</v>
      </c>
      <c r="AP4" s="207" t="s">
        <v>797</v>
      </c>
      <c r="AQ4" s="207" t="s">
        <v>798</v>
      </c>
      <c r="AR4" s="207" t="s">
        <v>799</v>
      </c>
      <c r="AS4" s="207" t="s">
        <v>800</v>
      </c>
      <c r="AT4" s="48" t="s">
        <v>929</v>
      </c>
      <c r="AU4" s="48" t="s">
        <v>938</v>
      </c>
      <c r="AV4" s="203" t="s">
        <v>749</v>
      </c>
      <c r="AW4" s="85" t="s">
        <v>946</v>
      </c>
      <c r="AX4" s="85" t="s">
        <v>949</v>
      </c>
      <c r="AY4" s="85"/>
      <c r="AZ4" s="85"/>
      <c r="BA4" s="85"/>
      <c r="BB4" s="85"/>
      <c r="BC4" s="85"/>
      <c r="BD4" s="85"/>
      <c r="BE4" s="85"/>
      <c r="BF4" s="85"/>
      <c r="BG4" s="85"/>
      <c r="BH4" s="85"/>
      <c r="BI4" s="85"/>
      <c r="BJ4" s="85"/>
      <c r="BK4" s="85"/>
      <c r="BL4" s="85"/>
      <c r="BM4" s="85"/>
      <c r="BN4" s="85"/>
      <c r="BO4" s="85"/>
      <c r="BP4" s="85"/>
      <c r="BQ4" s="85"/>
      <c r="BR4" s="85"/>
      <c r="BS4" s="85"/>
      <c r="BT4" s="85"/>
      <c r="BU4" s="85"/>
      <c r="BV4" s="85"/>
      <c r="BW4" s="85"/>
      <c r="BX4" s="85"/>
      <c r="BY4" s="85"/>
      <c r="BZ4" s="85"/>
      <c r="CA4" s="85"/>
    </row>
    <row r="5" spans="1:79" ht="90" x14ac:dyDescent="0.25">
      <c r="A5" s="85"/>
      <c r="B5" s="205" t="s">
        <v>576</v>
      </c>
      <c r="C5" s="206" t="s">
        <v>579</v>
      </c>
      <c r="D5" s="206"/>
      <c r="E5" s="206"/>
      <c r="F5" s="207" t="s">
        <v>421</v>
      </c>
      <c r="G5" s="207" t="s">
        <v>432</v>
      </c>
      <c r="H5" s="207" t="s">
        <v>443</v>
      </c>
      <c r="I5" s="207" t="s">
        <v>452</v>
      </c>
      <c r="J5" s="207"/>
      <c r="K5" s="207" t="s">
        <v>467</v>
      </c>
      <c r="L5" s="207" t="s">
        <v>443</v>
      </c>
      <c r="M5" s="207" t="s">
        <v>485</v>
      </c>
      <c r="N5" s="207" t="s">
        <v>497</v>
      </c>
      <c r="O5" s="207" t="s">
        <v>511</v>
      </c>
      <c r="P5" s="207" t="s">
        <v>525</v>
      </c>
      <c r="Q5" s="207" t="s">
        <v>539</v>
      </c>
      <c r="R5" s="207" t="s">
        <v>546</v>
      </c>
      <c r="S5" s="207" t="s">
        <v>550</v>
      </c>
      <c r="T5" s="207" t="s">
        <v>560</v>
      </c>
      <c r="U5" s="207" t="s">
        <v>612</v>
      </c>
      <c r="V5" s="207" t="s">
        <v>613</v>
      </c>
      <c r="W5" s="207" t="s">
        <v>614</v>
      </c>
      <c r="X5" s="207" t="s">
        <v>615</v>
      </c>
      <c r="Y5" s="207" t="s">
        <v>616</v>
      </c>
      <c r="Z5" s="207" t="s">
        <v>617</v>
      </c>
      <c r="AA5" s="207" t="s">
        <v>618</v>
      </c>
      <c r="AB5" s="207" t="s">
        <v>619</v>
      </c>
      <c r="AC5" s="207" t="s">
        <v>734</v>
      </c>
      <c r="AD5" s="207" t="s">
        <v>735</v>
      </c>
      <c r="AE5" s="207" t="s">
        <v>801</v>
      </c>
      <c r="AF5" s="207" t="s">
        <v>802</v>
      </c>
      <c r="AG5" s="207" t="s">
        <v>803</v>
      </c>
      <c r="AH5" s="207" t="s">
        <v>804</v>
      </c>
      <c r="AI5" s="207" t="s">
        <v>805</v>
      </c>
      <c r="AJ5" s="207" t="s">
        <v>806</v>
      </c>
      <c r="AK5" s="207" t="s">
        <v>807</v>
      </c>
      <c r="AL5" s="207" t="s">
        <v>808</v>
      </c>
      <c r="AM5" s="207" t="s">
        <v>809</v>
      </c>
      <c r="AN5" s="207" t="s">
        <v>810</v>
      </c>
      <c r="AO5" s="85"/>
      <c r="AP5" s="207" t="s">
        <v>811</v>
      </c>
      <c r="AQ5" s="85"/>
      <c r="AR5" s="207" t="s">
        <v>812</v>
      </c>
      <c r="AS5" s="203" t="s">
        <v>813</v>
      </c>
      <c r="AT5" s="48" t="s">
        <v>930</v>
      </c>
      <c r="AU5" s="48" t="s">
        <v>939</v>
      </c>
      <c r="AV5" s="203"/>
      <c r="AW5" s="85" t="s">
        <v>725</v>
      </c>
      <c r="AX5" s="85" t="s">
        <v>950</v>
      </c>
      <c r="AY5" s="85"/>
      <c r="AZ5" s="85"/>
      <c r="BA5" s="85"/>
      <c r="BB5" s="85"/>
      <c r="BC5" s="85"/>
      <c r="BD5" s="85"/>
      <c r="BE5" s="85"/>
      <c r="BF5" s="85"/>
      <c r="BG5" s="85"/>
      <c r="BH5" s="85"/>
      <c r="BI5" s="85"/>
      <c r="BJ5" s="85"/>
      <c r="BK5" s="85"/>
      <c r="BL5" s="85"/>
      <c r="BM5" s="85"/>
      <c r="BN5" s="85"/>
      <c r="BO5" s="85"/>
      <c r="BP5" s="85"/>
      <c r="BQ5" s="85"/>
      <c r="BR5" s="85"/>
      <c r="BS5" s="85"/>
      <c r="BT5" s="85"/>
      <c r="BU5" s="85"/>
      <c r="BV5" s="85"/>
      <c r="BW5" s="85"/>
      <c r="BX5" s="85"/>
      <c r="BY5" s="85"/>
      <c r="BZ5" s="85"/>
      <c r="CA5" s="85"/>
    </row>
    <row r="6" spans="1:79" ht="45" x14ac:dyDescent="0.25">
      <c r="A6" s="85"/>
      <c r="B6" s="204"/>
      <c r="C6" s="206" t="s">
        <v>580</v>
      </c>
      <c r="D6" s="206"/>
      <c r="E6" s="206"/>
      <c r="F6" s="207" t="s">
        <v>422</v>
      </c>
      <c r="G6" s="207" t="s">
        <v>433</v>
      </c>
      <c r="H6" s="207" t="s">
        <v>446</v>
      </c>
      <c r="I6" s="207" t="s">
        <v>453</v>
      </c>
      <c r="J6" s="207"/>
      <c r="K6" s="207" t="s">
        <v>468</v>
      </c>
      <c r="L6" s="207" t="s">
        <v>482</v>
      </c>
      <c r="M6" s="207" t="s">
        <v>486</v>
      </c>
      <c r="N6" s="207" t="s">
        <v>498</v>
      </c>
      <c r="O6" s="207" t="s">
        <v>512</v>
      </c>
      <c r="P6" s="207" t="s">
        <v>526</v>
      </c>
      <c r="Q6" s="207" t="s">
        <v>540</v>
      </c>
      <c r="R6" s="207" t="s">
        <v>547</v>
      </c>
      <c r="S6" s="207" t="s">
        <v>551</v>
      </c>
      <c r="T6" s="207" t="s">
        <v>561</v>
      </c>
      <c r="U6" s="207" t="s">
        <v>620</v>
      </c>
      <c r="V6" s="207" t="s">
        <v>621</v>
      </c>
      <c r="W6" s="207" t="s">
        <v>622</v>
      </c>
      <c r="X6" s="207" t="s">
        <v>623</v>
      </c>
      <c r="Y6" s="207" t="s">
        <v>624</v>
      </c>
      <c r="Z6" s="207" t="s">
        <v>625</v>
      </c>
      <c r="AA6" s="207" t="s">
        <v>626</v>
      </c>
      <c r="AB6" s="207" t="s">
        <v>627</v>
      </c>
      <c r="AC6" s="207" t="s">
        <v>736</v>
      </c>
      <c r="AD6" s="207" t="s">
        <v>500</v>
      </c>
      <c r="AE6" s="207" t="s">
        <v>814</v>
      </c>
      <c r="AF6" s="207" t="s">
        <v>815</v>
      </c>
      <c r="AG6" s="207" t="s">
        <v>816</v>
      </c>
      <c r="AH6" s="207" t="s">
        <v>817</v>
      </c>
      <c r="AI6" s="207" t="s">
        <v>725</v>
      </c>
      <c r="AJ6" s="207" t="s">
        <v>703</v>
      </c>
      <c r="AK6" s="207" t="s">
        <v>818</v>
      </c>
      <c r="AL6" s="207" t="s">
        <v>819</v>
      </c>
      <c r="AM6" s="207" t="s">
        <v>820</v>
      </c>
      <c r="AN6" s="207" t="s">
        <v>821</v>
      </c>
      <c r="AO6" s="85"/>
      <c r="AP6" s="207" t="s">
        <v>822</v>
      </c>
      <c r="AQ6" s="85"/>
      <c r="AR6" s="207" t="s">
        <v>823</v>
      </c>
      <c r="AS6" s="203" t="s">
        <v>824</v>
      </c>
      <c r="AT6" s="48" t="s">
        <v>752</v>
      </c>
      <c r="AU6" s="48" t="s">
        <v>940</v>
      </c>
      <c r="AV6" s="203"/>
      <c r="AW6" s="85"/>
      <c r="AX6" s="85" t="s">
        <v>749</v>
      </c>
      <c r="AY6" s="85"/>
      <c r="AZ6" s="85"/>
      <c r="BA6" s="85"/>
      <c r="BB6" s="85"/>
      <c r="BC6" s="85"/>
      <c r="BD6" s="85"/>
      <c r="BE6" s="85"/>
      <c r="BF6" s="85"/>
      <c r="BG6" s="85"/>
      <c r="BH6" s="85"/>
      <c r="BI6" s="85"/>
      <c r="BJ6" s="85"/>
      <c r="BK6" s="85"/>
      <c r="BL6" s="85"/>
      <c r="BM6" s="85"/>
      <c r="BN6" s="85"/>
      <c r="BO6" s="85"/>
      <c r="BP6" s="85"/>
      <c r="BQ6" s="85"/>
      <c r="BR6" s="85"/>
      <c r="BS6" s="85"/>
      <c r="BT6" s="85"/>
      <c r="BU6" s="85"/>
      <c r="BV6" s="85"/>
      <c r="BW6" s="85"/>
      <c r="BX6" s="85"/>
      <c r="BY6" s="85"/>
      <c r="BZ6" s="85"/>
      <c r="CA6" s="85"/>
    </row>
    <row r="7" spans="1:79" ht="60" x14ac:dyDescent="0.25">
      <c r="A7" s="85"/>
      <c r="B7" s="204"/>
      <c r="C7" s="206" t="s">
        <v>581</v>
      </c>
      <c r="D7" s="206"/>
      <c r="E7" s="206"/>
      <c r="F7" s="207" t="s">
        <v>423</v>
      </c>
      <c r="G7" s="207" t="s">
        <v>434</v>
      </c>
      <c r="H7" s="207" t="s">
        <v>444</v>
      </c>
      <c r="I7" s="207" t="s">
        <v>454</v>
      </c>
      <c r="J7" s="207"/>
      <c r="K7" s="207" t="s">
        <v>469</v>
      </c>
      <c r="L7" s="207" t="s">
        <v>479</v>
      </c>
      <c r="M7" s="207" t="s">
        <v>487</v>
      </c>
      <c r="N7" s="207" t="s">
        <v>499</v>
      </c>
      <c r="O7" s="207" t="s">
        <v>513</v>
      </c>
      <c r="P7" s="207" t="s">
        <v>527</v>
      </c>
      <c r="Q7" s="207" t="s">
        <v>541</v>
      </c>
      <c r="R7" s="207"/>
      <c r="S7" s="207" t="s">
        <v>552</v>
      </c>
      <c r="T7" s="207" t="s">
        <v>562</v>
      </c>
      <c r="U7" s="207" t="s">
        <v>628</v>
      </c>
      <c r="V7" s="207" t="s">
        <v>629</v>
      </c>
      <c r="W7" s="207" t="s">
        <v>630</v>
      </c>
      <c r="X7" s="207" t="s">
        <v>500</v>
      </c>
      <c r="Y7" s="207" t="s">
        <v>631</v>
      </c>
      <c r="Z7" s="207" t="s">
        <v>632</v>
      </c>
      <c r="AA7" s="207" t="s">
        <v>633</v>
      </c>
      <c r="AB7" s="207" t="s">
        <v>634</v>
      </c>
      <c r="AC7" s="207" t="s">
        <v>737</v>
      </c>
      <c r="AD7" s="207" t="s">
        <v>501</v>
      </c>
      <c r="AE7" s="207" t="s">
        <v>825</v>
      </c>
      <c r="AF7" s="207" t="s">
        <v>826</v>
      </c>
      <c r="AG7" s="207" t="s">
        <v>827</v>
      </c>
      <c r="AH7" s="207" t="s">
        <v>828</v>
      </c>
      <c r="AI7" s="207" t="s">
        <v>707</v>
      </c>
      <c r="AJ7" s="207" t="s">
        <v>829</v>
      </c>
      <c r="AK7" s="207" t="s">
        <v>830</v>
      </c>
      <c r="AL7" s="207" t="s">
        <v>831</v>
      </c>
      <c r="AM7" s="207" t="s">
        <v>832</v>
      </c>
      <c r="AN7" s="207" t="s">
        <v>703</v>
      </c>
      <c r="AO7" s="85"/>
      <c r="AP7" s="207" t="s">
        <v>703</v>
      </c>
      <c r="AQ7" s="85"/>
      <c r="AR7" s="85"/>
      <c r="AS7" s="203" t="s">
        <v>833</v>
      </c>
      <c r="AT7" s="48" t="s">
        <v>931</v>
      </c>
      <c r="AU7" s="48" t="s">
        <v>941</v>
      </c>
      <c r="AV7" s="203"/>
      <c r="AW7" s="85"/>
      <c r="AX7" s="85"/>
      <c r="AY7" s="85"/>
      <c r="AZ7" s="85"/>
      <c r="BA7" s="85"/>
      <c r="BB7" s="85"/>
      <c r="BC7" s="85"/>
      <c r="BD7" s="85"/>
      <c r="BE7" s="85"/>
      <c r="BF7" s="85"/>
      <c r="BG7" s="85"/>
      <c r="BH7" s="85"/>
      <c r="BI7" s="85"/>
      <c r="BJ7" s="85"/>
      <c r="BK7" s="85"/>
      <c r="BL7" s="85"/>
      <c r="BM7" s="85"/>
      <c r="BN7" s="85"/>
      <c r="BO7" s="85"/>
      <c r="BP7" s="85"/>
      <c r="BQ7" s="85"/>
      <c r="BR7" s="85"/>
      <c r="BS7" s="85"/>
      <c r="BT7" s="85"/>
      <c r="BU7" s="85"/>
      <c r="BV7" s="85"/>
      <c r="BW7" s="85"/>
      <c r="BX7" s="85"/>
      <c r="BY7" s="85"/>
      <c r="BZ7" s="85"/>
      <c r="CA7" s="85"/>
    </row>
    <row r="8" spans="1:79" ht="60" x14ac:dyDescent="0.25">
      <c r="A8" s="85"/>
      <c r="B8" s="204"/>
      <c r="C8" s="206" t="s">
        <v>582</v>
      </c>
      <c r="D8" s="206"/>
      <c r="E8" s="206"/>
      <c r="F8" s="207" t="s">
        <v>423</v>
      </c>
      <c r="G8" s="207" t="s">
        <v>435</v>
      </c>
      <c r="H8" s="207" t="s">
        <v>445</v>
      </c>
      <c r="I8" s="207" t="s">
        <v>455</v>
      </c>
      <c r="J8" s="207"/>
      <c r="K8" s="207" t="s">
        <v>470</v>
      </c>
      <c r="L8" s="207"/>
      <c r="M8" s="207" t="s">
        <v>488</v>
      </c>
      <c r="N8" s="207" t="s">
        <v>500</v>
      </c>
      <c r="O8" s="207" t="s">
        <v>514</v>
      </c>
      <c r="P8" s="207" t="s">
        <v>528</v>
      </c>
      <c r="Q8" s="207" t="s">
        <v>541</v>
      </c>
      <c r="R8" s="207"/>
      <c r="S8" s="207" t="s">
        <v>553</v>
      </c>
      <c r="T8" s="207" t="s">
        <v>563</v>
      </c>
      <c r="U8" s="207" t="s">
        <v>635</v>
      </c>
      <c r="V8" s="207" t="s">
        <v>636</v>
      </c>
      <c r="W8" s="207" t="s">
        <v>637</v>
      </c>
      <c r="X8" s="207" t="s">
        <v>501</v>
      </c>
      <c r="Y8" s="207" t="s">
        <v>638</v>
      </c>
      <c r="Z8" s="207" t="s">
        <v>639</v>
      </c>
      <c r="AA8" s="207" t="s">
        <v>640</v>
      </c>
      <c r="AB8" s="207" t="s">
        <v>641</v>
      </c>
      <c r="AC8" s="207" t="s">
        <v>738</v>
      </c>
      <c r="AD8" s="207" t="s">
        <v>739</v>
      </c>
      <c r="AE8" s="207" t="s">
        <v>500</v>
      </c>
      <c r="AF8" s="207" t="s">
        <v>834</v>
      </c>
      <c r="AG8" s="207" t="s">
        <v>501</v>
      </c>
      <c r="AH8" s="207" t="s">
        <v>835</v>
      </c>
      <c r="AI8" s="207" t="s">
        <v>836</v>
      </c>
      <c r="AJ8" s="85"/>
      <c r="AK8" s="85"/>
      <c r="AL8" s="207" t="s">
        <v>837</v>
      </c>
      <c r="AM8" s="207" t="s">
        <v>838</v>
      </c>
      <c r="AN8" s="207" t="s">
        <v>754</v>
      </c>
      <c r="AO8" s="85"/>
      <c r="AP8" s="207" t="s">
        <v>839</v>
      </c>
      <c r="AQ8" s="85"/>
      <c r="AR8" s="85"/>
      <c r="AS8" s="203" t="s">
        <v>840</v>
      </c>
      <c r="AT8" s="48" t="s">
        <v>932</v>
      </c>
      <c r="AU8" s="48" t="s">
        <v>824</v>
      </c>
      <c r="AV8" s="203"/>
      <c r="AW8" s="85"/>
      <c r="AX8" s="85"/>
      <c r="AY8" s="85"/>
      <c r="AZ8" s="85"/>
      <c r="BA8" s="85"/>
      <c r="BB8" s="85"/>
      <c r="BC8" s="85"/>
      <c r="BD8" s="85"/>
      <c r="BE8" s="85"/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85"/>
      <c r="BQ8" s="85"/>
      <c r="BR8" s="85"/>
      <c r="BS8" s="85"/>
      <c r="BT8" s="85"/>
      <c r="BU8" s="85"/>
      <c r="BV8" s="85"/>
      <c r="BW8" s="85"/>
      <c r="BX8" s="85"/>
      <c r="BY8" s="85"/>
      <c r="BZ8" s="85"/>
      <c r="CA8" s="85"/>
    </row>
    <row r="9" spans="1:79" ht="45" x14ac:dyDescent="0.25">
      <c r="A9" s="85"/>
      <c r="B9" s="204"/>
      <c r="C9" s="206" t="s">
        <v>583</v>
      </c>
      <c r="D9" s="206"/>
      <c r="E9" s="206"/>
      <c r="F9" s="207" t="s">
        <v>424</v>
      </c>
      <c r="G9" s="207" t="s">
        <v>436</v>
      </c>
      <c r="H9" s="207" t="s">
        <v>447</v>
      </c>
      <c r="I9" s="207" t="s">
        <v>456</v>
      </c>
      <c r="J9" s="207"/>
      <c r="K9" s="207" t="s">
        <v>471</v>
      </c>
      <c r="L9" s="207"/>
      <c r="M9" s="207" t="s">
        <v>489</v>
      </c>
      <c r="N9" s="207" t="s">
        <v>501</v>
      </c>
      <c r="O9" s="207" t="s">
        <v>515</v>
      </c>
      <c r="P9" s="207" t="s">
        <v>529</v>
      </c>
      <c r="Q9" s="207" t="s">
        <v>542</v>
      </c>
      <c r="R9" s="207"/>
      <c r="S9" s="207" t="s">
        <v>553</v>
      </c>
      <c r="T9" s="207" t="s">
        <v>564</v>
      </c>
      <c r="U9" s="207" t="s">
        <v>642</v>
      </c>
      <c r="V9" s="207" t="s">
        <v>643</v>
      </c>
      <c r="W9" s="207" t="s">
        <v>644</v>
      </c>
      <c r="X9" s="207" t="s">
        <v>645</v>
      </c>
      <c r="Y9" s="207" t="s">
        <v>646</v>
      </c>
      <c r="Z9" s="207" t="s">
        <v>647</v>
      </c>
      <c r="AA9" s="207" t="s">
        <v>648</v>
      </c>
      <c r="AB9" s="207" t="s">
        <v>649</v>
      </c>
      <c r="AC9" s="207" t="s">
        <v>740</v>
      </c>
      <c r="AD9" s="207" t="s">
        <v>741</v>
      </c>
      <c r="AE9" s="207" t="s">
        <v>501</v>
      </c>
      <c r="AF9" s="207" t="s">
        <v>841</v>
      </c>
      <c r="AG9" s="207" t="s">
        <v>645</v>
      </c>
      <c r="AH9" s="207" t="s">
        <v>842</v>
      </c>
      <c r="AI9" s="85"/>
      <c r="AJ9" s="85"/>
      <c r="AK9" s="85"/>
      <c r="AL9" s="207" t="s">
        <v>843</v>
      </c>
      <c r="AM9" s="207" t="s">
        <v>844</v>
      </c>
      <c r="AN9" s="85"/>
      <c r="AO9" s="85"/>
      <c r="AP9" s="85"/>
      <c r="AQ9" s="85"/>
      <c r="AR9" s="85"/>
      <c r="AS9" s="203"/>
      <c r="AT9" s="48" t="s">
        <v>933</v>
      </c>
      <c r="AU9" s="48" t="s">
        <v>829</v>
      </c>
      <c r="AV9" s="203"/>
      <c r="AW9" s="85"/>
      <c r="AX9" s="85"/>
      <c r="AY9" s="85"/>
      <c r="AZ9" s="85"/>
      <c r="BA9" s="85"/>
      <c r="BB9" s="85"/>
      <c r="BC9" s="85"/>
      <c r="BD9" s="85"/>
      <c r="BE9" s="85"/>
      <c r="BF9" s="85"/>
      <c r="BG9" s="85"/>
      <c r="BH9" s="85"/>
      <c r="BI9" s="85"/>
      <c r="BJ9" s="85"/>
      <c r="BK9" s="85"/>
      <c r="BL9" s="85"/>
      <c r="BM9" s="85"/>
      <c r="BN9" s="85"/>
      <c r="BO9" s="85"/>
      <c r="BP9" s="85"/>
      <c r="BQ9" s="85"/>
      <c r="BR9" s="85"/>
      <c r="BS9" s="85"/>
      <c r="BT9" s="85"/>
      <c r="BU9" s="85"/>
      <c r="BV9" s="85"/>
      <c r="BW9" s="85"/>
      <c r="BX9" s="85"/>
      <c r="BY9" s="85"/>
      <c r="BZ9" s="85"/>
      <c r="CA9" s="85"/>
    </row>
    <row r="10" spans="1:79" ht="60" x14ac:dyDescent="0.25">
      <c r="A10" s="85"/>
      <c r="B10" s="204"/>
      <c r="C10" s="206" t="s">
        <v>584</v>
      </c>
      <c r="D10" s="206"/>
      <c r="E10" s="206"/>
      <c r="F10" s="207" t="s">
        <v>425</v>
      </c>
      <c r="G10" s="207" t="s">
        <v>437</v>
      </c>
      <c r="H10" s="207" t="s">
        <v>448</v>
      </c>
      <c r="I10" s="207" t="s">
        <v>457</v>
      </c>
      <c r="J10" s="207"/>
      <c r="K10" s="207" t="s">
        <v>472</v>
      </c>
      <c r="L10" s="207"/>
      <c r="M10" s="207" t="s">
        <v>490</v>
      </c>
      <c r="N10" s="207" t="s">
        <v>502</v>
      </c>
      <c r="O10" s="207" t="s">
        <v>516</v>
      </c>
      <c r="P10" s="207" t="s">
        <v>530</v>
      </c>
      <c r="Q10" s="207" t="s">
        <v>543</v>
      </c>
      <c r="R10" s="207"/>
      <c r="S10" s="207" t="s">
        <v>554</v>
      </c>
      <c r="T10" s="207" t="s">
        <v>565</v>
      </c>
      <c r="U10" s="207" t="s">
        <v>650</v>
      </c>
      <c r="V10" s="207" t="s">
        <v>651</v>
      </c>
      <c r="W10" s="207" t="s">
        <v>652</v>
      </c>
      <c r="X10" s="207" t="s">
        <v>653</v>
      </c>
      <c r="Y10" s="207" t="s">
        <v>654</v>
      </c>
      <c r="Z10" s="207" t="s">
        <v>655</v>
      </c>
      <c r="AA10" s="207" t="s">
        <v>656</v>
      </c>
      <c r="AB10" s="207" t="s">
        <v>657</v>
      </c>
      <c r="AC10" s="207" t="s">
        <v>742</v>
      </c>
      <c r="AD10" s="207" t="s">
        <v>743</v>
      </c>
      <c r="AE10" s="207" t="s">
        <v>845</v>
      </c>
      <c r="AF10" s="207" t="s">
        <v>846</v>
      </c>
      <c r="AG10" s="207" t="s">
        <v>847</v>
      </c>
      <c r="AH10" s="207" t="s">
        <v>848</v>
      </c>
      <c r="AI10" s="85"/>
      <c r="AJ10" s="85"/>
      <c r="AK10" s="85"/>
      <c r="AL10" s="207" t="s">
        <v>849</v>
      </c>
      <c r="AM10" s="207" t="s">
        <v>796</v>
      </c>
      <c r="AN10" s="85"/>
      <c r="AO10" s="85"/>
      <c r="AP10" s="85"/>
      <c r="AQ10" s="85"/>
      <c r="AR10" s="85"/>
      <c r="AS10" s="85"/>
      <c r="AT10" s="48" t="s">
        <v>934</v>
      </c>
      <c r="AU10" s="48"/>
      <c r="AV10" s="203"/>
      <c r="AW10" s="85"/>
      <c r="AX10" s="85"/>
      <c r="AY10" s="85"/>
      <c r="AZ10" s="85"/>
      <c r="BA10" s="85"/>
      <c r="BB10" s="85"/>
      <c r="BC10" s="85"/>
      <c r="BD10" s="85"/>
      <c r="BE10" s="85"/>
      <c r="BF10" s="85"/>
      <c r="BG10" s="85"/>
      <c r="BH10" s="85"/>
      <c r="BI10" s="85"/>
      <c r="BJ10" s="85"/>
      <c r="BK10" s="85"/>
      <c r="BL10" s="85"/>
      <c r="BM10" s="85"/>
      <c r="BN10" s="85"/>
      <c r="BO10" s="85"/>
      <c r="BP10" s="85"/>
      <c r="BQ10" s="85"/>
      <c r="BR10" s="85"/>
      <c r="BS10" s="85"/>
      <c r="BT10" s="85"/>
      <c r="BU10" s="85"/>
      <c r="BV10" s="85"/>
      <c r="BW10" s="85"/>
      <c r="BX10" s="85"/>
      <c r="BY10" s="85"/>
      <c r="BZ10" s="85"/>
      <c r="CA10" s="85"/>
    </row>
    <row r="11" spans="1:79" ht="60" x14ac:dyDescent="0.25">
      <c r="A11" s="85"/>
      <c r="B11" s="204"/>
      <c r="C11" s="206" t="s">
        <v>585</v>
      </c>
      <c r="D11" s="206"/>
      <c r="E11" s="206"/>
      <c r="F11" s="207" t="s">
        <v>426</v>
      </c>
      <c r="G11" s="207" t="s">
        <v>438</v>
      </c>
      <c r="H11" s="207" t="s">
        <v>449</v>
      </c>
      <c r="I11" s="207" t="s">
        <v>458</v>
      </c>
      <c r="J11" s="207"/>
      <c r="K11" s="207" t="s">
        <v>473</v>
      </c>
      <c r="L11" s="207"/>
      <c r="M11" s="207" t="s">
        <v>491</v>
      </c>
      <c r="N11" s="207" t="s">
        <v>503</v>
      </c>
      <c r="O11" s="207" t="s">
        <v>517</v>
      </c>
      <c r="P11" s="207" t="s">
        <v>531</v>
      </c>
      <c r="Q11" s="207"/>
      <c r="R11" s="207"/>
      <c r="S11" s="207" t="s">
        <v>555</v>
      </c>
      <c r="T11" s="207" t="s">
        <v>566</v>
      </c>
      <c r="U11" s="207" t="s">
        <v>658</v>
      </c>
      <c r="V11" s="207" t="s">
        <v>659</v>
      </c>
      <c r="W11" s="207" t="s">
        <v>660</v>
      </c>
      <c r="X11" s="207" t="s">
        <v>661</v>
      </c>
      <c r="Y11" s="207" t="s">
        <v>477</v>
      </c>
      <c r="Z11" s="207" t="s">
        <v>662</v>
      </c>
      <c r="AA11" s="207" t="s">
        <v>663</v>
      </c>
      <c r="AB11" s="207" t="s">
        <v>664</v>
      </c>
      <c r="AC11" s="207" t="s">
        <v>744</v>
      </c>
      <c r="AD11" s="207" t="s">
        <v>745</v>
      </c>
      <c r="AE11" s="207" t="s">
        <v>850</v>
      </c>
      <c r="AF11" s="207" t="s">
        <v>851</v>
      </c>
      <c r="AG11" s="207" t="s">
        <v>852</v>
      </c>
      <c r="AH11" s="207" t="s">
        <v>853</v>
      </c>
      <c r="AI11" s="85"/>
      <c r="AJ11" s="85"/>
      <c r="AK11" s="85"/>
      <c r="AL11" s="85"/>
      <c r="AM11" s="207" t="s">
        <v>836</v>
      </c>
      <c r="AN11" s="85"/>
      <c r="AO11" s="85"/>
      <c r="AP11" s="85"/>
      <c r="AQ11" s="85"/>
      <c r="AR11" s="85"/>
      <c r="AS11" s="85"/>
      <c r="AT11" s="48" t="s">
        <v>935</v>
      </c>
      <c r="AU11" s="48"/>
      <c r="AV11" s="203"/>
      <c r="AW11" s="85"/>
      <c r="AX11" s="85"/>
      <c r="AY11" s="85"/>
      <c r="AZ11" s="85"/>
      <c r="BA11" s="85"/>
      <c r="BB11" s="85"/>
      <c r="BC11" s="85"/>
      <c r="BD11" s="85"/>
      <c r="BE11" s="85"/>
      <c r="BF11" s="85"/>
      <c r="BG11" s="85"/>
      <c r="BH11" s="85"/>
      <c r="BI11" s="85"/>
      <c r="BJ11" s="85"/>
      <c r="BK11" s="85"/>
      <c r="BL11" s="85"/>
      <c r="BM11" s="85"/>
      <c r="BN11" s="85"/>
      <c r="BO11" s="85"/>
      <c r="BP11" s="85"/>
      <c r="BQ11" s="85"/>
      <c r="BR11" s="85"/>
      <c r="BS11" s="85"/>
      <c r="BT11" s="85"/>
      <c r="BU11" s="85"/>
      <c r="BV11" s="85"/>
      <c r="BW11" s="85"/>
      <c r="BX11" s="85"/>
      <c r="BY11" s="85"/>
      <c r="BZ11" s="85"/>
      <c r="CA11" s="85"/>
    </row>
    <row r="12" spans="1:79" ht="60" x14ac:dyDescent="0.25">
      <c r="A12" s="85"/>
      <c r="B12" s="204"/>
      <c r="C12" s="206" t="s">
        <v>586</v>
      </c>
      <c r="D12" s="206"/>
      <c r="E12" s="206"/>
      <c r="F12" s="207" t="s">
        <v>427</v>
      </c>
      <c r="G12" s="207" t="s">
        <v>439</v>
      </c>
      <c r="H12" s="207"/>
      <c r="I12" s="207" t="s">
        <v>459</v>
      </c>
      <c r="J12" s="207"/>
      <c r="K12" s="207" t="s">
        <v>474</v>
      </c>
      <c r="L12" s="207"/>
      <c r="M12" s="207" t="s">
        <v>492</v>
      </c>
      <c r="N12" s="207" t="s">
        <v>504</v>
      </c>
      <c r="O12" s="207" t="s">
        <v>518</v>
      </c>
      <c r="P12" s="207" t="s">
        <v>532</v>
      </c>
      <c r="Q12" s="207"/>
      <c r="R12" s="207"/>
      <c r="S12" s="207" t="s">
        <v>556</v>
      </c>
      <c r="T12" s="207" t="s">
        <v>567</v>
      </c>
      <c r="U12" s="207" t="s">
        <v>665</v>
      </c>
      <c r="V12" s="207" t="s">
        <v>666</v>
      </c>
      <c r="W12" s="207" t="s">
        <v>667</v>
      </c>
      <c r="X12" s="207" t="s">
        <v>668</v>
      </c>
      <c r="Y12" s="207" t="s">
        <v>669</v>
      </c>
      <c r="Z12" s="207" t="s">
        <v>670</v>
      </c>
      <c r="AA12" s="207" t="s">
        <v>671</v>
      </c>
      <c r="AB12" s="207" t="s">
        <v>672</v>
      </c>
      <c r="AC12" s="207" t="s">
        <v>746</v>
      </c>
      <c r="AD12" s="207" t="s">
        <v>747</v>
      </c>
      <c r="AE12" s="207" t="s">
        <v>854</v>
      </c>
      <c r="AF12" s="207" t="s">
        <v>855</v>
      </c>
      <c r="AG12" s="207" t="s">
        <v>856</v>
      </c>
      <c r="AH12" s="207" t="s">
        <v>857</v>
      </c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48" t="s">
        <v>703</v>
      </c>
      <c r="AU12" s="48"/>
      <c r="AV12" s="203"/>
      <c r="AW12" s="85"/>
      <c r="AX12" s="85"/>
      <c r="AY12" s="85"/>
      <c r="AZ12" s="85"/>
      <c r="BA12" s="85"/>
      <c r="BB12" s="85"/>
      <c r="BC12" s="85"/>
      <c r="BD12" s="85"/>
      <c r="BE12" s="85"/>
      <c r="BF12" s="85"/>
      <c r="BG12" s="85"/>
      <c r="BH12" s="85"/>
      <c r="BI12" s="85"/>
      <c r="BJ12" s="85"/>
      <c r="BK12" s="85"/>
      <c r="BL12" s="85"/>
      <c r="BM12" s="85"/>
      <c r="BN12" s="85"/>
      <c r="BO12" s="85"/>
      <c r="BP12" s="85"/>
      <c r="BQ12" s="85"/>
      <c r="BR12" s="85"/>
      <c r="BS12" s="85"/>
      <c r="BT12" s="85"/>
      <c r="BU12" s="85"/>
      <c r="BV12" s="85"/>
      <c r="BW12" s="85"/>
      <c r="BX12" s="85"/>
      <c r="BY12" s="85"/>
      <c r="BZ12" s="85"/>
      <c r="CA12" s="85"/>
    </row>
    <row r="13" spans="1:79" ht="60" x14ac:dyDescent="0.25">
      <c r="A13" s="85"/>
      <c r="B13" s="204"/>
      <c r="C13" s="206" t="s">
        <v>587</v>
      </c>
      <c r="D13" s="206"/>
      <c r="E13" s="206"/>
      <c r="F13" s="207" t="s">
        <v>428</v>
      </c>
      <c r="G13" s="207" t="s">
        <v>440</v>
      </c>
      <c r="H13" s="207"/>
      <c r="I13" s="207" t="s">
        <v>460</v>
      </c>
      <c r="J13" s="207"/>
      <c r="K13" s="207" t="s">
        <v>475</v>
      </c>
      <c r="L13" s="207"/>
      <c r="M13" s="207" t="s">
        <v>493</v>
      </c>
      <c r="N13" s="207" t="s">
        <v>505</v>
      </c>
      <c r="O13" s="207" t="s">
        <v>519</v>
      </c>
      <c r="P13" s="207" t="s">
        <v>533</v>
      </c>
      <c r="Q13" s="207"/>
      <c r="R13" s="207"/>
      <c r="S13" s="207" t="s">
        <v>557</v>
      </c>
      <c r="T13" s="207" t="s">
        <v>568</v>
      </c>
      <c r="U13" s="207" t="s">
        <v>673</v>
      </c>
      <c r="V13" s="207" t="s">
        <v>674</v>
      </c>
      <c r="W13" s="207" t="s">
        <v>675</v>
      </c>
      <c r="X13" s="207" t="s">
        <v>676</v>
      </c>
      <c r="Y13" s="207" t="s">
        <v>677</v>
      </c>
      <c r="Z13" s="207" t="s">
        <v>678</v>
      </c>
      <c r="AA13" s="207" t="s">
        <v>679</v>
      </c>
      <c r="AB13" s="206"/>
      <c r="AC13" s="207" t="s">
        <v>748</v>
      </c>
      <c r="AD13" s="207" t="s">
        <v>749</v>
      </c>
      <c r="AE13" s="207" t="s">
        <v>858</v>
      </c>
      <c r="AF13" s="207" t="s">
        <v>859</v>
      </c>
      <c r="AG13" s="207" t="s">
        <v>860</v>
      </c>
      <c r="AH13" s="207" t="s">
        <v>861</v>
      </c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48"/>
      <c r="AU13" s="48"/>
      <c r="AV13" s="203"/>
      <c r="AW13" s="85"/>
      <c r="AX13" s="85"/>
      <c r="AY13" s="85"/>
      <c r="AZ13" s="85"/>
      <c r="BA13" s="85"/>
      <c r="BB13" s="85"/>
      <c r="BC13" s="85"/>
      <c r="BD13" s="85"/>
      <c r="BE13" s="85"/>
      <c r="BF13" s="85"/>
      <c r="BG13" s="85"/>
      <c r="BH13" s="85"/>
      <c r="BI13" s="85"/>
      <c r="BJ13" s="85"/>
      <c r="BK13" s="85"/>
      <c r="BL13" s="85"/>
      <c r="BM13" s="85"/>
      <c r="BN13" s="85"/>
      <c r="BO13" s="85"/>
      <c r="BP13" s="85"/>
      <c r="BQ13" s="85"/>
      <c r="BR13" s="85"/>
      <c r="BS13" s="85"/>
      <c r="BT13" s="85"/>
      <c r="BU13" s="85"/>
      <c r="BV13" s="85"/>
      <c r="BW13" s="85"/>
      <c r="BX13" s="85"/>
      <c r="BY13" s="85"/>
      <c r="BZ13" s="85"/>
      <c r="CA13" s="85"/>
    </row>
    <row r="14" spans="1:79" ht="60" x14ac:dyDescent="0.25">
      <c r="A14" s="85"/>
      <c r="B14" s="204"/>
      <c r="C14" s="206" t="s">
        <v>588</v>
      </c>
      <c r="D14" s="206"/>
      <c r="E14" s="206"/>
      <c r="F14" s="207" t="s">
        <v>429</v>
      </c>
      <c r="G14" s="207"/>
      <c r="H14" s="207"/>
      <c r="I14" s="207" t="s">
        <v>443</v>
      </c>
      <c r="J14" s="207"/>
      <c r="K14" s="207" t="s">
        <v>476</v>
      </c>
      <c r="L14" s="207"/>
      <c r="M14" s="207" t="s">
        <v>494</v>
      </c>
      <c r="N14" s="207" t="s">
        <v>506</v>
      </c>
      <c r="O14" s="207" t="s">
        <v>522</v>
      </c>
      <c r="P14" s="207" t="s">
        <v>536</v>
      </c>
      <c r="Q14" s="207"/>
      <c r="R14" s="207"/>
      <c r="S14" s="207"/>
      <c r="T14" s="207" t="s">
        <v>569</v>
      </c>
      <c r="U14" s="207" t="s">
        <v>680</v>
      </c>
      <c r="V14" s="207" t="s">
        <v>674</v>
      </c>
      <c r="W14" s="207"/>
      <c r="X14" s="207" t="s">
        <v>681</v>
      </c>
      <c r="Y14" s="207" t="s">
        <v>682</v>
      </c>
      <c r="Z14" s="207" t="s">
        <v>683</v>
      </c>
      <c r="AA14" s="207" t="s">
        <v>684</v>
      </c>
      <c r="AB14" s="206"/>
      <c r="AC14" s="207" t="s">
        <v>750</v>
      </c>
      <c r="AD14" s="206"/>
      <c r="AE14" s="207" t="s">
        <v>862</v>
      </c>
      <c r="AF14" s="207" t="s">
        <v>863</v>
      </c>
      <c r="AG14" s="207" t="s">
        <v>864</v>
      </c>
      <c r="AH14" s="207" t="s">
        <v>865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48"/>
      <c r="AU14" s="48"/>
      <c r="AV14" s="203"/>
      <c r="AW14" s="85"/>
      <c r="AX14" s="85"/>
      <c r="AY14" s="85"/>
      <c r="AZ14" s="85"/>
      <c r="BA14" s="85"/>
      <c r="BB14" s="85"/>
      <c r="BC14" s="85"/>
      <c r="BD14" s="85"/>
      <c r="BE14" s="85"/>
      <c r="BF14" s="85"/>
      <c r="BG14" s="85"/>
      <c r="BH14" s="85"/>
      <c r="BI14" s="85"/>
      <c r="BJ14" s="85"/>
      <c r="BK14" s="85"/>
      <c r="BL14" s="85"/>
      <c r="BM14" s="85"/>
      <c r="BN14" s="85"/>
      <c r="BO14" s="85"/>
      <c r="BP14" s="85"/>
      <c r="BQ14" s="85"/>
      <c r="BR14" s="85"/>
      <c r="BS14" s="85"/>
      <c r="BT14" s="85"/>
      <c r="BU14" s="85"/>
      <c r="BV14" s="85"/>
      <c r="BW14" s="85"/>
      <c r="BX14" s="85"/>
      <c r="BY14" s="85"/>
      <c r="BZ14" s="85"/>
      <c r="CA14" s="85"/>
    </row>
    <row r="15" spans="1:79" ht="75" x14ac:dyDescent="0.25">
      <c r="A15" s="85"/>
      <c r="B15" s="204"/>
      <c r="C15" s="206" t="s">
        <v>589</v>
      </c>
      <c r="D15" s="206"/>
      <c r="E15" s="206"/>
      <c r="F15" s="207"/>
      <c r="G15" s="207"/>
      <c r="H15" s="207"/>
      <c r="I15" s="207" t="s">
        <v>463</v>
      </c>
      <c r="J15" s="207"/>
      <c r="K15" s="207" t="s">
        <v>477</v>
      </c>
      <c r="L15" s="207"/>
      <c r="M15" s="207"/>
      <c r="N15" s="207" t="s">
        <v>507</v>
      </c>
      <c r="O15" s="207" t="s">
        <v>520</v>
      </c>
      <c r="P15" s="207" t="s">
        <v>534</v>
      </c>
      <c r="Q15" s="207"/>
      <c r="R15" s="207"/>
      <c r="S15" s="207"/>
      <c r="T15" s="207" t="s">
        <v>570</v>
      </c>
      <c r="U15" s="207" t="s">
        <v>685</v>
      </c>
      <c r="V15" s="207" t="s">
        <v>686</v>
      </c>
      <c r="W15" s="207"/>
      <c r="X15" s="207" t="s">
        <v>687</v>
      </c>
      <c r="Y15" s="207" t="s">
        <v>688</v>
      </c>
      <c r="Z15" s="207" t="s">
        <v>689</v>
      </c>
      <c r="AA15" s="207" t="s">
        <v>690</v>
      </c>
      <c r="AB15" s="206"/>
      <c r="AC15" s="207" t="s">
        <v>751</v>
      </c>
      <c r="AD15" s="206"/>
      <c r="AE15" s="207" t="s">
        <v>866</v>
      </c>
      <c r="AF15" s="207" t="s">
        <v>867</v>
      </c>
      <c r="AG15" s="207" t="s">
        <v>868</v>
      </c>
      <c r="AH15" s="207" t="s">
        <v>869</v>
      </c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48"/>
      <c r="AU15" s="48"/>
      <c r="AV15" s="203"/>
      <c r="AW15" s="85"/>
      <c r="AX15" s="85"/>
      <c r="AY15" s="85"/>
      <c r="AZ15" s="85"/>
      <c r="BA15" s="85"/>
      <c r="BB15" s="85"/>
      <c r="BC15" s="85"/>
      <c r="BD15" s="85"/>
      <c r="BE15" s="85"/>
      <c r="BF15" s="85"/>
      <c r="BG15" s="85"/>
      <c r="BH15" s="85"/>
      <c r="BI15" s="85"/>
      <c r="BJ15" s="85"/>
      <c r="BK15" s="85"/>
      <c r="BL15" s="85"/>
      <c r="BM15" s="85"/>
      <c r="BN15" s="85"/>
      <c r="BO15" s="85"/>
      <c r="BP15" s="85"/>
      <c r="BQ15" s="85"/>
      <c r="BR15" s="85"/>
      <c r="BS15" s="85"/>
      <c r="BT15" s="85"/>
      <c r="BU15" s="85"/>
      <c r="BV15" s="85"/>
      <c r="BW15" s="85"/>
      <c r="BX15" s="85"/>
      <c r="BY15" s="85"/>
      <c r="BZ15" s="85"/>
      <c r="CA15" s="85"/>
    </row>
    <row r="16" spans="1:79" ht="75" x14ac:dyDescent="0.25">
      <c r="A16" s="85"/>
      <c r="B16" s="204"/>
      <c r="C16" s="206" t="s">
        <v>691</v>
      </c>
      <c r="D16" s="206"/>
      <c r="E16" s="206"/>
      <c r="F16" s="207"/>
      <c r="G16" s="207"/>
      <c r="H16" s="207"/>
      <c r="I16" s="207" t="s">
        <v>464</v>
      </c>
      <c r="J16" s="207"/>
      <c r="K16" s="207" t="s">
        <v>478</v>
      </c>
      <c r="L16" s="207"/>
      <c r="M16" s="207"/>
      <c r="N16" s="207" t="s">
        <v>508</v>
      </c>
      <c r="O16" s="207" t="s">
        <v>521</v>
      </c>
      <c r="P16" s="207" t="s">
        <v>535</v>
      </c>
      <c r="Q16" s="207"/>
      <c r="R16" s="207"/>
      <c r="S16" s="207"/>
      <c r="T16" s="207" t="s">
        <v>571</v>
      </c>
      <c r="U16" s="207" t="s">
        <v>692</v>
      </c>
      <c r="V16" s="207" t="s">
        <v>693</v>
      </c>
      <c r="W16" s="207"/>
      <c r="X16" s="207" t="s">
        <v>694</v>
      </c>
      <c r="Y16" s="207" t="s">
        <v>695</v>
      </c>
      <c r="Z16" s="207" t="s">
        <v>696</v>
      </c>
      <c r="AA16" s="206"/>
      <c r="AB16" s="206"/>
      <c r="AC16" s="207" t="s">
        <v>752</v>
      </c>
      <c r="AD16" s="206"/>
      <c r="AE16" s="207" t="s">
        <v>870</v>
      </c>
      <c r="AF16" s="207" t="s">
        <v>871</v>
      </c>
      <c r="AG16" s="207" t="s">
        <v>872</v>
      </c>
      <c r="AH16" s="207" t="s">
        <v>873</v>
      </c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48"/>
      <c r="AU16" s="48"/>
      <c r="AV16" s="203"/>
      <c r="AW16" s="85"/>
      <c r="AX16" s="85"/>
      <c r="AY16" s="85"/>
      <c r="AZ16" s="85"/>
      <c r="BA16" s="85"/>
      <c r="BB16" s="85"/>
      <c r="BC16" s="85"/>
      <c r="BD16" s="85"/>
      <c r="BE16" s="85"/>
      <c r="BF16" s="85"/>
      <c r="BG16" s="85"/>
      <c r="BH16" s="85"/>
      <c r="BI16" s="85"/>
      <c r="BJ16" s="85"/>
      <c r="BK16" s="85"/>
      <c r="BL16" s="85"/>
      <c r="BM16" s="85"/>
      <c r="BN16" s="85"/>
      <c r="BO16" s="85"/>
      <c r="BP16" s="85"/>
      <c r="BQ16" s="85"/>
      <c r="BR16" s="85"/>
      <c r="BS16" s="85"/>
      <c r="BT16" s="85"/>
      <c r="BU16" s="85"/>
      <c r="BV16" s="85"/>
      <c r="BW16" s="85"/>
      <c r="BX16" s="85"/>
      <c r="BY16" s="85"/>
      <c r="BZ16" s="85"/>
      <c r="CA16" s="85"/>
    </row>
    <row r="17" spans="1:79" ht="45" x14ac:dyDescent="0.25">
      <c r="A17" s="85"/>
      <c r="B17" s="204"/>
      <c r="C17" s="206" t="s">
        <v>590</v>
      </c>
      <c r="D17" s="206"/>
      <c r="E17" s="206"/>
      <c r="F17" s="207"/>
      <c r="G17" s="207"/>
      <c r="H17" s="207"/>
      <c r="I17" s="207"/>
      <c r="J17" s="207"/>
      <c r="K17" s="207"/>
      <c r="L17" s="207"/>
      <c r="M17" s="207"/>
      <c r="N17" s="207"/>
      <c r="O17" s="207"/>
      <c r="P17" s="207"/>
      <c r="Q17" s="207"/>
      <c r="R17" s="207"/>
      <c r="S17" s="207"/>
      <c r="T17" s="207"/>
      <c r="U17" s="207" t="s">
        <v>697</v>
      </c>
      <c r="V17" s="207" t="s">
        <v>698</v>
      </c>
      <c r="W17" s="207"/>
      <c r="X17" s="207" t="s">
        <v>699</v>
      </c>
      <c r="Y17" s="207" t="s">
        <v>700</v>
      </c>
      <c r="Z17" s="207" t="s">
        <v>701</v>
      </c>
      <c r="AA17" s="206"/>
      <c r="AB17" s="206"/>
      <c r="AC17" s="207" t="s">
        <v>753</v>
      </c>
      <c r="AD17" s="206"/>
      <c r="AE17" s="207" t="s">
        <v>874</v>
      </c>
      <c r="AF17" s="207" t="s">
        <v>875</v>
      </c>
      <c r="AG17" s="207" t="s">
        <v>876</v>
      </c>
      <c r="AH17" s="207" t="s">
        <v>500</v>
      </c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48"/>
      <c r="AU17" s="48"/>
      <c r="AV17" s="203"/>
      <c r="AW17" s="85"/>
      <c r="AX17" s="85"/>
      <c r="AY17" s="85"/>
      <c r="AZ17" s="85"/>
      <c r="BA17" s="85"/>
      <c r="BB17" s="85"/>
      <c r="BC17" s="85"/>
      <c r="BD17" s="85"/>
      <c r="BE17" s="85"/>
      <c r="BF17" s="85"/>
      <c r="BG17" s="85"/>
      <c r="BH17" s="85"/>
      <c r="BI17" s="85"/>
      <c r="BJ17" s="85"/>
      <c r="BK17" s="85"/>
      <c r="BL17" s="85"/>
      <c r="BM17" s="85"/>
      <c r="BN17" s="85"/>
      <c r="BO17" s="85"/>
      <c r="BP17" s="85"/>
      <c r="BQ17" s="85"/>
      <c r="BR17" s="85"/>
      <c r="BS17" s="85"/>
      <c r="BT17" s="85"/>
      <c r="BU17" s="85"/>
      <c r="BV17" s="85"/>
      <c r="BW17" s="85"/>
      <c r="BX17" s="85"/>
      <c r="BY17" s="85"/>
      <c r="BZ17" s="85"/>
      <c r="CA17" s="85"/>
    </row>
    <row r="18" spans="1:79" ht="60" x14ac:dyDescent="0.25">
      <c r="A18" s="85"/>
      <c r="B18" s="204"/>
      <c r="C18" s="206" t="s">
        <v>591</v>
      </c>
      <c r="D18" s="206"/>
      <c r="E18" s="206"/>
      <c r="F18" s="207"/>
      <c r="G18" s="207"/>
      <c r="H18" s="207"/>
      <c r="I18" s="207"/>
      <c r="J18" s="207"/>
      <c r="K18" s="207"/>
      <c r="L18" s="207"/>
      <c r="M18" s="207"/>
      <c r="N18" s="207"/>
      <c r="O18" s="207"/>
      <c r="P18" s="207"/>
      <c r="Q18" s="207"/>
      <c r="R18" s="207"/>
      <c r="S18" s="207"/>
      <c r="T18" s="207"/>
      <c r="U18" s="207" t="s">
        <v>702</v>
      </c>
      <c r="V18" s="207" t="s">
        <v>477</v>
      </c>
      <c r="W18" s="207"/>
      <c r="X18" s="207" t="s">
        <v>703</v>
      </c>
      <c r="Y18" s="207" t="s">
        <v>704</v>
      </c>
      <c r="Z18" s="207" t="s">
        <v>705</v>
      </c>
      <c r="AA18" s="206"/>
      <c r="AB18" s="206"/>
      <c r="AC18" s="207" t="s">
        <v>754</v>
      </c>
      <c r="AD18" s="206"/>
      <c r="AE18" s="207" t="s">
        <v>877</v>
      </c>
      <c r="AF18" s="207" t="s">
        <v>878</v>
      </c>
      <c r="AG18" s="207" t="s">
        <v>879</v>
      </c>
      <c r="AH18" s="207" t="s">
        <v>501</v>
      </c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48"/>
      <c r="AU18" s="48"/>
      <c r="AV18" s="203"/>
      <c r="AW18" s="85"/>
      <c r="AX18" s="85"/>
      <c r="AY18" s="85"/>
      <c r="AZ18" s="85"/>
      <c r="BA18" s="85"/>
      <c r="BB18" s="85"/>
      <c r="BC18" s="85"/>
      <c r="BD18" s="85"/>
      <c r="BE18" s="85"/>
      <c r="BF18" s="85"/>
      <c r="BG18" s="85"/>
      <c r="BH18" s="85"/>
      <c r="BI18" s="85"/>
      <c r="BJ18" s="85"/>
      <c r="BK18" s="85"/>
      <c r="BL18" s="85"/>
      <c r="BM18" s="85"/>
      <c r="BN18" s="85"/>
      <c r="BO18" s="85"/>
      <c r="BP18" s="85"/>
      <c r="BQ18" s="85"/>
      <c r="BR18" s="85"/>
      <c r="BS18" s="85"/>
      <c r="BT18" s="85"/>
      <c r="BU18" s="85"/>
      <c r="BV18" s="85"/>
      <c r="BW18" s="85"/>
      <c r="BX18" s="85"/>
      <c r="BY18" s="85"/>
      <c r="BZ18" s="85"/>
      <c r="CA18" s="85"/>
    </row>
    <row r="19" spans="1:79" ht="60" x14ac:dyDescent="0.25">
      <c r="A19" s="85"/>
      <c r="B19" s="204"/>
      <c r="C19" s="206" t="s">
        <v>592</v>
      </c>
      <c r="D19" s="206"/>
      <c r="E19" s="206"/>
      <c r="F19" s="207"/>
      <c r="G19" s="207"/>
      <c r="H19" s="207"/>
      <c r="I19" s="207"/>
      <c r="J19" s="207"/>
      <c r="K19" s="207"/>
      <c r="L19" s="207"/>
      <c r="M19" s="207"/>
      <c r="N19" s="207"/>
      <c r="O19" s="207"/>
      <c r="P19" s="207"/>
      <c r="Q19" s="207"/>
      <c r="R19" s="207"/>
      <c r="S19" s="207"/>
      <c r="T19" s="207"/>
      <c r="U19" s="207"/>
      <c r="V19" s="207" t="s">
        <v>706</v>
      </c>
      <c r="W19" s="207"/>
      <c r="X19" s="207" t="s">
        <v>707</v>
      </c>
      <c r="Y19" s="207" t="s">
        <v>708</v>
      </c>
      <c r="Z19" s="207" t="s">
        <v>709</v>
      </c>
      <c r="AA19" s="206"/>
      <c r="AB19" s="206"/>
      <c r="AC19" s="207" t="s">
        <v>725</v>
      </c>
      <c r="AD19" s="206"/>
      <c r="AE19" s="207" t="s">
        <v>880</v>
      </c>
      <c r="AF19" s="207" t="s">
        <v>881</v>
      </c>
      <c r="AG19" s="207" t="s">
        <v>864</v>
      </c>
      <c r="AH19" s="207" t="s">
        <v>645</v>
      </c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48"/>
      <c r="AU19" s="48"/>
      <c r="AV19" s="203"/>
      <c r="AW19" s="85"/>
      <c r="AX19" s="85"/>
      <c r="AY19" s="85"/>
      <c r="AZ19" s="85"/>
      <c r="BA19" s="85"/>
      <c r="BB19" s="85"/>
      <c r="BC19" s="85"/>
      <c r="BD19" s="85"/>
      <c r="BE19" s="85"/>
      <c r="BF19" s="85"/>
      <c r="BG19" s="85"/>
      <c r="BH19" s="85"/>
      <c r="BI19" s="85"/>
      <c r="BJ19" s="85"/>
      <c r="BK19" s="85"/>
      <c r="BL19" s="85"/>
      <c r="BM19" s="85"/>
      <c r="BN19" s="85"/>
      <c r="BO19" s="85"/>
      <c r="BP19" s="85"/>
      <c r="BQ19" s="85"/>
      <c r="BR19" s="85"/>
      <c r="BS19" s="85"/>
      <c r="BT19" s="85"/>
      <c r="BU19" s="85"/>
      <c r="BV19" s="85"/>
      <c r="BW19" s="85"/>
      <c r="BX19" s="85"/>
      <c r="BY19" s="85"/>
      <c r="BZ19" s="85"/>
      <c r="CA19" s="85"/>
    </row>
    <row r="20" spans="1:79" ht="60" x14ac:dyDescent="0.25">
      <c r="A20" s="85"/>
      <c r="B20" s="204"/>
      <c r="C20" s="206" t="s">
        <v>710</v>
      </c>
      <c r="D20" s="206"/>
      <c r="E20" s="206"/>
      <c r="F20" s="207"/>
      <c r="G20" s="207"/>
      <c r="H20" s="207"/>
      <c r="I20" s="207"/>
      <c r="J20" s="207"/>
      <c r="K20" s="207"/>
      <c r="L20" s="207"/>
      <c r="M20" s="207"/>
      <c r="N20" s="207"/>
      <c r="O20" s="207"/>
      <c r="P20" s="207"/>
      <c r="Q20" s="207"/>
      <c r="R20" s="207"/>
      <c r="S20" s="207"/>
      <c r="T20" s="207"/>
      <c r="U20" s="207"/>
      <c r="V20" s="207" t="s">
        <v>711</v>
      </c>
      <c r="W20" s="207"/>
      <c r="X20" s="207"/>
      <c r="Y20" s="207" t="s">
        <v>712</v>
      </c>
      <c r="Z20" s="207" t="s">
        <v>713</v>
      </c>
      <c r="AA20" s="206"/>
      <c r="AB20" s="206"/>
      <c r="AC20" s="206"/>
      <c r="AD20" s="206"/>
      <c r="AE20" s="207" t="s">
        <v>882</v>
      </c>
      <c r="AF20" s="207" t="s">
        <v>883</v>
      </c>
      <c r="AG20" s="207" t="s">
        <v>884</v>
      </c>
      <c r="AH20" s="207" t="s">
        <v>885</v>
      </c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48"/>
      <c r="AU20" s="48"/>
      <c r="AV20" s="203"/>
      <c r="AW20" s="85"/>
      <c r="AX20" s="85"/>
      <c r="AY20" s="85"/>
      <c r="AZ20" s="85"/>
      <c r="BA20" s="85"/>
      <c r="BB20" s="85"/>
      <c r="BC20" s="85"/>
      <c r="BD20" s="85"/>
      <c r="BE20" s="85"/>
      <c r="BF20" s="85"/>
      <c r="BG20" s="85"/>
      <c r="BH20" s="85"/>
      <c r="BI20" s="85"/>
      <c r="BJ20" s="85"/>
      <c r="BK20" s="85"/>
      <c r="BL20" s="85"/>
      <c r="BM20" s="85"/>
      <c r="BN20" s="85"/>
      <c r="BO20" s="85"/>
      <c r="BP20" s="85"/>
      <c r="BQ20" s="85"/>
      <c r="BR20" s="85"/>
      <c r="BS20" s="85"/>
      <c r="BT20" s="85"/>
      <c r="BU20" s="85"/>
      <c r="BV20" s="85"/>
      <c r="BW20" s="85"/>
      <c r="BX20" s="85"/>
      <c r="BY20" s="85"/>
      <c r="BZ20" s="85"/>
      <c r="CA20" s="85"/>
    </row>
    <row r="21" spans="1:79" ht="60" x14ac:dyDescent="0.25">
      <c r="A21" s="85"/>
      <c r="B21" s="204"/>
      <c r="C21" s="206" t="s">
        <v>593</v>
      </c>
      <c r="D21" s="206"/>
      <c r="E21" s="206"/>
      <c r="F21" s="207"/>
      <c r="G21" s="207"/>
      <c r="H21" s="207"/>
      <c r="I21" s="207"/>
      <c r="J21" s="207"/>
      <c r="K21" s="207"/>
      <c r="L21" s="207"/>
      <c r="M21" s="207"/>
      <c r="N21" s="207"/>
      <c r="O21" s="207"/>
      <c r="P21" s="207"/>
      <c r="Q21" s="207"/>
      <c r="R21" s="207"/>
      <c r="S21" s="207"/>
      <c r="T21" s="207"/>
      <c r="U21" s="207"/>
      <c r="V21" s="207" t="s">
        <v>714</v>
      </c>
      <c r="W21" s="207"/>
      <c r="X21" s="207"/>
      <c r="Y21" s="207" t="s">
        <v>715</v>
      </c>
      <c r="Z21" s="207" t="s">
        <v>716</v>
      </c>
      <c r="AA21" s="206"/>
      <c r="AB21" s="206"/>
      <c r="AC21" s="206"/>
      <c r="AD21" s="206"/>
      <c r="AE21" s="207" t="s">
        <v>707</v>
      </c>
      <c r="AF21" s="207" t="s">
        <v>886</v>
      </c>
      <c r="AG21" s="207" t="s">
        <v>887</v>
      </c>
      <c r="AH21" s="207" t="s">
        <v>888</v>
      </c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48"/>
      <c r="AU21" s="48"/>
      <c r="AV21" s="203"/>
      <c r="AW21" s="85"/>
      <c r="AX21" s="85"/>
      <c r="AY21" s="85"/>
      <c r="AZ21" s="85"/>
      <c r="BA21" s="85"/>
      <c r="BB21" s="85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</row>
    <row r="22" spans="1:79" ht="60" x14ac:dyDescent="0.25">
      <c r="A22" s="85"/>
      <c r="B22" s="204"/>
      <c r="C22" s="206" t="s">
        <v>594</v>
      </c>
      <c r="D22" s="206"/>
      <c r="E22" s="206"/>
      <c r="F22" s="207"/>
      <c r="G22" s="207"/>
      <c r="H22" s="207"/>
      <c r="I22" s="207"/>
      <c r="J22" s="207"/>
      <c r="K22" s="207"/>
      <c r="L22" s="207"/>
      <c r="M22" s="207"/>
      <c r="N22" s="207"/>
      <c r="O22" s="207"/>
      <c r="P22" s="207"/>
      <c r="Q22" s="207"/>
      <c r="R22" s="207"/>
      <c r="S22" s="207"/>
      <c r="T22" s="207"/>
      <c r="U22" s="207"/>
      <c r="V22" s="207" t="s">
        <v>717</v>
      </c>
      <c r="W22" s="207"/>
      <c r="X22" s="207"/>
      <c r="Y22" s="207" t="s">
        <v>718</v>
      </c>
      <c r="Z22" s="207" t="s">
        <v>719</v>
      </c>
      <c r="AA22" s="206"/>
      <c r="AB22" s="206"/>
      <c r="AC22" s="206"/>
      <c r="AD22" s="206"/>
      <c r="AE22" s="207" t="s">
        <v>725</v>
      </c>
      <c r="AF22" s="207" t="s">
        <v>889</v>
      </c>
      <c r="AG22" s="207" t="s">
        <v>725</v>
      </c>
      <c r="AH22" s="207" t="s">
        <v>890</v>
      </c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48"/>
      <c r="AU22" s="48"/>
      <c r="AV22" s="203"/>
      <c r="AW22" s="85"/>
      <c r="AX22" s="85"/>
      <c r="AY22" s="85"/>
      <c r="AZ22" s="85"/>
      <c r="BA22" s="85"/>
      <c r="BB22" s="85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</row>
    <row r="23" spans="1:79" ht="60" x14ac:dyDescent="0.25">
      <c r="A23" s="85"/>
      <c r="B23" s="204"/>
      <c r="C23" s="206" t="s">
        <v>595</v>
      </c>
      <c r="D23" s="206"/>
      <c r="E23" s="206"/>
      <c r="F23" s="207"/>
      <c r="G23" s="207"/>
      <c r="H23" s="207"/>
      <c r="I23" s="207"/>
      <c r="J23" s="207"/>
      <c r="K23" s="207"/>
      <c r="L23" s="207"/>
      <c r="M23" s="207"/>
      <c r="N23" s="207"/>
      <c r="O23" s="207"/>
      <c r="P23" s="207"/>
      <c r="Q23" s="207"/>
      <c r="R23" s="207"/>
      <c r="S23" s="207"/>
      <c r="T23" s="207"/>
      <c r="U23" s="207"/>
      <c r="V23" s="207" t="s">
        <v>720</v>
      </c>
      <c r="W23" s="207"/>
      <c r="X23" s="207"/>
      <c r="Y23" s="207" t="s">
        <v>721</v>
      </c>
      <c r="Z23" s="207" t="s">
        <v>722</v>
      </c>
      <c r="AA23" s="206"/>
      <c r="AB23" s="206"/>
      <c r="AC23" s="206"/>
      <c r="AD23" s="206"/>
      <c r="AE23" s="85"/>
      <c r="AF23" s="207" t="s">
        <v>889</v>
      </c>
      <c r="AG23" s="207" t="s">
        <v>707</v>
      </c>
      <c r="AH23" s="207" t="s">
        <v>891</v>
      </c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48"/>
      <c r="AU23" s="48"/>
      <c r="AV23" s="203"/>
      <c r="AW23" s="85"/>
      <c r="AX23" s="85"/>
      <c r="AY23" s="85"/>
      <c r="AZ23" s="85"/>
      <c r="BA23" s="85"/>
      <c r="BB23" s="85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</row>
    <row r="24" spans="1:79" ht="45" x14ac:dyDescent="0.25">
      <c r="A24" s="85"/>
      <c r="B24" s="204"/>
      <c r="C24" s="206" t="s">
        <v>596</v>
      </c>
      <c r="D24" s="206"/>
      <c r="E24" s="206"/>
      <c r="F24" s="207"/>
      <c r="G24" s="207"/>
      <c r="H24" s="207"/>
      <c r="I24" s="207"/>
      <c r="J24" s="207"/>
      <c r="K24" s="207"/>
      <c r="L24" s="207"/>
      <c r="M24" s="207"/>
      <c r="N24" s="207"/>
      <c r="O24" s="207"/>
      <c r="P24" s="207"/>
      <c r="Q24" s="207"/>
      <c r="R24" s="207"/>
      <c r="S24" s="207"/>
      <c r="T24" s="207"/>
      <c r="U24" s="207"/>
      <c r="V24" s="207" t="s">
        <v>723</v>
      </c>
      <c r="W24" s="207"/>
      <c r="X24" s="207"/>
      <c r="Y24" s="207" t="s">
        <v>724</v>
      </c>
      <c r="Z24" s="207"/>
      <c r="AA24" s="206"/>
      <c r="AB24" s="206"/>
      <c r="AC24" s="206"/>
      <c r="AD24" s="206"/>
      <c r="AE24" s="85"/>
      <c r="AF24" s="207" t="s">
        <v>892</v>
      </c>
      <c r="AG24" s="207" t="s">
        <v>893</v>
      </c>
      <c r="AH24" s="207" t="s">
        <v>894</v>
      </c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48"/>
      <c r="AU24" s="48"/>
      <c r="AV24" s="203"/>
      <c r="AW24" s="85"/>
      <c r="AX24" s="85"/>
      <c r="AY24" s="85"/>
      <c r="AZ24" s="85"/>
      <c r="BA24" s="85"/>
      <c r="BB24" s="85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</row>
    <row r="25" spans="1:79" ht="45" x14ac:dyDescent="0.25">
      <c r="A25" s="85"/>
      <c r="B25" s="204"/>
      <c r="C25" s="206" t="s">
        <v>597</v>
      </c>
      <c r="D25" s="206"/>
      <c r="E25" s="206"/>
      <c r="F25" s="207"/>
      <c r="G25" s="207"/>
      <c r="H25" s="207"/>
      <c r="I25" s="207"/>
      <c r="J25" s="207"/>
      <c r="K25" s="207"/>
      <c r="L25" s="207"/>
      <c r="M25" s="207"/>
      <c r="N25" s="207"/>
      <c r="O25" s="207"/>
      <c r="P25" s="207"/>
      <c r="Q25" s="207"/>
      <c r="R25" s="207"/>
      <c r="S25" s="207"/>
      <c r="T25" s="207"/>
      <c r="U25" s="207"/>
      <c r="V25" s="207" t="s">
        <v>725</v>
      </c>
      <c r="W25" s="207"/>
      <c r="X25" s="207"/>
      <c r="Y25" s="207" t="s">
        <v>726</v>
      </c>
      <c r="Z25" s="207"/>
      <c r="AA25" s="206"/>
      <c r="AB25" s="206"/>
      <c r="AC25" s="206"/>
      <c r="AD25" s="206"/>
      <c r="AE25" s="85"/>
      <c r="AF25" s="207" t="s">
        <v>895</v>
      </c>
      <c r="AG25" s="85"/>
      <c r="AH25" s="207" t="s">
        <v>896</v>
      </c>
      <c r="AI25" s="85"/>
      <c r="AJ25" s="85"/>
      <c r="AK25" s="85"/>
      <c r="AL25" s="85"/>
      <c r="AM25" s="85"/>
      <c r="AN25" s="85"/>
      <c r="AO25" s="85"/>
      <c r="AP25" s="85"/>
      <c r="AQ25" s="85"/>
      <c r="AR25" s="85"/>
      <c r="AS25" s="85"/>
      <c r="AT25" s="48"/>
      <c r="AU25" s="48"/>
      <c r="AV25" s="203"/>
      <c r="AW25" s="85"/>
      <c r="AX25" s="85"/>
      <c r="AY25" s="85"/>
      <c r="AZ25" s="85"/>
      <c r="BA25" s="85"/>
      <c r="BB25" s="85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</row>
    <row r="26" spans="1:79" ht="30" x14ac:dyDescent="0.25">
      <c r="A26" s="85"/>
      <c r="B26" s="204"/>
      <c r="C26" s="206" t="s">
        <v>728</v>
      </c>
      <c r="D26" s="206"/>
      <c r="E26" s="206"/>
      <c r="F26" s="207"/>
      <c r="G26" s="207"/>
      <c r="H26" s="207"/>
      <c r="I26" s="207"/>
      <c r="J26" s="207"/>
      <c r="K26" s="207"/>
      <c r="L26" s="207"/>
      <c r="M26" s="207"/>
      <c r="N26" s="207"/>
      <c r="O26" s="207"/>
      <c r="P26" s="207"/>
      <c r="Q26" s="207"/>
      <c r="R26" s="207"/>
      <c r="S26" s="207"/>
      <c r="T26" s="207"/>
      <c r="U26" s="207"/>
      <c r="V26" s="207" t="s">
        <v>703</v>
      </c>
      <c r="W26" s="207"/>
      <c r="X26" s="207"/>
      <c r="Y26" s="207"/>
      <c r="Z26" s="207"/>
      <c r="AA26" s="206"/>
      <c r="AB26" s="206"/>
      <c r="AC26" s="206"/>
      <c r="AD26" s="206"/>
      <c r="AE26" s="85"/>
      <c r="AF26" s="207" t="s">
        <v>897</v>
      </c>
      <c r="AG26" s="85"/>
      <c r="AH26" s="207" t="s">
        <v>898</v>
      </c>
      <c r="AI26" s="85"/>
      <c r="AJ26" s="85"/>
      <c r="AK26" s="85"/>
      <c r="AL26" s="85"/>
      <c r="AM26" s="85"/>
      <c r="AN26" s="85"/>
      <c r="AO26" s="85"/>
      <c r="AP26" s="85"/>
      <c r="AQ26" s="85"/>
      <c r="AR26" s="85"/>
      <c r="AS26" s="85"/>
      <c r="AT26" s="48"/>
      <c r="AU26" s="48"/>
      <c r="AV26" s="203"/>
      <c r="AW26" s="85"/>
      <c r="AX26" s="85"/>
      <c r="AY26" s="85"/>
      <c r="AZ26" s="85"/>
      <c r="BA26" s="85"/>
      <c r="BB26" s="85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</row>
    <row r="27" spans="1:79" ht="30" x14ac:dyDescent="0.25">
      <c r="A27" s="85"/>
      <c r="B27" s="204"/>
      <c r="C27" s="206" t="s">
        <v>729</v>
      </c>
      <c r="D27" s="206"/>
      <c r="E27" s="206"/>
      <c r="F27" s="206"/>
      <c r="G27" s="206"/>
      <c r="H27" s="206"/>
      <c r="I27" s="206"/>
      <c r="J27" s="206"/>
      <c r="K27" s="206"/>
      <c r="L27" s="206"/>
      <c r="M27" s="206"/>
      <c r="N27" s="206"/>
      <c r="O27" s="206"/>
      <c r="P27" s="206"/>
      <c r="Q27" s="206"/>
      <c r="R27" s="206"/>
      <c r="S27" s="206"/>
      <c r="T27" s="206"/>
      <c r="U27" s="206"/>
      <c r="V27" s="207" t="s">
        <v>727</v>
      </c>
      <c r="W27" s="206"/>
      <c r="X27" s="206"/>
      <c r="Y27" s="206"/>
      <c r="Z27" s="207"/>
      <c r="AA27" s="206"/>
      <c r="AB27" s="206"/>
      <c r="AC27" s="206"/>
      <c r="AD27" s="206"/>
      <c r="AE27" s="85"/>
      <c r="AF27" s="207" t="s">
        <v>899</v>
      </c>
      <c r="AG27" s="85"/>
      <c r="AH27" s="207" t="s">
        <v>900</v>
      </c>
      <c r="AI27" s="85"/>
      <c r="AJ27" s="85"/>
      <c r="AK27" s="85"/>
      <c r="AL27" s="85"/>
      <c r="AM27" s="85"/>
      <c r="AN27" s="85"/>
      <c r="AO27" s="85"/>
      <c r="AP27" s="85"/>
      <c r="AQ27" s="85"/>
      <c r="AR27" s="85"/>
      <c r="AS27" s="85"/>
      <c r="AT27" s="48"/>
      <c r="AU27" s="48"/>
      <c r="AV27" s="203"/>
      <c r="AW27" s="85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</row>
    <row r="28" spans="1:79" ht="30" x14ac:dyDescent="0.25">
      <c r="A28" s="85"/>
      <c r="B28" s="204"/>
      <c r="C28" s="206" t="s">
        <v>755</v>
      </c>
      <c r="D28" s="206"/>
      <c r="E28" s="206"/>
      <c r="F28" s="206"/>
      <c r="G28" s="206"/>
      <c r="H28" s="206"/>
      <c r="I28" s="206"/>
      <c r="J28" s="206"/>
      <c r="K28" s="206"/>
      <c r="L28" s="206"/>
      <c r="M28" s="206"/>
      <c r="N28" s="206"/>
      <c r="O28" s="206"/>
      <c r="P28" s="206"/>
      <c r="Q28" s="206"/>
      <c r="R28" s="206"/>
      <c r="S28" s="206"/>
      <c r="T28" s="206"/>
      <c r="U28" s="206"/>
      <c r="V28" s="207"/>
      <c r="W28" s="206"/>
      <c r="X28" s="206"/>
      <c r="Y28" s="206"/>
      <c r="Z28" s="207"/>
      <c r="AA28" s="206"/>
      <c r="AB28" s="206"/>
      <c r="AC28" s="206"/>
      <c r="AD28" s="206"/>
      <c r="AE28" s="85"/>
      <c r="AF28" s="207" t="s">
        <v>901</v>
      </c>
      <c r="AG28" s="85"/>
      <c r="AH28" s="207" t="s">
        <v>902</v>
      </c>
      <c r="AI28" s="85"/>
      <c r="AJ28" s="85"/>
      <c r="AK28" s="85"/>
      <c r="AL28" s="85"/>
      <c r="AM28" s="85"/>
      <c r="AN28" s="85"/>
      <c r="AO28" s="85"/>
      <c r="AP28" s="85"/>
      <c r="AQ28" s="85"/>
      <c r="AR28" s="85"/>
      <c r="AS28" s="85"/>
      <c r="AT28" s="48"/>
      <c r="AU28" s="48"/>
      <c r="AV28" s="203"/>
      <c r="AW28" s="85"/>
      <c r="AX28" s="85"/>
      <c r="AY28" s="85"/>
      <c r="AZ28" s="85"/>
      <c r="BA28" s="85"/>
      <c r="BB28" s="85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</row>
    <row r="29" spans="1:79" ht="30" x14ac:dyDescent="0.25">
      <c r="A29" s="85"/>
      <c r="B29" s="204"/>
      <c r="C29" s="206" t="s">
        <v>756</v>
      </c>
      <c r="D29" s="206"/>
      <c r="E29" s="206"/>
      <c r="F29" s="206"/>
      <c r="G29" s="206"/>
      <c r="H29" s="206"/>
      <c r="I29" s="206"/>
      <c r="J29" s="206"/>
      <c r="K29" s="206"/>
      <c r="L29" s="206"/>
      <c r="M29" s="206"/>
      <c r="N29" s="206"/>
      <c r="O29" s="206"/>
      <c r="P29" s="206"/>
      <c r="Q29" s="206"/>
      <c r="R29" s="206"/>
      <c r="S29" s="206"/>
      <c r="T29" s="206"/>
      <c r="U29" s="206"/>
      <c r="V29" s="207"/>
      <c r="W29" s="206"/>
      <c r="X29" s="206"/>
      <c r="Y29" s="206"/>
      <c r="Z29" s="207"/>
      <c r="AA29" s="206"/>
      <c r="AB29" s="206"/>
      <c r="AC29" s="206"/>
      <c r="AD29" s="206"/>
      <c r="AE29" s="85"/>
      <c r="AF29" s="207" t="s">
        <v>903</v>
      </c>
      <c r="AG29" s="85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85"/>
      <c r="AS29" s="85"/>
      <c r="AT29" s="48"/>
      <c r="AU29" s="48"/>
      <c r="AV29" s="203"/>
      <c r="AW29" s="85"/>
      <c r="AX29" s="85"/>
      <c r="AY29" s="85"/>
      <c r="AZ29" s="85"/>
      <c r="BA29" s="85"/>
      <c r="BB29" s="85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</row>
    <row r="30" spans="1:79" ht="45" x14ac:dyDescent="0.25">
      <c r="A30" s="85"/>
      <c r="B30" s="204"/>
      <c r="C30" s="206" t="s">
        <v>757</v>
      </c>
      <c r="D30" s="206"/>
      <c r="E30" s="206"/>
      <c r="F30" s="206"/>
      <c r="G30" s="206"/>
      <c r="H30" s="206"/>
      <c r="I30" s="206"/>
      <c r="J30" s="206"/>
      <c r="K30" s="206"/>
      <c r="L30" s="206"/>
      <c r="M30" s="206"/>
      <c r="N30" s="206"/>
      <c r="O30" s="206"/>
      <c r="P30" s="206"/>
      <c r="Q30" s="206"/>
      <c r="R30" s="206"/>
      <c r="S30" s="206"/>
      <c r="T30" s="206"/>
      <c r="U30" s="206"/>
      <c r="V30" s="207"/>
      <c r="W30" s="206"/>
      <c r="X30" s="206"/>
      <c r="Y30" s="206"/>
      <c r="Z30" s="207"/>
      <c r="AA30" s="206"/>
      <c r="AB30" s="206"/>
      <c r="AC30" s="206"/>
      <c r="AD30" s="206"/>
      <c r="AE30" s="85"/>
      <c r="AF30" s="207" t="s">
        <v>904</v>
      </c>
      <c r="AG30" s="85"/>
      <c r="AH30" s="85"/>
      <c r="AI30" s="85"/>
      <c r="AJ30" s="85"/>
      <c r="AK30" s="85"/>
      <c r="AL30" s="85"/>
      <c r="AM30" s="85"/>
      <c r="AN30" s="85"/>
      <c r="AO30" s="85"/>
      <c r="AP30" s="85"/>
      <c r="AQ30" s="85"/>
      <c r="AR30" s="85"/>
      <c r="AS30" s="85"/>
      <c r="AT30" s="48"/>
      <c r="AU30" s="48"/>
      <c r="AV30" s="203"/>
      <c r="AW30" s="85"/>
      <c r="AX30" s="85"/>
      <c r="AY30" s="85"/>
      <c r="AZ30" s="85"/>
      <c r="BA30" s="85"/>
      <c r="BB30" s="85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</row>
    <row r="31" spans="1:79" ht="45" x14ac:dyDescent="0.25">
      <c r="A31" s="85"/>
      <c r="B31" s="204"/>
      <c r="C31" s="206" t="s">
        <v>758</v>
      </c>
      <c r="D31" s="206"/>
      <c r="E31" s="206"/>
      <c r="F31" s="206"/>
      <c r="G31" s="206"/>
      <c r="H31" s="206"/>
      <c r="I31" s="206"/>
      <c r="J31" s="206"/>
      <c r="K31" s="206"/>
      <c r="L31" s="206"/>
      <c r="M31" s="206"/>
      <c r="N31" s="206"/>
      <c r="O31" s="206"/>
      <c r="P31" s="206"/>
      <c r="Q31" s="206"/>
      <c r="R31" s="206"/>
      <c r="S31" s="206"/>
      <c r="T31" s="206"/>
      <c r="U31" s="206"/>
      <c r="V31" s="207"/>
      <c r="W31" s="206"/>
      <c r="X31" s="206"/>
      <c r="Y31" s="206"/>
      <c r="Z31" s="207"/>
      <c r="AA31" s="206"/>
      <c r="AB31" s="206"/>
      <c r="AC31" s="206"/>
      <c r="AD31" s="206"/>
      <c r="AE31" s="85"/>
      <c r="AF31" s="207" t="s">
        <v>905</v>
      </c>
      <c r="AG31" s="85"/>
      <c r="AH31" s="85"/>
      <c r="AI31" s="85"/>
      <c r="AJ31" s="85"/>
      <c r="AK31" s="85"/>
      <c r="AL31" s="85"/>
      <c r="AM31" s="85"/>
      <c r="AN31" s="85"/>
      <c r="AO31" s="85"/>
      <c r="AP31" s="85"/>
      <c r="AQ31" s="85"/>
      <c r="AR31" s="85"/>
      <c r="AS31" s="85"/>
      <c r="AT31" s="48"/>
      <c r="AU31" s="48"/>
      <c r="AV31" s="203"/>
      <c r="AW31" s="85"/>
      <c r="AX31" s="85"/>
      <c r="AY31" s="85"/>
      <c r="AZ31" s="85"/>
      <c r="BA31" s="85"/>
      <c r="BB31" s="85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</row>
    <row r="32" spans="1:79" ht="45" x14ac:dyDescent="0.25">
      <c r="A32" s="85"/>
      <c r="B32" s="204"/>
      <c r="C32" s="206" t="s">
        <v>759</v>
      </c>
      <c r="D32" s="206"/>
      <c r="E32" s="206"/>
      <c r="F32" s="206"/>
      <c r="G32" s="206"/>
      <c r="H32" s="206"/>
      <c r="I32" s="206"/>
      <c r="J32" s="206"/>
      <c r="K32" s="206"/>
      <c r="L32" s="206"/>
      <c r="M32" s="206"/>
      <c r="N32" s="206"/>
      <c r="O32" s="206"/>
      <c r="P32" s="206"/>
      <c r="Q32" s="206"/>
      <c r="R32" s="206"/>
      <c r="S32" s="206"/>
      <c r="T32" s="206"/>
      <c r="U32" s="206"/>
      <c r="V32" s="207"/>
      <c r="W32" s="206"/>
      <c r="X32" s="206"/>
      <c r="Y32" s="206"/>
      <c r="Z32" s="207"/>
      <c r="AA32" s="206"/>
      <c r="AB32" s="206"/>
      <c r="AC32" s="206"/>
      <c r="AD32" s="206"/>
      <c r="AE32" s="85"/>
      <c r="AF32" s="207" t="s">
        <v>906</v>
      </c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85"/>
      <c r="AS32" s="85"/>
      <c r="AT32" s="48"/>
      <c r="AU32" s="48"/>
      <c r="AV32" s="203"/>
      <c r="AW32" s="85"/>
      <c r="AX32" s="85"/>
      <c r="AY32" s="85"/>
      <c r="AZ32" s="85"/>
      <c r="BA32" s="85"/>
      <c r="BB32" s="85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</row>
    <row r="33" spans="1:79" ht="30" x14ac:dyDescent="0.25">
      <c r="A33" s="85"/>
      <c r="B33" s="204"/>
      <c r="C33" s="206" t="s">
        <v>760</v>
      </c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7"/>
      <c r="W33" s="206"/>
      <c r="X33" s="206"/>
      <c r="Y33" s="206"/>
      <c r="Z33" s="207"/>
      <c r="AA33" s="206"/>
      <c r="AB33" s="206"/>
      <c r="AC33" s="206"/>
      <c r="AD33" s="206"/>
      <c r="AE33" s="85"/>
      <c r="AF33" s="207" t="s">
        <v>907</v>
      </c>
      <c r="AG33" s="85"/>
      <c r="AH33" s="85"/>
      <c r="AI33" s="85"/>
      <c r="AJ33" s="85"/>
      <c r="AK33" s="85"/>
      <c r="AL33" s="85"/>
      <c r="AM33" s="85"/>
      <c r="AN33" s="85"/>
      <c r="AO33" s="85"/>
      <c r="AP33" s="85"/>
      <c r="AQ33" s="85"/>
      <c r="AR33" s="85"/>
      <c r="AS33" s="85"/>
      <c r="AT33" s="48"/>
      <c r="AU33" s="48"/>
      <c r="AV33" s="203"/>
      <c r="AW33" s="85"/>
      <c r="AX33" s="85"/>
      <c r="AY33" s="85"/>
      <c r="AZ33" s="85"/>
      <c r="BA33" s="85"/>
      <c r="BB33" s="85"/>
      <c r="BC33" s="85"/>
      <c r="BD33" s="85"/>
      <c r="BE33" s="85"/>
      <c r="BF33" s="85"/>
      <c r="BG33" s="85"/>
      <c r="BH33" s="85"/>
      <c r="BI33" s="85"/>
      <c r="BJ33" s="85"/>
      <c r="BK33" s="85"/>
      <c r="BL33" s="85"/>
      <c r="BM33" s="85"/>
      <c r="BN33" s="85"/>
      <c r="BO33" s="85"/>
      <c r="BP33" s="85"/>
      <c r="BQ33" s="85"/>
      <c r="BR33" s="85"/>
      <c r="BS33" s="85"/>
      <c r="BT33" s="85"/>
      <c r="BU33" s="85"/>
      <c r="BV33" s="85"/>
      <c r="BW33" s="85"/>
      <c r="BX33" s="85"/>
      <c r="BY33" s="85"/>
      <c r="BZ33" s="85"/>
      <c r="CA33" s="85"/>
    </row>
    <row r="34" spans="1:79" ht="30" x14ac:dyDescent="0.25">
      <c r="A34" s="85"/>
      <c r="B34" s="204"/>
      <c r="C34" s="206" t="s">
        <v>761</v>
      </c>
      <c r="D34" s="206"/>
      <c r="E34" s="206"/>
      <c r="F34" s="206"/>
      <c r="G34" s="206"/>
      <c r="H34" s="206"/>
      <c r="I34" s="206"/>
      <c r="J34" s="206"/>
      <c r="K34" s="206"/>
      <c r="L34" s="206"/>
      <c r="M34" s="206"/>
      <c r="N34" s="206"/>
      <c r="O34" s="206"/>
      <c r="P34" s="206"/>
      <c r="Q34" s="206"/>
      <c r="R34" s="206"/>
      <c r="S34" s="206"/>
      <c r="T34" s="206"/>
      <c r="U34" s="206"/>
      <c r="V34" s="207"/>
      <c r="W34" s="206"/>
      <c r="X34" s="206"/>
      <c r="Y34" s="206"/>
      <c r="Z34" s="207"/>
      <c r="AA34" s="206"/>
      <c r="AB34" s="206"/>
      <c r="AC34" s="206"/>
      <c r="AD34" s="206"/>
      <c r="AE34" s="85"/>
      <c r="AF34" s="207" t="s">
        <v>908</v>
      </c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85"/>
      <c r="AS34" s="85"/>
      <c r="AT34" s="48"/>
      <c r="AU34" s="48"/>
      <c r="AV34" s="203"/>
      <c r="AW34" s="85"/>
      <c r="AX34" s="85"/>
      <c r="AY34" s="85"/>
      <c r="AZ34" s="85"/>
      <c r="BA34" s="85"/>
      <c r="BB34" s="85"/>
      <c r="BC34" s="85"/>
      <c r="BD34" s="85"/>
      <c r="BE34" s="85"/>
      <c r="BF34" s="85"/>
      <c r="BG34" s="85"/>
      <c r="BH34" s="85"/>
      <c r="BI34" s="85"/>
      <c r="BJ34" s="85"/>
      <c r="BK34" s="85"/>
      <c r="BL34" s="85"/>
      <c r="BM34" s="85"/>
      <c r="BN34" s="85"/>
      <c r="BO34" s="85"/>
      <c r="BP34" s="85"/>
      <c r="BQ34" s="85"/>
      <c r="BR34" s="85"/>
      <c r="BS34" s="85"/>
      <c r="BT34" s="85"/>
      <c r="BU34" s="85"/>
      <c r="BV34" s="85"/>
      <c r="BW34" s="85"/>
      <c r="BX34" s="85"/>
      <c r="BY34" s="85"/>
      <c r="BZ34" s="85"/>
      <c r="CA34" s="85"/>
    </row>
    <row r="35" spans="1:79" ht="30" x14ac:dyDescent="0.25">
      <c r="A35" s="85"/>
      <c r="B35" s="204"/>
      <c r="C35" s="206" t="s">
        <v>762</v>
      </c>
      <c r="D35" s="206"/>
      <c r="E35" s="206"/>
      <c r="F35" s="206"/>
      <c r="G35" s="206"/>
      <c r="H35" s="206"/>
      <c r="I35" s="206"/>
      <c r="J35" s="206"/>
      <c r="K35" s="206"/>
      <c r="L35" s="206"/>
      <c r="M35" s="206"/>
      <c r="N35" s="206"/>
      <c r="O35" s="206"/>
      <c r="P35" s="206"/>
      <c r="Q35" s="206"/>
      <c r="R35" s="206"/>
      <c r="S35" s="206"/>
      <c r="T35" s="206"/>
      <c r="U35" s="206"/>
      <c r="V35" s="207"/>
      <c r="W35" s="206"/>
      <c r="X35" s="206"/>
      <c r="Y35" s="206"/>
      <c r="Z35" s="207"/>
      <c r="AA35" s="206"/>
      <c r="AB35" s="206"/>
      <c r="AC35" s="206"/>
      <c r="AD35" s="206"/>
      <c r="AE35" s="85"/>
      <c r="AF35" s="207" t="s">
        <v>909</v>
      </c>
      <c r="AG35" s="85"/>
      <c r="AH35" s="85"/>
      <c r="AI35" s="85"/>
      <c r="AJ35" s="85"/>
      <c r="AK35" s="85"/>
      <c r="AL35" s="85"/>
      <c r="AM35" s="85"/>
      <c r="AN35" s="85"/>
      <c r="AO35" s="85"/>
      <c r="AP35" s="85"/>
      <c r="AQ35" s="85"/>
      <c r="AR35" s="85"/>
      <c r="AS35" s="85"/>
      <c r="AT35" s="48"/>
      <c r="AU35" s="48"/>
      <c r="AV35" s="203"/>
      <c r="AW35" s="85"/>
      <c r="AX35" s="85"/>
      <c r="AY35" s="85"/>
      <c r="AZ35" s="85"/>
      <c r="BA35" s="85"/>
      <c r="BB35" s="85"/>
      <c r="BC35" s="85"/>
      <c r="BD35" s="85"/>
      <c r="BE35" s="85"/>
      <c r="BF35" s="85"/>
      <c r="BG35" s="85"/>
      <c r="BH35" s="85"/>
      <c r="BI35" s="85"/>
      <c r="BJ35" s="85"/>
      <c r="BK35" s="85"/>
      <c r="BL35" s="85"/>
      <c r="BM35" s="85"/>
      <c r="BN35" s="85"/>
      <c r="BO35" s="85"/>
      <c r="BP35" s="85"/>
      <c r="BQ35" s="85"/>
      <c r="BR35" s="85"/>
      <c r="BS35" s="85"/>
      <c r="BT35" s="85"/>
      <c r="BU35" s="85"/>
      <c r="BV35" s="85"/>
      <c r="BW35" s="85"/>
      <c r="BX35" s="85"/>
      <c r="BY35" s="85"/>
      <c r="BZ35" s="85"/>
      <c r="CA35" s="85"/>
    </row>
    <row r="36" spans="1:79" ht="30" x14ac:dyDescent="0.25">
      <c r="A36" s="85"/>
      <c r="B36" s="204"/>
      <c r="C36" s="206" t="s">
        <v>763</v>
      </c>
      <c r="D36" s="206"/>
      <c r="E36" s="206"/>
      <c r="F36" s="206"/>
      <c r="G36" s="206"/>
      <c r="H36" s="206"/>
      <c r="I36" s="206"/>
      <c r="J36" s="206"/>
      <c r="K36" s="206"/>
      <c r="L36" s="206"/>
      <c r="M36" s="206"/>
      <c r="N36" s="206"/>
      <c r="O36" s="206"/>
      <c r="P36" s="206"/>
      <c r="Q36" s="206"/>
      <c r="R36" s="206"/>
      <c r="S36" s="206"/>
      <c r="T36" s="206"/>
      <c r="U36" s="206"/>
      <c r="V36" s="207"/>
      <c r="W36" s="206"/>
      <c r="X36" s="206"/>
      <c r="Y36" s="206"/>
      <c r="Z36" s="207"/>
      <c r="AA36" s="206"/>
      <c r="AB36" s="206"/>
      <c r="AC36" s="206"/>
      <c r="AD36" s="206"/>
      <c r="AE36" s="85"/>
      <c r="AF36" s="207" t="s">
        <v>910</v>
      </c>
      <c r="AG36" s="85"/>
      <c r="AH36" s="85"/>
      <c r="AI36" s="85"/>
      <c r="AJ36" s="85"/>
      <c r="AK36" s="85"/>
      <c r="AL36" s="85"/>
      <c r="AM36" s="85"/>
      <c r="AN36" s="85"/>
      <c r="AO36" s="85"/>
      <c r="AP36" s="85"/>
      <c r="AQ36" s="85"/>
      <c r="AR36" s="85"/>
      <c r="AS36" s="85"/>
      <c r="AT36" s="48"/>
      <c r="AU36" s="48"/>
      <c r="AV36" s="203"/>
      <c r="AW36" s="85"/>
      <c r="AX36" s="85"/>
      <c r="AY36" s="85"/>
      <c r="AZ36" s="85"/>
      <c r="BA36" s="85"/>
      <c r="BB36" s="85"/>
      <c r="BC36" s="85"/>
      <c r="BD36" s="85"/>
      <c r="BE36" s="85"/>
      <c r="BF36" s="85"/>
      <c r="BG36" s="85"/>
      <c r="BH36" s="85"/>
      <c r="BI36" s="85"/>
      <c r="BJ36" s="85"/>
      <c r="BK36" s="85"/>
      <c r="BL36" s="85"/>
      <c r="BM36" s="85"/>
      <c r="BN36" s="85"/>
      <c r="BO36" s="85"/>
      <c r="BP36" s="85"/>
      <c r="BQ36" s="85"/>
      <c r="BR36" s="85"/>
      <c r="BS36" s="85"/>
      <c r="BT36" s="85"/>
      <c r="BU36" s="85"/>
      <c r="BV36" s="85"/>
      <c r="BW36" s="85"/>
      <c r="BX36" s="85"/>
      <c r="BY36" s="85"/>
      <c r="BZ36" s="85"/>
      <c r="CA36" s="85"/>
    </row>
    <row r="37" spans="1:79" ht="30" x14ac:dyDescent="0.25">
      <c r="A37" s="85"/>
      <c r="B37" s="204"/>
      <c r="C37" s="206" t="s">
        <v>764</v>
      </c>
      <c r="D37" s="206"/>
      <c r="E37" s="206"/>
      <c r="F37" s="20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206"/>
      <c r="R37" s="206"/>
      <c r="S37" s="206"/>
      <c r="T37" s="206"/>
      <c r="U37" s="206"/>
      <c r="V37" s="207"/>
      <c r="W37" s="206"/>
      <c r="X37" s="206"/>
      <c r="Y37" s="206"/>
      <c r="Z37" s="207"/>
      <c r="AA37" s="206"/>
      <c r="AB37" s="206"/>
      <c r="AC37" s="206"/>
      <c r="AD37" s="206"/>
      <c r="AE37" s="85"/>
      <c r="AF37" s="207" t="s">
        <v>911</v>
      </c>
      <c r="AG37" s="85"/>
      <c r="AH37" s="85"/>
      <c r="AI37" s="85"/>
      <c r="AJ37" s="85"/>
      <c r="AK37" s="85"/>
      <c r="AL37" s="85"/>
      <c r="AM37" s="85"/>
      <c r="AN37" s="85"/>
      <c r="AO37" s="85"/>
      <c r="AP37" s="85"/>
      <c r="AQ37" s="85"/>
      <c r="AR37" s="85"/>
      <c r="AS37" s="85"/>
      <c r="AT37" s="48"/>
      <c r="AU37" s="48"/>
      <c r="AV37" s="203"/>
      <c r="AW37" s="85"/>
      <c r="AX37" s="85"/>
      <c r="AY37" s="85"/>
      <c r="AZ37" s="85"/>
      <c r="BA37" s="85"/>
      <c r="BB37" s="85"/>
      <c r="BC37" s="85"/>
      <c r="BD37" s="85"/>
      <c r="BE37" s="85"/>
      <c r="BF37" s="85"/>
      <c r="BG37" s="85"/>
      <c r="BH37" s="85"/>
      <c r="BI37" s="85"/>
      <c r="BJ37" s="85"/>
      <c r="BK37" s="85"/>
      <c r="BL37" s="85"/>
      <c r="BM37" s="85"/>
      <c r="BN37" s="85"/>
      <c r="BO37" s="85"/>
      <c r="BP37" s="85"/>
      <c r="BQ37" s="85"/>
      <c r="BR37" s="85"/>
      <c r="BS37" s="85"/>
      <c r="BT37" s="85"/>
      <c r="BU37" s="85"/>
      <c r="BV37" s="85"/>
      <c r="BW37" s="85"/>
      <c r="BX37" s="85"/>
      <c r="BY37" s="85"/>
      <c r="BZ37" s="85"/>
      <c r="CA37" s="85"/>
    </row>
    <row r="38" spans="1:79" ht="30" x14ac:dyDescent="0.25">
      <c r="A38" s="85"/>
      <c r="B38" s="204"/>
      <c r="C38" s="206" t="s">
        <v>765</v>
      </c>
      <c r="D38" s="206"/>
      <c r="E38" s="206"/>
      <c r="F38" s="206"/>
      <c r="G38" s="206"/>
      <c r="H38" s="206"/>
      <c r="I38" s="206"/>
      <c r="J38" s="206"/>
      <c r="K38" s="206"/>
      <c r="L38" s="206"/>
      <c r="M38" s="206"/>
      <c r="N38" s="206"/>
      <c r="O38" s="206"/>
      <c r="P38" s="206"/>
      <c r="Q38" s="206"/>
      <c r="R38" s="206"/>
      <c r="S38" s="206"/>
      <c r="T38" s="206"/>
      <c r="U38" s="206"/>
      <c r="V38" s="207"/>
      <c r="W38" s="206"/>
      <c r="X38" s="206"/>
      <c r="Y38" s="206"/>
      <c r="Z38" s="207"/>
      <c r="AA38" s="206"/>
      <c r="AB38" s="206"/>
      <c r="AC38" s="206"/>
      <c r="AD38" s="206"/>
      <c r="AE38" s="85"/>
      <c r="AF38" s="207" t="s">
        <v>912</v>
      </c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85"/>
      <c r="AS38" s="85"/>
      <c r="AT38" s="48"/>
      <c r="AU38" s="48"/>
      <c r="AV38" s="203"/>
      <c r="AW38" s="85"/>
      <c r="AX38" s="85"/>
      <c r="AY38" s="85"/>
      <c r="AZ38" s="85"/>
      <c r="BA38" s="85"/>
      <c r="BB38" s="85"/>
      <c r="BC38" s="85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85"/>
      <c r="BQ38" s="85"/>
      <c r="BR38" s="85"/>
      <c r="BS38" s="85"/>
      <c r="BT38" s="85"/>
      <c r="BU38" s="85"/>
      <c r="BV38" s="85"/>
      <c r="BW38" s="85"/>
      <c r="BX38" s="85"/>
      <c r="BY38" s="85"/>
      <c r="BZ38" s="85"/>
      <c r="CA38" s="85"/>
    </row>
    <row r="39" spans="1:79" ht="45" x14ac:dyDescent="0.25">
      <c r="A39" s="85"/>
      <c r="B39" s="204"/>
      <c r="C39" s="206" t="s">
        <v>766</v>
      </c>
      <c r="D39" s="206"/>
      <c r="E39" s="206"/>
      <c r="F39" s="206"/>
      <c r="G39" s="206"/>
      <c r="H39" s="206"/>
      <c r="I39" s="206"/>
      <c r="J39" s="206"/>
      <c r="K39" s="206"/>
      <c r="L39" s="206"/>
      <c r="M39" s="206"/>
      <c r="N39" s="206"/>
      <c r="O39" s="206"/>
      <c r="P39" s="206"/>
      <c r="Q39" s="206"/>
      <c r="R39" s="206"/>
      <c r="S39" s="206"/>
      <c r="T39" s="206"/>
      <c r="U39" s="206"/>
      <c r="V39" s="207"/>
      <c r="W39" s="206"/>
      <c r="X39" s="206"/>
      <c r="Y39" s="206"/>
      <c r="Z39" s="207"/>
      <c r="AA39" s="206"/>
      <c r="AB39" s="206"/>
      <c r="AC39" s="206"/>
      <c r="AD39" s="206"/>
      <c r="AE39" s="85"/>
      <c r="AF39" s="207" t="s">
        <v>913</v>
      </c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85"/>
      <c r="AT39" s="48"/>
      <c r="AU39" s="48"/>
      <c r="AV39" s="203"/>
      <c r="AW39" s="85"/>
      <c r="AX39" s="85"/>
      <c r="AY39" s="85"/>
      <c r="AZ39" s="85"/>
      <c r="BA39" s="85"/>
      <c r="BB39" s="85"/>
      <c r="BC39" s="85"/>
      <c r="BD39" s="85"/>
      <c r="BE39" s="85"/>
      <c r="BF39" s="85"/>
      <c r="BG39" s="85"/>
      <c r="BH39" s="85"/>
      <c r="BI39" s="85"/>
      <c r="BJ39" s="85"/>
      <c r="BK39" s="85"/>
      <c r="BL39" s="85"/>
      <c r="BM39" s="85"/>
      <c r="BN39" s="85"/>
      <c r="BO39" s="85"/>
      <c r="BP39" s="85"/>
      <c r="BQ39" s="85"/>
      <c r="BR39" s="85"/>
      <c r="BS39" s="85"/>
      <c r="BT39" s="85"/>
      <c r="BU39" s="85"/>
      <c r="BV39" s="85"/>
      <c r="BW39" s="85"/>
      <c r="BX39" s="85"/>
      <c r="BY39" s="85"/>
      <c r="BZ39" s="85"/>
      <c r="CA39" s="85"/>
    </row>
    <row r="40" spans="1:79" ht="45" x14ac:dyDescent="0.25">
      <c r="A40" s="85"/>
      <c r="B40" s="204"/>
      <c r="C40" s="206" t="s">
        <v>767</v>
      </c>
      <c r="D40" s="206"/>
      <c r="E40" s="206"/>
      <c r="F40" s="206"/>
      <c r="G40" s="206"/>
      <c r="H40" s="206"/>
      <c r="I40" s="206"/>
      <c r="J40" s="206"/>
      <c r="K40" s="206"/>
      <c r="L40" s="206"/>
      <c r="M40" s="206"/>
      <c r="N40" s="206"/>
      <c r="O40" s="206"/>
      <c r="P40" s="206"/>
      <c r="Q40" s="206"/>
      <c r="R40" s="206"/>
      <c r="S40" s="206"/>
      <c r="T40" s="206"/>
      <c r="U40" s="206"/>
      <c r="V40" s="207"/>
      <c r="W40" s="206"/>
      <c r="X40" s="206"/>
      <c r="Y40" s="206"/>
      <c r="Z40" s="207"/>
      <c r="AA40" s="206"/>
      <c r="AB40" s="206"/>
      <c r="AC40" s="206"/>
      <c r="AD40" s="206"/>
      <c r="AE40" s="85"/>
      <c r="AF40" s="207" t="s">
        <v>914</v>
      </c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85"/>
      <c r="AS40" s="85"/>
      <c r="AT40" s="48"/>
      <c r="AU40" s="48"/>
      <c r="AV40" s="203"/>
      <c r="AW40" s="85"/>
      <c r="AX40" s="85"/>
      <c r="AY40" s="85"/>
      <c r="AZ40" s="85"/>
      <c r="BA40" s="85"/>
      <c r="BB40" s="85"/>
      <c r="BC40" s="85"/>
      <c r="BD40" s="85"/>
      <c r="BE40" s="85"/>
      <c r="BF40" s="85"/>
      <c r="BG40" s="85"/>
      <c r="BH40" s="85"/>
      <c r="BI40" s="85"/>
      <c r="BJ40" s="85"/>
      <c r="BK40" s="85"/>
      <c r="BL40" s="85"/>
      <c r="BM40" s="85"/>
      <c r="BN40" s="85"/>
      <c r="BO40" s="85"/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</row>
    <row r="41" spans="1:79" ht="30" x14ac:dyDescent="0.25">
      <c r="A41" s="85"/>
      <c r="B41" s="204"/>
      <c r="C41" s="206" t="s">
        <v>768</v>
      </c>
      <c r="D41" s="206"/>
      <c r="E41" s="206"/>
      <c r="F41" s="206"/>
      <c r="G41" s="206"/>
      <c r="H41" s="206"/>
      <c r="I41" s="206"/>
      <c r="J41" s="206"/>
      <c r="K41" s="206"/>
      <c r="L41" s="206"/>
      <c r="M41" s="206"/>
      <c r="N41" s="206"/>
      <c r="O41" s="206"/>
      <c r="P41" s="206"/>
      <c r="Q41" s="206"/>
      <c r="R41" s="206"/>
      <c r="S41" s="206"/>
      <c r="T41" s="206"/>
      <c r="U41" s="206"/>
      <c r="V41" s="207"/>
      <c r="W41" s="206"/>
      <c r="X41" s="206"/>
      <c r="Y41" s="206"/>
      <c r="Z41" s="207"/>
      <c r="AA41" s="206"/>
      <c r="AB41" s="206"/>
      <c r="AC41" s="206"/>
      <c r="AD41" s="206"/>
      <c r="AE41" s="85"/>
      <c r="AF41" s="207" t="s">
        <v>915</v>
      </c>
      <c r="AG41" s="85"/>
      <c r="AH41" s="85"/>
      <c r="AI41" s="85"/>
      <c r="AJ41" s="85"/>
      <c r="AK41" s="85"/>
      <c r="AL41" s="85"/>
      <c r="AM41" s="85"/>
      <c r="AN41" s="85"/>
      <c r="AO41" s="85"/>
      <c r="AP41" s="85"/>
      <c r="AQ41" s="85"/>
      <c r="AR41" s="85"/>
      <c r="AS41" s="85"/>
      <c r="AT41" s="48"/>
      <c r="AU41" s="48"/>
      <c r="AV41" s="203"/>
      <c r="AW41" s="85"/>
      <c r="AX41" s="85"/>
      <c r="AY41" s="85"/>
      <c r="AZ41" s="85"/>
      <c r="BA41" s="85"/>
      <c r="BB41" s="85"/>
      <c r="BC41" s="85"/>
      <c r="BD41" s="85"/>
      <c r="BE41" s="85"/>
      <c r="BF41" s="85"/>
      <c r="BG41" s="85"/>
      <c r="BH41" s="85"/>
      <c r="BI41" s="85"/>
      <c r="BJ41" s="85"/>
      <c r="BK41" s="85"/>
      <c r="BL41" s="85"/>
      <c r="BM41" s="85"/>
      <c r="BN41" s="85"/>
      <c r="BO41" s="85"/>
      <c r="BP41" s="85"/>
      <c r="BQ41" s="85"/>
      <c r="BR41" s="85"/>
      <c r="BS41" s="85"/>
      <c r="BT41" s="85"/>
      <c r="BU41" s="85"/>
      <c r="BV41" s="85"/>
      <c r="BW41" s="85"/>
      <c r="BX41" s="85"/>
      <c r="BY41" s="85"/>
      <c r="BZ41" s="85"/>
      <c r="CA41" s="85"/>
    </row>
    <row r="42" spans="1:79" ht="30" x14ac:dyDescent="0.25">
      <c r="A42" s="85"/>
      <c r="B42" s="204"/>
      <c r="C42" s="206" t="s">
        <v>769</v>
      </c>
      <c r="D42" s="206"/>
      <c r="E42" s="206"/>
      <c r="F42" s="206"/>
      <c r="G42" s="206"/>
      <c r="H42" s="206"/>
      <c r="I42" s="206"/>
      <c r="J42" s="206"/>
      <c r="K42" s="206"/>
      <c r="L42" s="206"/>
      <c r="M42" s="206"/>
      <c r="N42" s="206"/>
      <c r="O42" s="206"/>
      <c r="P42" s="206"/>
      <c r="Q42" s="206"/>
      <c r="R42" s="206"/>
      <c r="S42" s="206"/>
      <c r="T42" s="206"/>
      <c r="U42" s="206"/>
      <c r="V42" s="207"/>
      <c r="W42" s="206"/>
      <c r="X42" s="206"/>
      <c r="Y42" s="206"/>
      <c r="Z42" s="207"/>
      <c r="AA42" s="206"/>
      <c r="AB42" s="206"/>
      <c r="AC42" s="206"/>
      <c r="AD42" s="206"/>
      <c r="AE42" s="85"/>
      <c r="AF42" s="207" t="s">
        <v>916</v>
      </c>
      <c r="AG42" s="85"/>
      <c r="AH42" s="85"/>
      <c r="AI42" s="85"/>
      <c r="AJ42" s="85"/>
      <c r="AK42" s="85"/>
      <c r="AL42" s="85"/>
      <c r="AM42" s="85"/>
      <c r="AN42" s="85"/>
      <c r="AO42" s="85"/>
      <c r="AP42" s="85"/>
      <c r="AQ42" s="85"/>
      <c r="AR42" s="85"/>
      <c r="AS42" s="85"/>
      <c r="AT42" s="48"/>
      <c r="AU42" s="48"/>
      <c r="AV42" s="203"/>
      <c r="AW42" s="85"/>
      <c r="AX42" s="85"/>
      <c r="AY42" s="85"/>
      <c r="AZ42" s="85"/>
      <c r="BA42" s="85"/>
      <c r="BB42" s="85"/>
      <c r="BC42" s="85"/>
      <c r="BD42" s="85"/>
      <c r="BE42" s="85"/>
      <c r="BF42" s="85"/>
      <c r="BG42" s="85"/>
      <c r="BH42" s="85"/>
      <c r="BI42" s="85"/>
      <c r="BJ42" s="85"/>
      <c r="BK42" s="85"/>
      <c r="BL42" s="85"/>
      <c r="BM42" s="85"/>
      <c r="BN42" s="85"/>
      <c r="BO42" s="85"/>
      <c r="BP42" s="85"/>
      <c r="BQ42" s="85"/>
      <c r="BR42" s="85"/>
      <c r="BS42" s="85"/>
      <c r="BT42" s="85"/>
      <c r="BU42" s="85"/>
      <c r="BV42" s="85"/>
      <c r="BW42" s="85"/>
      <c r="BX42" s="85"/>
      <c r="BY42" s="85"/>
      <c r="BZ42" s="85"/>
      <c r="CA42" s="85"/>
    </row>
    <row r="43" spans="1:79" ht="30" x14ac:dyDescent="0.25">
      <c r="A43" s="85"/>
      <c r="B43" s="204"/>
      <c r="C43" s="206" t="s">
        <v>927</v>
      </c>
      <c r="D43" s="206"/>
      <c r="E43" s="206"/>
      <c r="F43" s="206"/>
      <c r="G43" s="206"/>
      <c r="H43" s="206"/>
      <c r="I43" s="206"/>
      <c r="J43" s="206"/>
      <c r="K43" s="206"/>
      <c r="L43" s="206"/>
      <c r="M43" s="206"/>
      <c r="N43" s="206"/>
      <c r="O43" s="206"/>
      <c r="P43" s="206"/>
      <c r="Q43" s="206"/>
      <c r="R43" s="206"/>
      <c r="S43" s="206"/>
      <c r="T43" s="206"/>
      <c r="U43" s="206"/>
      <c r="V43" s="207"/>
      <c r="W43" s="206"/>
      <c r="X43" s="206"/>
      <c r="Y43" s="206"/>
      <c r="Z43" s="207"/>
      <c r="AA43" s="206"/>
      <c r="AB43" s="206"/>
      <c r="AC43" s="206"/>
      <c r="AD43" s="206"/>
      <c r="AE43" s="85"/>
      <c r="AF43" s="207" t="s">
        <v>917</v>
      </c>
      <c r="AG43" s="85"/>
      <c r="AH43" s="85"/>
      <c r="AI43" s="85"/>
      <c r="AJ43" s="85"/>
      <c r="AK43" s="85"/>
      <c r="AL43" s="85"/>
      <c r="AM43" s="85"/>
      <c r="AN43" s="85"/>
      <c r="AO43" s="85"/>
      <c r="AP43" s="85"/>
      <c r="AQ43" s="85"/>
      <c r="AR43" s="85"/>
      <c r="AS43" s="85"/>
      <c r="AT43" s="48"/>
      <c r="AU43" s="48"/>
      <c r="AV43" s="203"/>
      <c r="AW43" s="85"/>
      <c r="AX43" s="85"/>
      <c r="AY43" s="85"/>
      <c r="AZ43" s="85"/>
      <c r="BA43" s="85"/>
      <c r="BB43" s="85"/>
      <c r="BC43" s="85"/>
      <c r="BD43" s="85"/>
      <c r="BE43" s="85"/>
      <c r="BF43" s="85"/>
      <c r="BG43" s="85"/>
      <c r="BH43" s="85"/>
      <c r="BI43" s="85"/>
      <c r="BJ43" s="85"/>
      <c r="BK43" s="85"/>
      <c r="BL43" s="85"/>
      <c r="BM43" s="85"/>
      <c r="BN43" s="85"/>
      <c r="BO43" s="85"/>
      <c r="BP43" s="85"/>
      <c r="BQ43" s="85"/>
      <c r="BR43" s="85"/>
      <c r="BS43" s="85"/>
      <c r="BT43" s="85"/>
      <c r="BU43" s="85"/>
      <c r="BV43" s="85"/>
      <c r="BW43" s="85"/>
      <c r="BX43" s="85"/>
      <c r="BY43" s="85"/>
      <c r="BZ43" s="85"/>
      <c r="CA43" s="85"/>
    </row>
    <row r="44" spans="1:79" ht="30" x14ac:dyDescent="0.25">
      <c r="A44" s="85"/>
      <c r="B44" s="85"/>
      <c r="C44" s="5" t="s">
        <v>936</v>
      </c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203"/>
      <c r="W44" s="85"/>
      <c r="X44" s="85"/>
      <c r="Y44" s="85"/>
      <c r="Z44" s="85"/>
      <c r="AA44" s="85"/>
      <c r="AB44" s="85"/>
      <c r="AC44" s="85"/>
      <c r="AD44" s="85"/>
      <c r="AE44" s="85"/>
      <c r="AF44" s="207" t="s">
        <v>918</v>
      </c>
      <c r="AG44" s="85"/>
      <c r="AH44" s="85"/>
      <c r="AI44" s="85"/>
      <c r="AJ44" s="85"/>
      <c r="AK44" s="85"/>
      <c r="AL44" s="85"/>
      <c r="AM44" s="85"/>
      <c r="AN44" s="85"/>
      <c r="AO44" s="85"/>
      <c r="AP44" s="85"/>
      <c r="AQ44" s="85"/>
      <c r="AR44" s="85"/>
      <c r="AS44" s="85"/>
      <c r="AT44" s="48"/>
      <c r="AU44" s="48"/>
      <c r="AV44" s="203"/>
      <c r="AW44" s="85"/>
      <c r="AX44" s="85"/>
      <c r="AY44" s="85"/>
      <c r="AZ44" s="85"/>
      <c r="BA44" s="85"/>
      <c r="BB44" s="85"/>
      <c r="BC44" s="85"/>
      <c r="BD44" s="85"/>
      <c r="BE44" s="85"/>
      <c r="BF44" s="85"/>
      <c r="BG44" s="85"/>
      <c r="BH44" s="85"/>
      <c r="BI44" s="85"/>
      <c r="BJ44" s="85"/>
      <c r="BK44" s="85"/>
      <c r="BL44" s="85"/>
      <c r="BM44" s="85"/>
      <c r="BN44" s="85"/>
      <c r="BO44" s="85"/>
      <c r="BP44" s="85"/>
      <c r="BQ44" s="85"/>
      <c r="BR44" s="85"/>
      <c r="BS44" s="85"/>
      <c r="BT44" s="85"/>
      <c r="BU44" s="85"/>
      <c r="BV44" s="85"/>
      <c r="BW44" s="85"/>
      <c r="BX44" s="85"/>
      <c r="BY44" s="85"/>
      <c r="BZ44" s="85"/>
      <c r="CA44" s="85"/>
    </row>
    <row r="45" spans="1:79" ht="45" x14ac:dyDescent="0.25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203"/>
      <c r="W45" s="85"/>
      <c r="X45" s="85"/>
      <c r="Y45" s="85"/>
      <c r="Z45" s="85"/>
      <c r="AA45" s="85"/>
      <c r="AB45" s="85"/>
      <c r="AC45" s="85"/>
      <c r="AD45" s="85"/>
      <c r="AE45" s="85"/>
      <c r="AF45" s="207" t="s">
        <v>919</v>
      </c>
      <c r="AG45" s="85"/>
      <c r="AH45" s="85"/>
      <c r="AI45" s="85"/>
      <c r="AJ45" s="85"/>
      <c r="AK45" s="85"/>
      <c r="AL45" s="85"/>
      <c r="AM45" s="85"/>
      <c r="AN45" s="85"/>
      <c r="AO45" s="85"/>
      <c r="AP45" s="85"/>
      <c r="AQ45" s="85"/>
      <c r="AR45" s="85"/>
      <c r="AS45" s="85"/>
      <c r="AT45" s="48"/>
      <c r="AU45" s="48"/>
      <c r="AV45" s="203"/>
      <c r="AW45" s="85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  <c r="BR45" s="85"/>
      <c r="BS45" s="85"/>
      <c r="BT45" s="85"/>
      <c r="BU45" s="85"/>
      <c r="BV45" s="85"/>
      <c r="BW45" s="85"/>
      <c r="BX45" s="85"/>
      <c r="BY45" s="85"/>
      <c r="BZ45" s="85"/>
      <c r="CA45" s="85"/>
    </row>
    <row r="46" spans="1:79" ht="45" x14ac:dyDescent="0.25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203"/>
      <c r="W46" s="85"/>
      <c r="X46" s="85"/>
      <c r="Y46" s="85"/>
      <c r="Z46" s="85"/>
      <c r="AA46" s="85"/>
      <c r="AB46" s="85"/>
      <c r="AC46" s="85"/>
      <c r="AD46" s="85"/>
      <c r="AE46" s="85"/>
      <c r="AF46" s="207" t="s">
        <v>920</v>
      </c>
      <c r="AG46" s="85"/>
      <c r="AH46" s="85"/>
      <c r="AI46" s="85"/>
      <c r="AJ46" s="85"/>
      <c r="AK46" s="85"/>
      <c r="AL46" s="85"/>
      <c r="AM46" s="85"/>
      <c r="AN46" s="85"/>
      <c r="AO46" s="85"/>
      <c r="AP46" s="85"/>
      <c r="AQ46" s="85"/>
      <c r="AR46" s="85"/>
      <c r="AS46" s="85"/>
      <c r="AT46" s="48"/>
      <c r="AU46" s="48"/>
      <c r="AV46" s="203"/>
      <c r="AW46" s="85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  <c r="BR46" s="85"/>
      <c r="BS46" s="85"/>
      <c r="BT46" s="85"/>
      <c r="BU46" s="85"/>
      <c r="BV46" s="85"/>
      <c r="BW46" s="85"/>
      <c r="BX46" s="85"/>
      <c r="BY46" s="85"/>
      <c r="BZ46" s="85"/>
      <c r="CA46" s="85"/>
    </row>
    <row r="47" spans="1:79" ht="45" x14ac:dyDescent="0.25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203"/>
      <c r="W47" s="85"/>
      <c r="X47" s="85"/>
      <c r="Y47" s="85"/>
      <c r="Z47" s="85"/>
      <c r="AA47" s="85"/>
      <c r="AB47" s="85"/>
      <c r="AC47" s="85"/>
      <c r="AD47" s="85"/>
      <c r="AE47" s="85"/>
      <c r="AF47" s="207" t="s">
        <v>921</v>
      </c>
      <c r="AG47" s="85"/>
      <c r="AH47" s="85"/>
      <c r="AI47" s="85"/>
      <c r="AJ47" s="85"/>
      <c r="AK47" s="85"/>
      <c r="AL47" s="85"/>
      <c r="AM47" s="85"/>
      <c r="AN47" s="85"/>
      <c r="AO47" s="85"/>
      <c r="AP47" s="85"/>
      <c r="AQ47" s="85"/>
      <c r="AR47" s="85"/>
      <c r="AS47" s="85"/>
      <c r="AT47" s="48"/>
      <c r="AU47" s="48"/>
      <c r="AV47" s="203"/>
      <c r="AW47" s="85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  <c r="BR47" s="85"/>
      <c r="BS47" s="85"/>
      <c r="BT47" s="85"/>
      <c r="BU47" s="85"/>
      <c r="BV47" s="85"/>
      <c r="BW47" s="85"/>
      <c r="BX47" s="85"/>
      <c r="BY47" s="85"/>
      <c r="BZ47" s="85"/>
      <c r="CA47" s="85"/>
    </row>
    <row r="48" spans="1:79" ht="30" x14ac:dyDescent="0.25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203"/>
      <c r="W48" s="85"/>
      <c r="X48" s="85"/>
      <c r="Y48" s="85"/>
      <c r="Z48" s="85"/>
      <c r="AA48" s="85"/>
      <c r="AB48" s="85"/>
      <c r="AC48" s="85"/>
      <c r="AD48" s="85"/>
      <c r="AE48" s="85"/>
      <c r="AF48" s="207" t="s">
        <v>922</v>
      </c>
      <c r="AG48" s="85"/>
      <c r="AH48" s="85"/>
      <c r="AI48" s="85"/>
      <c r="AJ48" s="85"/>
      <c r="AK48" s="85"/>
      <c r="AL48" s="85"/>
      <c r="AM48" s="85"/>
      <c r="AN48" s="85"/>
      <c r="AO48" s="85"/>
      <c r="AP48" s="85"/>
      <c r="AQ48" s="85"/>
      <c r="AR48" s="85"/>
      <c r="AS48" s="85"/>
      <c r="AT48" s="48"/>
      <c r="AU48" s="48"/>
      <c r="AV48" s="203"/>
      <c r="AW48" s="85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  <c r="BR48" s="85"/>
      <c r="BS48" s="85"/>
      <c r="BT48" s="85"/>
      <c r="BU48" s="85"/>
      <c r="BV48" s="85"/>
      <c r="BW48" s="85"/>
      <c r="BX48" s="85"/>
      <c r="BY48" s="85"/>
      <c r="BZ48" s="85"/>
      <c r="CA48" s="85"/>
    </row>
    <row r="49" spans="1:79" ht="30" x14ac:dyDescent="0.25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203"/>
      <c r="W49" s="85"/>
      <c r="X49" s="85"/>
      <c r="Y49" s="85"/>
      <c r="Z49" s="85"/>
      <c r="AA49" s="85"/>
      <c r="AB49" s="85"/>
      <c r="AC49" s="85"/>
      <c r="AD49" s="85"/>
      <c r="AE49" s="85"/>
      <c r="AF49" s="207" t="s">
        <v>923</v>
      </c>
      <c r="AG49" s="85"/>
      <c r="AH49" s="85"/>
      <c r="AI49" s="85"/>
      <c r="AJ49" s="85"/>
      <c r="AK49" s="85"/>
      <c r="AL49" s="85"/>
      <c r="AM49" s="85"/>
      <c r="AN49" s="85"/>
      <c r="AO49" s="85"/>
      <c r="AP49" s="85"/>
      <c r="AQ49" s="85"/>
      <c r="AR49" s="85"/>
      <c r="AS49" s="85"/>
      <c r="AT49" s="48"/>
      <c r="AU49" s="48"/>
      <c r="AV49" s="203"/>
      <c r="AW49" s="85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  <c r="BR49" s="85"/>
      <c r="BS49" s="85"/>
      <c r="BT49" s="85"/>
      <c r="BU49" s="85"/>
      <c r="BV49" s="85"/>
      <c r="BW49" s="85"/>
      <c r="BX49" s="85"/>
      <c r="BY49" s="85"/>
      <c r="BZ49" s="85"/>
      <c r="CA49" s="85"/>
    </row>
    <row r="50" spans="1:79" ht="30" x14ac:dyDescent="0.25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203"/>
      <c r="W50" s="85"/>
      <c r="X50" s="85"/>
      <c r="Y50" s="85"/>
      <c r="Z50" s="85"/>
      <c r="AA50" s="85"/>
      <c r="AB50" s="85"/>
      <c r="AC50" s="85"/>
      <c r="AD50" s="85"/>
      <c r="AE50" s="85"/>
      <c r="AF50" s="207" t="s">
        <v>923</v>
      </c>
      <c r="AG50" s="85"/>
      <c r="AH50" s="85"/>
      <c r="AI50" s="85"/>
      <c r="AJ50" s="85"/>
      <c r="AK50" s="85"/>
      <c r="AL50" s="85"/>
      <c r="AM50" s="85"/>
      <c r="AN50" s="85"/>
      <c r="AO50" s="85"/>
      <c r="AP50" s="85"/>
      <c r="AQ50" s="85"/>
      <c r="AR50" s="85"/>
      <c r="AS50" s="85"/>
      <c r="AT50" s="48"/>
      <c r="AU50" s="48"/>
      <c r="AV50" s="203"/>
      <c r="AW50" s="85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  <c r="BR50" s="85"/>
      <c r="BS50" s="85"/>
      <c r="BT50" s="85"/>
      <c r="BU50" s="85"/>
      <c r="BV50" s="85"/>
      <c r="BW50" s="85"/>
      <c r="BX50" s="85"/>
      <c r="BY50" s="85"/>
      <c r="BZ50" s="85"/>
      <c r="CA50" s="85"/>
    </row>
    <row r="51" spans="1:79" ht="45" x14ac:dyDescent="0.25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203"/>
      <c r="W51" s="85"/>
      <c r="X51" s="85"/>
      <c r="Y51" s="85"/>
      <c r="Z51" s="85"/>
      <c r="AA51" s="85"/>
      <c r="AB51" s="85"/>
      <c r="AC51" s="85"/>
      <c r="AD51" s="85"/>
      <c r="AE51" s="85"/>
      <c r="AF51" s="207" t="s">
        <v>924</v>
      </c>
      <c r="AG51" s="85"/>
      <c r="AH51" s="85"/>
      <c r="AI51" s="85"/>
      <c r="AJ51" s="85"/>
      <c r="AK51" s="85"/>
      <c r="AL51" s="85"/>
      <c r="AM51" s="85"/>
      <c r="AN51" s="85"/>
      <c r="AO51" s="85"/>
      <c r="AP51" s="85"/>
      <c r="AQ51" s="85"/>
      <c r="AR51" s="85"/>
      <c r="AS51" s="85"/>
      <c r="AT51" s="48"/>
      <c r="AU51" s="48"/>
      <c r="AV51" s="203"/>
      <c r="AW51" s="85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  <c r="BR51" s="85"/>
      <c r="BS51" s="85"/>
      <c r="BT51" s="85"/>
      <c r="BU51" s="85"/>
      <c r="BV51" s="85"/>
      <c r="BW51" s="85"/>
      <c r="BX51" s="85"/>
      <c r="BY51" s="85"/>
      <c r="BZ51" s="85"/>
      <c r="CA51" s="85"/>
    </row>
    <row r="52" spans="1:79" ht="45" x14ac:dyDescent="0.25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203"/>
      <c r="W52" s="85"/>
      <c r="X52" s="85"/>
      <c r="Y52" s="85"/>
      <c r="Z52" s="85"/>
      <c r="AA52" s="85"/>
      <c r="AB52" s="85"/>
      <c r="AC52" s="85"/>
      <c r="AD52" s="85"/>
      <c r="AE52" s="85"/>
      <c r="AF52" s="207" t="s">
        <v>925</v>
      </c>
      <c r="AG52" s="85"/>
      <c r="AH52" s="85"/>
      <c r="AI52" s="85"/>
      <c r="AJ52" s="85"/>
      <c r="AK52" s="85"/>
      <c r="AL52" s="85"/>
      <c r="AM52" s="85"/>
      <c r="AN52" s="85"/>
      <c r="AO52" s="85"/>
      <c r="AP52" s="85"/>
      <c r="AQ52" s="85"/>
      <c r="AR52" s="85"/>
      <c r="AS52" s="85"/>
      <c r="AT52" s="48"/>
      <c r="AU52" s="48"/>
      <c r="AV52" s="203"/>
      <c r="AW52" s="85"/>
      <c r="AX52" s="85"/>
      <c r="AY52" s="85"/>
      <c r="AZ52" s="85"/>
      <c r="BA52" s="85"/>
      <c r="BB52" s="85"/>
      <c r="BC52" s="85"/>
      <c r="BD52" s="85"/>
      <c r="BE52" s="85"/>
      <c r="BF52" s="85"/>
      <c r="BG52" s="85"/>
      <c r="BH52" s="85"/>
      <c r="BI52" s="85"/>
      <c r="BJ52" s="85"/>
      <c r="BK52" s="85"/>
      <c r="BL52" s="85"/>
      <c r="BM52" s="85"/>
      <c r="BN52" s="85"/>
      <c r="BO52" s="85"/>
      <c r="BP52" s="85"/>
      <c r="BQ52" s="85"/>
      <c r="BR52" s="85"/>
      <c r="BS52" s="85"/>
      <c r="BT52" s="85"/>
      <c r="BU52" s="85"/>
      <c r="BV52" s="85"/>
      <c r="BW52" s="85"/>
      <c r="BX52" s="85"/>
      <c r="BY52" s="85"/>
      <c r="BZ52" s="85"/>
      <c r="CA52" s="85"/>
    </row>
    <row r="53" spans="1:79" ht="30" x14ac:dyDescent="0.25">
      <c r="AF53" s="208" t="s">
        <v>926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APPROVED SHUTDOWN</vt:lpstr>
      <vt:lpstr>LOGBOOK FORMAT</vt:lpstr>
      <vt:lpstr>TRIPPING REPORT</vt:lpstr>
      <vt:lpstr>SUBSTATION CONTACT</vt:lpstr>
      <vt:lpstr>Sheet1 (2)</vt:lpstr>
      <vt:lpstr>CODES</vt:lpstr>
      <vt:lpstr>DATA_SUBSTATION</vt:lpstr>
      <vt:lpstr>'APPROVED SHUTDOWN'!Print_Area</vt:lpstr>
      <vt:lpstr>CODES!Print_Area</vt:lpstr>
      <vt:lpstr>'LOGBOOK FORMAT'!Print_Area</vt:lpstr>
      <vt:lpstr>'TRIPPING REPORT'!Print_Area</vt:lpstr>
      <vt:lpstr>'LOGBOOK FORMAT'!Print_Titles</vt:lpstr>
      <vt:lpstr>'TRIPPING REPORT'!Print_Titles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2026-01-10T15:37:16Z</dcterms:modified>
</cp:coreProperties>
</file>
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9040" windowHeight="15720"/>
  </bookViews>
  <sheets>
    <sheet name="Sheet0" sheetId="1" r:id="rId1"/>
  </sheets>
  <definedNames>
    <definedName name="__bookmark_1">Sheet0!$A$1:$M$28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5" i="1" l="1"/>
  <c r="A33" i="1"/>
  <c r="A31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6" i="1"/>
</calcChain>
</file>

<file path=xl/sharedStrings.xml><?xml version="1.0" encoding="utf-8"?>
<sst xmlns="http://schemas.openxmlformats.org/spreadsheetml/2006/main" count="327" uniqueCount="211">
  <si>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</si>
  <si>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</si>
  <si>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</si>
  <si>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</si>
  <si>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</si>
  <si>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</si>
  <si>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</si>
  <si>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</si>
  <si>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</si>
  <si>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</si>
  <si>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</si>
  <si>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</si>
  <si>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</si>
  <si>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</si>
  <si>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</si>
  <si>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</si>
  <si>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</si>
  <si>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</si>
  <si>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NON-OCCM-MP</t>
  </si>
  <si>
    <t>16-12-2025 09:00:00</t>
  </si>
  <si>
    <t>132KV_AMARPATAN</t>
  </si>
  <si>
    <t>Arun Kumar</t>
  </si>
  <si>
    <t>9131207339</t>
  </si>
  <si>
    <t>Continuous</t>
  </si>
  <si>
    <t>220KV_BHOPAL</t>
  </si>
  <si>
    <t>A K Jain</t>
  </si>
  <si>
    <t>9425806899</t>
  </si>
  <si>
    <t>Rajkumar Bhusare</t>
  </si>
  <si>
    <t>9425820042</t>
  </si>
  <si>
    <t>DAMAGE CONDUCTOR REPLACEMENT</t>
  </si>
  <si>
    <t>18-12-2025 07:00:00</t>
  </si>
  <si>
    <t>8305612190</t>
  </si>
  <si>
    <t>23-12-2025 19:00:00</t>
  </si>
  <si>
    <t>MR2512/0344</t>
  </si>
  <si>
    <t>132KV_NORTHZONE (INDORE) â¿¿ CHAMBAL  CKT-1 LINE.</t>
  </si>
  <si>
    <t>220KV_INDORE NORTH</t>
  </si>
  <si>
    <t>Ravindra Patil</t>
  </si>
  <si>
    <t>MR2512/0346</t>
  </si>
  <si>
    <t>132KV_132 KV NORTHZONE (INDORE) â¿¿ CHAMBAL CKT-2 LINE.</t>
  </si>
  <si>
    <t>Ravindra patil</t>
  </si>
  <si>
    <t>220KV_ITARSI</t>
  </si>
  <si>
    <t>Ashutosh Rai</t>
  </si>
  <si>
    <t>9425806902</t>
  </si>
  <si>
    <t>14-12-2025 09:00:00</t>
  </si>
  <si>
    <t>OCCM-MP</t>
  </si>
  <si>
    <t>31-12-2025 18:00:00</t>
  </si>
  <si>
    <t>220KV_220  kv Satna (PGCIL)  â¿¿  Kotar  line</t>
  </si>
  <si>
    <t>220KV_KOTAR</t>
  </si>
  <si>
    <t>Double  fitting work</t>
  </si>
  <si>
    <t>23-12-2025 17:00:00</t>
  </si>
  <si>
    <t>Mr. R.K.Prajapati</t>
  </si>
  <si>
    <t>9407070182</t>
  </si>
  <si>
    <t>MR2512/0176</t>
  </si>
  <si>
    <t>13-12-2025 09:00:00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</si>
  <si>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</si>
  <si>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</si>
  <si>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</si>
  <si>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</si>
  <si>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</si>
  <si>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</si>
  <si>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</si>
  <si>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9425805102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</si>
  <si>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</si>
  <si>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</si>
  <si>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</si>
  <si>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</si>
  <si>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</si>
  <si>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</si>
  <si>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</si>
  <si>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</si>
  <si>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220KV_220 KV SHUJALPUR-BHOPAL-I CKT</t>
  </si>
  <si>
    <t>220KV_SHUJALPUR</t>
  </si>
  <si>
    <t>220 KV BHOPAL BAY SHIFTING FOR NEW ADD. 200 MVA</t>
  </si>
  <si>
    <t>12-01-2026 18:00:00</t>
  </si>
  <si>
    <t>Er VIJAY OJHA</t>
  </si>
  <si>
    <t>9755836908</t>
  </si>
  <si>
    <t>MR2512/0233</t>
  </si>
  <si>
    <t>MR2512/0266</t>
  </si>
  <si>
    <t>220KV_220kV Vidisha-Bina ckt</t>
  </si>
  <si>
    <t>220KV_VIDISHA</t>
  </si>
  <si>
    <t>For Modification/shifting work of line.</t>
  </si>
  <si>
    <t>26-12-2025 18:00:00</t>
  </si>
  <si>
    <t>deferred</t>
  </si>
  <si>
    <t>o&amp;m consent required</t>
  </si>
  <si>
    <t>ok, through sub ld</t>
  </si>
  <si>
    <t>sub ld</t>
  </si>
  <si>
    <t>ok, line to be in service</t>
  </si>
  <si>
    <t>132KV_MAJHGAWAN</t>
  </si>
  <si>
    <t>Arun Kumar kol</t>
  </si>
  <si>
    <t>8319677721</t>
  </si>
  <si>
    <t>220KV_REWA</t>
  </si>
  <si>
    <t>MR2512/0429</t>
  </si>
  <si>
    <t>132KV_40 mva Telk Xmer</t>
  </si>
  <si>
    <t>erection of 63 MVA TAL Xmer</t>
  </si>
  <si>
    <t>22-12-2025 09:30:00</t>
  </si>
  <si>
    <t>22-12-2025 16:30:00</t>
  </si>
  <si>
    <t>MR2512/0415</t>
  </si>
  <si>
    <t>400KV_315MVA No-1 Make-CGL</t>
  </si>
  <si>
    <t>400KV_ASHTA4</t>
  </si>
  <si>
    <t>220 KV Side 03 no CT Replacement work</t>
  </si>
  <si>
    <t>22-12-2025 09:00:00</t>
  </si>
  <si>
    <t>22-12-2025 18:00:00</t>
  </si>
  <si>
    <t>Jitendra Lohana</t>
  </si>
  <si>
    <t>9425804978</t>
  </si>
  <si>
    <t>deferred, due to s/d on bhopal bus</t>
  </si>
  <si>
    <t>MR2512/0411</t>
  </si>
  <si>
    <t>400KV_400kv aux.bus</t>
  </si>
  <si>
    <t>400KV_BADNAWAR</t>
  </si>
  <si>
    <t>newly installed 500mva ict T&amp;R make</t>
  </si>
  <si>
    <t>Er. abhishek verma</t>
  </si>
  <si>
    <t>9340855901</t>
  </si>
  <si>
    <t>MR2512/0413</t>
  </si>
  <si>
    <t>400KV_400kv bus tie</t>
  </si>
  <si>
    <t>sefty purpose of new aux bus connection of 500mva</t>
  </si>
  <si>
    <t>Er abhishek verma</t>
  </si>
  <si>
    <t>MR2512/0393</t>
  </si>
  <si>
    <t>400KV_40kv Bus Bar Protection</t>
  </si>
  <si>
    <t>400kv Bus Bar Prot. Panel Wiring and Testing work</t>
  </si>
  <si>
    <t>23-12-2025 18:00:00</t>
  </si>
  <si>
    <t>Er.Abhishek Verma</t>
  </si>
  <si>
    <t>MR2512/0428</t>
  </si>
  <si>
    <t>220KV_220KV Interconnector 2 on Bus Transfer Bay</t>
  </si>
  <si>
    <t>Main CB is not reliable so keep it on Bus Transfer</t>
  </si>
  <si>
    <t>22-12-2025 17:00:00</t>
  </si>
  <si>
    <t>29-12-2025 17:00:00</t>
  </si>
  <si>
    <t xml:space="preserve">ok, through sub ld, line to be in service </t>
  </si>
  <si>
    <t>MR2512/0425</t>
  </si>
  <si>
    <t>220KV_220 kV Interconnector 2 transfer on Main CB</t>
  </si>
  <si>
    <t>To transfer 220KV Interconnector 1 on Bus Transfer</t>
  </si>
  <si>
    <t>MR2512/0426</t>
  </si>
  <si>
    <t>220KV_220 KV Interconnector 1 on Bus Transfer</t>
  </si>
  <si>
    <t>For safe clearance during Stringing of conductor</t>
  </si>
  <si>
    <t>MR2512/0427</t>
  </si>
  <si>
    <t>220KV_220 KV Bus No. 1</t>
  </si>
  <si>
    <t>Stringing of overhead conductor for new 200MVA Xm</t>
  </si>
  <si>
    <t>MR2512/0404</t>
  </si>
  <si>
    <t>220KV_220 KV SARNI-ITARSI IV LINE</t>
  </si>
  <si>
    <t>RESAGGING WORK LOC.NO. 199-218</t>
  </si>
  <si>
    <t>ok, RTS consent required on 26th also during normalisation</t>
  </si>
  <si>
    <t>MR2510/0557</t>
  </si>
  <si>
    <t>220KV_220KV KATNI - DAMOH LINE</t>
  </si>
  <si>
    <t>400KV_KATNI4</t>
  </si>
  <si>
    <t>TOWER STRENGTHENING WORK</t>
  </si>
  <si>
    <t>01-12-2025 09:00:00</t>
  </si>
  <si>
    <t>M.M. BAIG</t>
  </si>
  <si>
    <t>9425805067</t>
  </si>
  <si>
    <t>ok</t>
  </si>
  <si>
    <t>MR2509/0449</t>
  </si>
  <si>
    <t>400KV_400KV DAMOH - KATNI LINE</t>
  </si>
  <si>
    <t>24-12-2025 18:00:00</t>
  </si>
  <si>
    <t>SHRI M.M. BAIG</t>
  </si>
  <si>
    <t>MR2512/0430</t>
  </si>
  <si>
    <t>220KV_160MVA TELK X-MER</t>
  </si>
  <si>
    <t>For postmonsoon maintenance</t>
  </si>
  <si>
    <t>22-12-2025 10:00:00</t>
  </si>
  <si>
    <t>SK chaturvedi</t>
  </si>
  <si>
    <t>9425806938</t>
  </si>
  <si>
    <t>real time</t>
  </si>
  <si>
    <t>MR2512/0423</t>
  </si>
  <si>
    <t>220KV_160MVA X-MER AREVA</t>
  </si>
  <si>
    <t>FOR POST MANSOON MAINTENANCE AND TESTING WORK</t>
  </si>
  <si>
    <t>MR2512/0424</t>
  </si>
  <si>
    <t>132KV_40MVA X-MER BBL</t>
  </si>
  <si>
    <t>FOR OIL TOPPING IN CONSERVATOR TANK.</t>
  </si>
  <si>
    <t>22-12-2025 14:00:00</t>
  </si>
  <si>
    <t>22-12-2025 16:00:00</t>
  </si>
  <si>
    <t>MR2512/0422</t>
  </si>
  <si>
    <t>220KV_NAGRA KHEMAAMBA - I</t>
  </si>
  <si>
    <t>220KV_NAGRA</t>
  </si>
  <si>
    <t>Post mossoon maintenance and tan delta work</t>
  </si>
  <si>
    <t>shailandra Borasi</t>
  </si>
  <si>
    <t>9907246485</t>
  </si>
  <si>
    <t>MR2512/0407</t>
  </si>
  <si>
    <t>220KV_220KV Main Bus-I</t>
  </si>
  <si>
    <t>220KV_PITHAMPUR (SEC-III)</t>
  </si>
  <si>
    <t>220KV Rajgarh fdr Main Bus-1 Isolators. Replace</t>
  </si>
  <si>
    <t>23-12-2025 15:00:00</t>
  </si>
  <si>
    <t>Sh Mukesh Patil</t>
  </si>
  <si>
    <t>8120562072</t>
  </si>
  <si>
    <t>MR2512/0432</t>
  </si>
  <si>
    <t>132KV_132KV Rewa-Jhinna ckt</t>
  </si>
  <si>
    <t>Disc String replacement work</t>
  </si>
  <si>
    <t>G.L SAHU</t>
  </si>
  <si>
    <t>MR2512/0418</t>
  </si>
  <si>
    <t>132KV_132kv Sagar-Rahatgarh line</t>
  </si>
  <si>
    <t>400KV_SAGAR</t>
  </si>
  <si>
    <t>Line maintenance work</t>
  </si>
  <si>
    <t>J.P. Asati</t>
  </si>
  <si>
    <t>9424445533</t>
  </si>
  <si>
    <t>220KV-DAMOH-DAMOH-MP-3</t>
  </si>
  <si>
    <t>MADHYA PRADESH</t>
  </si>
  <si>
    <t>Retrofitting of Line Differential Relay</t>
  </si>
  <si>
    <t>09:00</t>
  </si>
  <si>
    <t>18:00</t>
  </si>
  <si>
    <t xml:space="preserve">Ok, SLDC MP consent required. Load management shall be done by SLDC. POWERGRID to submit SLDC consent before availing outage.
</t>
  </si>
  <si>
    <t>400KV-DAMOH-KATNI-1</t>
  </si>
  <si>
    <t>08:00</t>
  </si>
  <si>
    <t xml:space="preserve">ok,   400kV DAMOH-PG-BIRSINGPUR-T2 (Sensitivity of 33%) and All other lines at Damoh/Katni to be in service. No other element shall be effected. care to be taken. WR2 to be informed
</t>
  </si>
  <si>
    <t>220KV-SHUJALPUR-RAJGARH-MP-1</t>
  </si>
  <si>
    <t>FOR LINE MAINTENANCE WORK i.e. CLEANING OF DISC INSULATORS DURING LINE PATROLLING , REPLACEMENT OF FLASHOVERED DISC INSULATORS, TREE BRANCH CUTTING ETC AT VARIOUS TOWER LOCATIONS</t>
  </si>
  <si>
    <t xml:space="preserve">Real time ,  Ckt-1 and All other lines at Rajgarh-MP to be in service with AR enabled. WR2 to be informed. Load to be managed by SLDC MP
</t>
  </si>
  <si>
    <t>SEONI-PG - 400KV - BUS 2</t>
  </si>
  <si>
    <t>POWERGRID-WR1 (PGCIL)</t>
  </si>
  <si>
    <t>FOR AMP WORK @ SEONI SS</t>
  </si>
  <si>
    <r>
      <t>ok,  All elements to be in service with bus-1.  In case of N-1, 400/220 kV ICT-1, Khandwa-2, 765/400 kV ICT-3, BR will be out. 765/400 kV ICT-1 will be in service with 400/220 kV ICT-1 via tie bay, Kirnapur will be in service with Satpura via tie bay,  765/400 kV ICT-2 will be in service with Khandwa-1 via tie bay.  No other element shall be effected. care to be taken.</t>
    </r>
    <r>
      <rPr>
        <b/>
        <sz val="11"/>
        <rFont val="Calibri"/>
        <family val="2"/>
        <scheme val="minor"/>
      </rPr>
      <t xml:space="preserve"> SLDC MP CONSENT TO BE TAKEN</t>
    </r>
    <r>
      <rPr>
        <sz val="11"/>
        <rFont val="Calibri"/>
        <family val="2"/>
        <scheme val="minor"/>
      </rPr>
      <t xml:space="preserve">
</t>
    </r>
  </si>
  <si>
    <t>400KV-NAGDA-SHUJALPUR-1</t>
  </si>
  <si>
    <t>POWERGRID-WR2 (PGCIL)</t>
  </si>
  <si>
    <t>For power line crossing/ stringing work of 400kV D/C Pachora Ujjain Transmission line</t>
  </si>
  <si>
    <r>
      <rPr>
        <b/>
        <sz val="12"/>
        <rFont val="Calibri"/>
        <family val="2"/>
        <scheme val="minor"/>
      </rPr>
      <t xml:space="preserve">ok, Time schedule to be followed strictly.  </t>
    </r>
    <r>
      <rPr>
        <b/>
        <sz val="11"/>
        <rFont val="Calibri"/>
        <family val="2"/>
        <scheme val="minor"/>
      </rPr>
      <t xml:space="preserve"> SLDC MP Consent to be taken</t>
    </r>
    <r>
      <rPr>
        <sz val="11"/>
        <rFont val="Calibri"/>
        <family val="2"/>
        <scheme val="minor"/>
      </rPr>
      <t>. 400kV Nagda-Ujjain D/C (Sensitivity of 14% on each ckt),400kV Indore-Ujjain (Sensitivity of 8% on each ckt) ,400/220kV Sujalpur (ICT 1,2 Sensitivity of 10% each and ICT-3 Sensitivity of 15%), All Other lines at 400kV Nagda/Shujalpur to be in service with A/R Enabled. In case of contingency load to be managed by SLDC MP.</t>
    </r>
  </si>
  <si>
    <t>400KV-NAGDA-SHUJALPUR-2</t>
  </si>
  <si>
    <r>
      <rPr>
        <b/>
        <sz val="11"/>
        <rFont val="Calibri"/>
        <family val="2"/>
        <scheme val="minor"/>
      </rPr>
      <t>ok, Time schedule to be followed strictly.    SLDC MP Consent to be taken</t>
    </r>
    <r>
      <rPr>
        <sz val="11"/>
        <rFont val="Calibri"/>
        <family val="2"/>
        <scheme val="minor"/>
      </rPr>
      <t>. 400kV Nagda-Ujjain D/C (Sensitivity of 14% on each ckt),400kV Indore-Ujjain (Sensitivity of 8% on each ckt) ,400/220kV Sujalpur (ICT 1,2 Sensitivity of 10% each and ICT-3 Sensitivity of 15%), All Other lines at 400kV Nagda/Shujalpur to be in service with A/R Enabled. In case of contingency load to be managed by SLDC MP.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</si>
</sst>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3" name="Picture 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5" name="Picture 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7" name="Picture 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8"/>
  <sheetViews>
    <sheetView tabSelected="1" topLeftCell="A31" workbookViewId="0">
      <selection activeCell="A22" sqref="A1:XFD104857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.7109375" customWidth="1"/>
    <col min="6" max="6" width="25.85546875" customWidth="1"/>
    <col min="7" max="7" width="15.7109375" customWidth="1"/>
    <col min="8" max="8" width="48.140625" customWidth="1"/>
    <col min="9" max="10" width="19.5703125" customWidth="1"/>
    <col min="11" max="11" width="18.140625" customWidth="1"/>
    <col min="12" max="12" width="12" customWidth="1"/>
    <col min="13" max="13" width="45.570312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46013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9" t="s">
        <v>2</v>
      </c>
      <c r="B3" s="9" t="s">
        <v>3</v>
      </c>
      <c r="C3" s="9" t="s">
        <v>4</v>
      </c>
      <c r="D3" s="9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9" t="s">
        <v>5</v>
      </c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11</v>
      </c>
      <c r="H4" s="9" t="s">
        <v>12</v>
      </c>
      <c r="I4" s="9" t="s">
        <v>13</v>
      </c>
      <c r="J4" s="9" t="s">
        <v>14</v>
      </c>
      <c r="K4" s="13" t="s">
        <v>15</v>
      </c>
      <c r="L4" s="12"/>
      <c r="M4" s="9" t="s">
        <v>16</v>
      </c>
    </row>
    <row r="5" spans="1:13" ht="47.25" customHeight="1" x14ac:dyDescent="0.25">
      <c r="A5" s="3">
        <v>1</v>
      </c>
      <c r="B5" s="4">
        <v>46012.653113425928</v>
      </c>
      <c r="C5" s="3" t="s">
        <v>91</v>
      </c>
      <c r="D5" s="3"/>
      <c r="E5" s="3" t="s">
        <v>92</v>
      </c>
      <c r="F5" s="3" t="s">
        <v>20</v>
      </c>
      <c r="G5" s="3" t="s">
        <v>18</v>
      </c>
      <c r="H5" s="3" t="s">
        <v>93</v>
      </c>
      <c r="I5" s="5" t="s">
        <v>94</v>
      </c>
      <c r="J5" s="5" t="s">
        <v>95</v>
      </c>
      <c r="K5" s="6" t="s">
        <v>21</v>
      </c>
      <c r="L5" s="7" t="s">
        <v>22</v>
      </c>
      <c r="M5" s="3" t="s">
        <v>83</v>
      </c>
    </row>
    <row r="6" spans="1:13" ht="47.25" customHeight="1" x14ac:dyDescent="0.25">
      <c r="A6" s="3">
        <f>A5+1</f>
        <v>2</v>
      </c>
      <c r="B6" s="4">
        <v>46011.621979166666</v>
      </c>
      <c r="C6" s="3" t="s">
        <v>96</v>
      </c>
      <c r="D6" s="3"/>
      <c r="E6" s="8" t="s">
        <v>97</v>
      </c>
      <c r="F6" s="3" t="s">
        <v>98</v>
      </c>
      <c r="G6" s="3" t="s">
        <v>18</v>
      </c>
      <c r="H6" s="3" t="s">
        <v>99</v>
      </c>
      <c r="I6" s="5" t="s">
        <v>100</v>
      </c>
      <c r="J6" s="5" t="s">
        <v>101</v>
      </c>
      <c r="K6" s="6" t="s">
        <v>102</v>
      </c>
      <c r="L6" s="7" t="s">
        <v>103</v>
      </c>
      <c r="M6" s="3" t="s">
        <v>104</v>
      </c>
    </row>
    <row r="7" spans="1:13" ht="47.25" customHeight="1" x14ac:dyDescent="0.25">
      <c r="A7" s="3">
        <f t="shared" ref="A7:A35" si="0">A6+1</f>
        <v>3</v>
      </c>
      <c r="B7" s="4">
        <v>46011.595578703702</v>
      </c>
      <c r="C7" s="3" t="s">
        <v>105</v>
      </c>
      <c r="D7" s="3"/>
      <c r="E7" s="3" t="s">
        <v>106</v>
      </c>
      <c r="F7" s="3" t="s">
        <v>107</v>
      </c>
      <c r="G7" s="3" t="s">
        <v>18</v>
      </c>
      <c r="H7" s="3" t="s">
        <v>108</v>
      </c>
      <c r="I7" s="5" t="s">
        <v>100</v>
      </c>
      <c r="J7" s="5" t="s">
        <v>101</v>
      </c>
      <c r="K7" s="6" t="s">
        <v>109</v>
      </c>
      <c r="L7" s="7" t="s">
        <v>110</v>
      </c>
      <c r="M7" s="3" t="s">
        <v>84</v>
      </c>
    </row>
    <row r="8" spans="1:13" ht="47.25" customHeight="1" x14ac:dyDescent="0.25">
      <c r="A8" s="3">
        <f t="shared" si="0"/>
        <v>4</v>
      </c>
      <c r="B8" s="4">
        <v>46011.605034722219</v>
      </c>
      <c r="C8" s="3" t="s">
        <v>111</v>
      </c>
      <c r="D8" s="3"/>
      <c r="E8" s="3" t="s">
        <v>112</v>
      </c>
      <c r="F8" s="3" t="s">
        <v>107</v>
      </c>
      <c r="G8" s="3" t="s">
        <v>18</v>
      </c>
      <c r="H8" s="3" t="s">
        <v>113</v>
      </c>
      <c r="I8" s="5" t="s">
        <v>100</v>
      </c>
      <c r="J8" s="5" t="s">
        <v>101</v>
      </c>
      <c r="K8" s="6" t="s">
        <v>114</v>
      </c>
      <c r="L8" s="7" t="s">
        <v>110</v>
      </c>
      <c r="M8" s="3" t="s">
        <v>82</v>
      </c>
    </row>
    <row r="9" spans="1:13" ht="47.25" customHeight="1" x14ac:dyDescent="0.25">
      <c r="A9" s="3">
        <f t="shared" si="0"/>
        <v>5</v>
      </c>
      <c r="B9" s="4">
        <v>46010.539652777778</v>
      </c>
      <c r="C9" s="3" t="s">
        <v>115</v>
      </c>
      <c r="D9" s="3" t="s">
        <v>23</v>
      </c>
      <c r="E9" s="3" t="s">
        <v>116</v>
      </c>
      <c r="F9" s="3" t="s">
        <v>107</v>
      </c>
      <c r="G9" s="3" t="s">
        <v>18</v>
      </c>
      <c r="H9" s="3" t="s">
        <v>117</v>
      </c>
      <c r="I9" s="5" t="s">
        <v>100</v>
      </c>
      <c r="J9" s="5" t="s">
        <v>118</v>
      </c>
      <c r="K9" s="6" t="s">
        <v>119</v>
      </c>
      <c r="L9" s="7" t="s">
        <v>110</v>
      </c>
      <c r="M9" s="3" t="s">
        <v>82</v>
      </c>
    </row>
    <row r="10" spans="1:13" ht="47.25" customHeight="1" x14ac:dyDescent="0.25">
      <c r="A10" s="3">
        <f t="shared" si="0"/>
        <v>6</v>
      </c>
      <c r="B10" s="4">
        <v>46012.581736111111</v>
      </c>
      <c r="C10" s="3" t="s">
        <v>120</v>
      </c>
      <c r="D10" s="3" t="s">
        <v>23</v>
      </c>
      <c r="E10" s="8" t="s">
        <v>121</v>
      </c>
      <c r="F10" s="3" t="s">
        <v>24</v>
      </c>
      <c r="G10" s="3" t="s">
        <v>18</v>
      </c>
      <c r="H10" s="3" t="s">
        <v>122</v>
      </c>
      <c r="I10" s="5" t="s">
        <v>123</v>
      </c>
      <c r="J10" s="5" t="s">
        <v>124</v>
      </c>
      <c r="K10" s="6" t="s">
        <v>25</v>
      </c>
      <c r="L10" s="7" t="s">
        <v>26</v>
      </c>
      <c r="M10" s="3" t="s">
        <v>125</v>
      </c>
    </row>
    <row r="11" spans="1:13" ht="47.25" customHeight="1" x14ac:dyDescent="0.25">
      <c r="A11" s="3">
        <f t="shared" si="0"/>
        <v>7</v>
      </c>
      <c r="B11" s="4">
        <v>46012.573842592596</v>
      </c>
      <c r="C11" s="3" t="s">
        <v>126</v>
      </c>
      <c r="D11" s="3"/>
      <c r="E11" s="8" t="s">
        <v>127</v>
      </c>
      <c r="F11" s="3" t="s">
        <v>24</v>
      </c>
      <c r="G11" s="3" t="s">
        <v>18</v>
      </c>
      <c r="H11" s="3" t="s">
        <v>128</v>
      </c>
      <c r="I11" s="5" t="s">
        <v>100</v>
      </c>
      <c r="J11" s="5" t="s">
        <v>123</v>
      </c>
      <c r="K11" s="6" t="s">
        <v>25</v>
      </c>
      <c r="L11" s="7" t="s">
        <v>26</v>
      </c>
      <c r="M11" s="3" t="s">
        <v>125</v>
      </c>
    </row>
    <row r="12" spans="1:13" ht="47.25" customHeight="1" x14ac:dyDescent="0.25">
      <c r="A12" s="3">
        <f t="shared" si="0"/>
        <v>8</v>
      </c>
      <c r="B12" s="4">
        <v>46012.575821759259</v>
      </c>
      <c r="C12" s="3" t="s">
        <v>129</v>
      </c>
      <c r="D12" s="3"/>
      <c r="E12" s="8" t="s">
        <v>130</v>
      </c>
      <c r="F12" s="3" t="s">
        <v>24</v>
      </c>
      <c r="G12" s="3" t="s">
        <v>18</v>
      </c>
      <c r="H12" s="3" t="s">
        <v>131</v>
      </c>
      <c r="I12" s="5" t="s">
        <v>100</v>
      </c>
      <c r="J12" s="5" t="s">
        <v>123</v>
      </c>
      <c r="K12" s="6" t="s">
        <v>25</v>
      </c>
      <c r="L12" s="7" t="s">
        <v>26</v>
      </c>
      <c r="M12" s="3" t="s">
        <v>125</v>
      </c>
    </row>
    <row r="13" spans="1:13" ht="47.25" customHeight="1" x14ac:dyDescent="0.25">
      <c r="A13" s="3">
        <f t="shared" si="0"/>
        <v>9</v>
      </c>
      <c r="B13" s="4">
        <v>46012.578055555554</v>
      </c>
      <c r="C13" s="3" t="s">
        <v>132</v>
      </c>
      <c r="D13" s="3"/>
      <c r="E13" s="8" t="s">
        <v>133</v>
      </c>
      <c r="F13" s="3" t="s">
        <v>24</v>
      </c>
      <c r="G13" s="3" t="s">
        <v>18</v>
      </c>
      <c r="H13" s="3" t="s">
        <v>134</v>
      </c>
      <c r="I13" s="5" t="s">
        <v>100</v>
      </c>
      <c r="J13" s="5" t="s">
        <v>123</v>
      </c>
      <c r="K13" s="6" t="s">
        <v>25</v>
      </c>
      <c r="L13" s="7" t="s">
        <v>26</v>
      </c>
      <c r="M13" s="3" t="s">
        <v>84</v>
      </c>
    </row>
    <row r="14" spans="1:13" ht="47.25" customHeight="1" x14ac:dyDescent="0.25">
      <c r="A14" s="3">
        <f t="shared" si="0"/>
        <v>10</v>
      </c>
      <c r="B14" s="4">
        <v>46008.563807870371</v>
      </c>
      <c r="C14" s="3" t="s">
        <v>33</v>
      </c>
      <c r="D14" s="3" t="s">
        <v>17</v>
      </c>
      <c r="E14" s="3" t="s">
        <v>34</v>
      </c>
      <c r="F14" s="3" t="s">
        <v>35</v>
      </c>
      <c r="G14" s="3" t="s">
        <v>18</v>
      </c>
      <c r="H14" s="3" t="s">
        <v>29</v>
      </c>
      <c r="I14" s="5" t="s">
        <v>30</v>
      </c>
      <c r="J14" s="5" t="s">
        <v>32</v>
      </c>
      <c r="K14" s="6" t="s">
        <v>36</v>
      </c>
      <c r="L14" s="7" t="s">
        <v>31</v>
      </c>
      <c r="M14" s="3" t="s">
        <v>85</v>
      </c>
    </row>
    <row r="15" spans="1:13" ht="47.25" customHeight="1" x14ac:dyDescent="0.25">
      <c r="A15" s="3">
        <f t="shared" si="0"/>
        <v>11</v>
      </c>
      <c r="B15" s="4">
        <v>46008.567314814813</v>
      </c>
      <c r="C15" s="3" t="s">
        <v>37</v>
      </c>
      <c r="D15" s="3" t="s">
        <v>17</v>
      </c>
      <c r="E15" s="3" t="s">
        <v>38</v>
      </c>
      <c r="F15" s="3" t="s">
        <v>35</v>
      </c>
      <c r="G15" s="3" t="s">
        <v>18</v>
      </c>
      <c r="H15" s="3" t="s">
        <v>29</v>
      </c>
      <c r="I15" s="5" t="s">
        <v>30</v>
      </c>
      <c r="J15" s="5" t="s">
        <v>32</v>
      </c>
      <c r="K15" s="6" t="s">
        <v>39</v>
      </c>
      <c r="L15" s="7" t="s">
        <v>31</v>
      </c>
      <c r="M15" s="3" t="s">
        <v>85</v>
      </c>
    </row>
    <row r="16" spans="1:13" ht="47.25" customHeight="1" x14ac:dyDescent="0.25">
      <c r="A16" s="3">
        <f t="shared" si="0"/>
        <v>12</v>
      </c>
      <c r="B16" s="4">
        <v>46011.522326388891</v>
      </c>
      <c r="C16" s="3" t="s">
        <v>135</v>
      </c>
      <c r="D16" s="3" t="s">
        <v>23</v>
      </c>
      <c r="E16" s="3" t="s">
        <v>136</v>
      </c>
      <c r="F16" s="3" t="s">
        <v>40</v>
      </c>
      <c r="G16" s="3" t="s">
        <v>18</v>
      </c>
      <c r="H16" s="3" t="s">
        <v>137</v>
      </c>
      <c r="I16" s="5" t="s">
        <v>100</v>
      </c>
      <c r="J16" s="5" t="s">
        <v>81</v>
      </c>
      <c r="K16" s="6" t="s">
        <v>41</v>
      </c>
      <c r="L16" s="7" t="s">
        <v>42</v>
      </c>
      <c r="M16" s="3" t="s">
        <v>138</v>
      </c>
    </row>
    <row r="17" spans="1:13" ht="47.25" customHeight="1" x14ac:dyDescent="0.25">
      <c r="A17" s="3">
        <f t="shared" si="0"/>
        <v>13</v>
      </c>
      <c r="B17" s="4">
        <v>45953.747557870367</v>
      </c>
      <c r="C17" s="3" t="s">
        <v>139</v>
      </c>
      <c r="D17" s="3" t="s">
        <v>23</v>
      </c>
      <c r="E17" s="8" t="s">
        <v>140</v>
      </c>
      <c r="F17" s="3" t="s">
        <v>141</v>
      </c>
      <c r="G17" s="3" t="s">
        <v>18</v>
      </c>
      <c r="H17" s="3" t="s">
        <v>142</v>
      </c>
      <c r="I17" s="5" t="s">
        <v>143</v>
      </c>
      <c r="J17" s="5" t="s">
        <v>45</v>
      </c>
      <c r="K17" s="6" t="s">
        <v>144</v>
      </c>
      <c r="L17" s="7" t="s">
        <v>145</v>
      </c>
      <c r="M17" s="3" t="s">
        <v>146</v>
      </c>
    </row>
    <row r="18" spans="1:13" ht="47.25" customHeight="1" x14ac:dyDescent="0.25">
      <c r="A18" s="3">
        <f t="shared" si="0"/>
        <v>14</v>
      </c>
      <c r="B18" s="4">
        <v>45918.685648148145</v>
      </c>
      <c r="C18" s="3" t="s">
        <v>147</v>
      </c>
      <c r="D18" s="3" t="s">
        <v>23</v>
      </c>
      <c r="E18" s="8" t="s">
        <v>148</v>
      </c>
      <c r="F18" s="3" t="s">
        <v>141</v>
      </c>
      <c r="G18" s="3" t="s">
        <v>44</v>
      </c>
      <c r="H18" s="3" t="s">
        <v>142</v>
      </c>
      <c r="I18" s="5" t="s">
        <v>100</v>
      </c>
      <c r="J18" s="5" t="s">
        <v>149</v>
      </c>
      <c r="K18" s="6" t="s">
        <v>150</v>
      </c>
      <c r="L18" s="7" t="s">
        <v>145</v>
      </c>
      <c r="M18" s="3" t="s">
        <v>146</v>
      </c>
    </row>
    <row r="19" spans="1:13" ht="47.25" customHeight="1" x14ac:dyDescent="0.25">
      <c r="A19" s="3">
        <f t="shared" si="0"/>
        <v>15</v>
      </c>
      <c r="B19" s="4">
        <v>46012.656886574077</v>
      </c>
      <c r="C19" s="3" t="s">
        <v>151</v>
      </c>
      <c r="D19" s="3"/>
      <c r="E19" s="3" t="s">
        <v>152</v>
      </c>
      <c r="F19" s="3" t="s">
        <v>141</v>
      </c>
      <c r="G19" s="3" t="s">
        <v>18</v>
      </c>
      <c r="H19" s="3" t="s">
        <v>153</v>
      </c>
      <c r="I19" s="5" t="s">
        <v>154</v>
      </c>
      <c r="J19" s="5" t="s">
        <v>101</v>
      </c>
      <c r="K19" s="6" t="s">
        <v>155</v>
      </c>
      <c r="L19" s="7" t="s">
        <v>156</v>
      </c>
      <c r="M19" s="3" t="s">
        <v>157</v>
      </c>
    </row>
    <row r="20" spans="1:13" ht="47.25" customHeight="1" x14ac:dyDescent="0.25">
      <c r="A20" s="3">
        <f t="shared" si="0"/>
        <v>16</v>
      </c>
      <c r="B20" s="4">
        <v>46012.557997685188</v>
      </c>
      <c r="C20" s="3" t="s">
        <v>158</v>
      </c>
      <c r="D20" s="3"/>
      <c r="E20" s="3" t="s">
        <v>159</v>
      </c>
      <c r="F20" s="3" t="s">
        <v>47</v>
      </c>
      <c r="G20" s="3" t="s">
        <v>44</v>
      </c>
      <c r="H20" s="3" t="s">
        <v>160</v>
      </c>
      <c r="I20" s="5" t="s">
        <v>154</v>
      </c>
      <c r="J20" s="5" t="s">
        <v>123</v>
      </c>
      <c r="K20" s="6" t="s">
        <v>88</v>
      </c>
      <c r="L20" s="7" t="s">
        <v>89</v>
      </c>
      <c r="M20" s="3" t="s">
        <v>157</v>
      </c>
    </row>
    <row r="21" spans="1:13" ht="47.25" customHeight="1" x14ac:dyDescent="0.25">
      <c r="A21" s="3">
        <f t="shared" si="0"/>
        <v>17</v>
      </c>
      <c r="B21" s="4">
        <v>46001.502152777779</v>
      </c>
      <c r="C21" s="3" t="s">
        <v>52</v>
      </c>
      <c r="D21" s="3" t="s">
        <v>17</v>
      </c>
      <c r="E21" s="3" t="s">
        <v>46</v>
      </c>
      <c r="F21" s="3" t="s">
        <v>47</v>
      </c>
      <c r="G21" s="3" t="s">
        <v>18</v>
      </c>
      <c r="H21" s="3" t="s">
        <v>48</v>
      </c>
      <c r="I21" s="5" t="s">
        <v>19</v>
      </c>
      <c r="J21" s="5" t="s">
        <v>49</v>
      </c>
      <c r="K21" s="6" t="s">
        <v>50</v>
      </c>
      <c r="L21" s="7" t="s">
        <v>51</v>
      </c>
      <c r="M21" s="3" t="s">
        <v>82</v>
      </c>
    </row>
    <row r="22" spans="1:13" ht="47.25" customHeight="1" x14ac:dyDescent="0.25">
      <c r="A22" s="3">
        <f t="shared" si="0"/>
        <v>18</v>
      </c>
      <c r="B22" s="4">
        <v>46012.570868055554</v>
      </c>
      <c r="C22" s="3" t="s">
        <v>161</v>
      </c>
      <c r="D22" s="3"/>
      <c r="E22" s="3" t="s">
        <v>162</v>
      </c>
      <c r="F22" s="3" t="s">
        <v>87</v>
      </c>
      <c r="G22" s="3" t="s">
        <v>44</v>
      </c>
      <c r="H22" s="3" t="s">
        <v>163</v>
      </c>
      <c r="I22" s="5" t="s">
        <v>164</v>
      </c>
      <c r="J22" s="5" t="s">
        <v>165</v>
      </c>
      <c r="K22" s="6" t="s">
        <v>88</v>
      </c>
      <c r="L22" s="7" t="s">
        <v>89</v>
      </c>
      <c r="M22" s="3" t="s">
        <v>83</v>
      </c>
    </row>
    <row r="23" spans="1:13" ht="47.25" customHeight="1" x14ac:dyDescent="0.25">
      <c r="A23" s="3">
        <f t="shared" si="0"/>
        <v>19</v>
      </c>
      <c r="B23" s="4">
        <v>46012.405740740738</v>
      </c>
      <c r="C23" s="3" t="s">
        <v>166</v>
      </c>
      <c r="D23" s="3"/>
      <c r="E23" s="3" t="s">
        <v>167</v>
      </c>
      <c r="F23" s="3" t="s">
        <v>168</v>
      </c>
      <c r="G23" s="3" t="s">
        <v>18</v>
      </c>
      <c r="H23" s="3" t="s">
        <v>169</v>
      </c>
      <c r="I23" s="5" t="s">
        <v>154</v>
      </c>
      <c r="J23" s="5" t="s">
        <v>123</v>
      </c>
      <c r="K23" s="6" t="s">
        <v>170</v>
      </c>
      <c r="L23" s="7" t="s">
        <v>171</v>
      </c>
      <c r="M23" s="3" t="s">
        <v>84</v>
      </c>
    </row>
    <row r="24" spans="1:13" ht="47.25" customHeight="1" x14ac:dyDescent="0.25">
      <c r="A24" s="3">
        <f t="shared" si="0"/>
        <v>20</v>
      </c>
      <c r="B24" s="4">
        <v>46011.52553240741</v>
      </c>
      <c r="C24" s="3" t="s">
        <v>172</v>
      </c>
      <c r="D24" s="3" t="s">
        <v>23</v>
      </c>
      <c r="E24" s="8" t="s">
        <v>173</v>
      </c>
      <c r="F24" s="3" t="s">
        <v>174</v>
      </c>
      <c r="G24" s="3" t="s">
        <v>18</v>
      </c>
      <c r="H24" s="3" t="s">
        <v>175</v>
      </c>
      <c r="I24" s="5" t="s">
        <v>154</v>
      </c>
      <c r="J24" s="5" t="s">
        <v>176</v>
      </c>
      <c r="K24" s="6" t="s">
        <v>177</v>
      </c>
      <c r="L24" s="7" t="s">
        <v>178</v>
      </c>
      <c r="M24" s="3" t="s">
        <v>84</v>
      </c>
    </row>
    <row r="25" spans="1:13" ht="47.25" customHeight="1" x14ac:dyDescent="0.25">
      <c r="A25" s="3">
        <f t="shared" si="0"/>
        <v>21</v>
      </c>
      <c r="B25" s="4">
        <v>45960.569027777776</v>
      </c>
      <c r="C25" s="3" t="s">
        <v>54</v>
      </c>
      <c r="D25" s="3" t="s">
        <v>17</v>
      </c>
      <c r="E25" s="3" t="s">
        <v>55</v>
      </c>
      <c r="F25" s="3" t="s">
        <v>56</v>
      </c>
      <c r="G25" s="3" t="s">
        <v>18</v>
      </c>
      <c r="H25" s="3" t="s">
        <v>57</v>
      </c>
      <c r="I25" s="5" t="s">
        <v>58</v>
      </c>
      <c r="J25" s="5" t="s">
        <v>45</v>
      </c>
      <c r="K25" s="6" t="s">
        <v>59</v>
      </c>
      <c r="L25" s="7" t="s">
        <v>60</v>
      </c>
      <c r="M25" s="3" t="s">
        <v>82</v>
      </c>
    </row>
    <row r="26" spans="1:13" ht="47.25" customHeight="1" x14ac:dyDescent="0.25">
      <c r="A26" s="3">
        <f t="shared" si="0"/>
        <v>22</v>
      </c>
      <c r="B26" s="4">
        <v>46012.669548611113</v>
      </c>
      <c r="C26" s="3" t="s">
        <v>179</v>
      </c>
      <c r="D26" s="3"/>
      <c r="E26" s="3" t="s">
        <v>180</v>
      </c>
      <c r="F26" s="3" t="s">
        <v>90</v>
      </c>
      <c r="G26" s="3" t="s">
        <v>18</v>
      </c>
      <c r="H26" s="3" t="s">
        <v>181</v>
      </c>
      <c r="I26" s="5" t="s">
        <v>154</v>
      </c>
      <c r="J26" s="5" t="s">
        <v>123</v>
      </c>
      <c r="K26" s="6" t="s">
        <v>182</v>
      </c>
      <c r="L26" s="7" t="s">
        <v>61</v>
      </c>
      <c r="M26" s="3" t="s">
        <v>146</v>
      </c>
    </row>
    <row r="27" spans="1:13" ht="47.25" customHeight="1" x14ac:dyDescent="0.25">
      <c r="A27" s="3">
        <f t="shared" si="0"/>
        <v>23</v>
      </c>
      <c r="B27" s="4">
        <v>46011.659317129626</v>
      </c>
      <c r="C27" s="3" t="s">
        <v>183</v>
      </c>
      <c r="D27" s="3"/>
      <c r="E27" s="3" t="s">
        <v>184</v>
      </c>
      <c r="F27" s="3" t="s">
        <v>185</v>
      </c>
      <c r="G27" s="3" t="s">
        <v>18</v>
      </c>
      <c r="H27" s="3" t="s">
        <v>186</v>
      </c>
      <c r="I27" s="5" t="s">
        <v>154</v>
      </c>
      <c r="J27" s="5" t="s">
        <v>101</v>
      </c>
      <c r="K27" s="6" t="s">
        <v>187</v>
      </c>
      <c r="L27" s="7" t="s">
        <v>188</v>
      </c>
      <c r="M27" s="3" t="s">
        <v>146</v>
      </c>
    </row>
    <row r="28" spans="1:13" ht="47.25" customHeight="1" x14ac:dyDescent="0.25">
      <c r="A28" s="3">
        <f t="shared" si="0"/>
        <v>24</v>
      </c>
      <c r="B28" s="4">
        <v>45982.62771990741</v>
      </c>
      <c r="C28" s="3" t="s">
        <v>62</v>
      </c>
      <c r="D28" s="3" t="s">
        <v>17</v>
      </c>
      <c r="E28" s="3" t="s">
        <v>63</v>
      </c>
      <c r="F28" s="3" t="s">
        <v>64</v>
      </c>
      <c r="G28" s="3" t="s">
        <v>18</v>
      </c>
      <c r="H28" s="3" t="s">
        <v>65</v>
      </c>
      <c r="I28" s="5" t="s">
        <v>66</v>
      </c>
      <c r="J28" s="5" t="s">
        <v>67</v>
      </c>
      <c r="K28" s="6" t="s">
        <v>68</v>
      </c>
      <c r="L28" s="7" t="s">
        <v>69</v>
      </c>
      <c r="M28" s="3" t="s">
        <v>86</v>
      </c>
    </row>
    <row r="29" spans="1:13" ht="47.25" customHeight="1" x14ac:dyDescent="0.25">
      <c r="A29" s="3">
        <f t="shared" si="0"/>
        <v>25</v>
      </c>
      <c r="B29" s="4">
        <v>46003.541168981479</v>
      </c>
      <c r="C29" s="3" t="s">
        <v>76</v>
      </c>
      <c r="D29" s="3" t="s">
        <v>23</v>
      </c>
      <c r="E29" s="3" t="s">
        <v>70</v>
      </c>
      <c r="F29" s="3" t="s">
        <v>71</v>
      </c>
      <c r="G29" s="3" t="s">
        <v>18</v>
      </c>
      <c r="H29" s="3" t="s">
        <v>72</v>
      </c>
      <c r="I29" s="5" t="s">
        <v>53</v>
      </c>
      <c r="J29" s="5" t="s">
        <v>73</v>
      </c>
      <c r="K29" s="6" t="s">
        <v>74</v>
      </c>
      <c r="L29" s="7" t="s">
        <v>75</v>
      </c>
      <c r="M29" s="3" t="s">
        <v>23</v>
      </c>
    </row>
    <row r="30" spans="1:13" ht="47.25" customHeight="1" x14ac:dyDescent="0.25">
      <c r="A30" s="3">
        <v>26</v>
      </c>
      <c r="B30" s="4">
        <v>46004.649699074071</v>
      </c>
      <c r="C30" s="3" t="s">
        <v>77</v>
      </c>
      <c r="D30" s="3" t="s">
        <v>23</v>
      </c>
      <c r="E30" s="3" t="s">
        <v>78</v>
      </c>
      <c r="F30" s="3" t="s">
        <v>79</v>
      </c>
      <c r="G30" s="3" t="s">
        <v>18</v>
      </c>
      <c r="H30" s="3" t="s">
        <v>80</v>
      </c>
      <c r="I30" s="5" t="s">
        <v>43</v>
      </c>
      <c r="J30" s="5" t="s">
        <v>81</v>
      </c>
      <c r="K30" s="6" t="s">
        <v>27</v>
      </c>
      <c r="L30" s="7" t="s">
        <v>28</v>
      </c>
      <c r="M30" s="3"/>
    </row>
    <row r="31" spans="1:13" ht="70.5" customHeight="1" x14ac:dyDescent="0.25">
      <c r="A31" s="14">
        <f t="shared" si="0"/>
        <v>27</v>
      </c>
      <c r="B31" s="15"/>
      <c r="C31" s="14"/>
      <c r="D31" s="14"/>
      <c r="E31" s="16" t="s">
        <v>189</v>
      </c>
      <c r="F31" s="16" t="s">
        <v>190</v>
      </c>
      <c r="G31" s="14"/>
      <c r="H31" s="16" t="s">
        <v>191</v>
      </c>
      <c r="I31" s="16" t="s">
        <v>192</v>
      </c>
      <c r="J31" s="16" t="s">
        <v>193</v>
      </c>
      <c r="K31" s="17"/>
      <c r="L31" s="18"/>
      <c r="M31" s="16" t="s">
        <v>194</v>
      </c>
    </row>
    <row r="32" spans="1:13" ht="113.25" customHeight="1" x14ac:dyDescent="0.25">
      <c r="A32" s="14">
        <v>28</v>
      </c>
      <c r="B32" s="15"/>
      <c r="C32" s="14"/>
      <c r="D32" s="14"/>
      <c r="E32" s="16" t="s">
        <v>195</v>
      </c>
      <c r="F32" s="16" t="s">
        <v>190</v>
      </c>
      <c r="G32" s="14"/>
      <c r="H32" s="16" t="s">
        <v>142</v>
      </c>
      <c r="I32" s="16" t="s">
        <v>196</v>
      </c>
      <c r="J32" s="16" t="s">
        <v>193</v>
      </c>
      <c r="K32" s="17"/>
      <c r="L32" s="18"/>
      <c r="M32" s="16" t="s">
        <v>197</v>
      </c>
    </row>
    <row r="33" spans="1:13" ht="69.75" customHeight="1" x14ac:dyDescent="0.25">
      <c r="A33" s="14">
        <f t="shared" si="0"/>
        <v>29</v>
      </c>
      <c r="B33" s="15"/>
      <c r="C33" s="14"/>
      <c r="D33" s="14"/>
      <c r="E33" s="16" t="s">
        <v>198</v>
      </c>
      <c r="F33" s="16" t="s">
        <v>190</v>
      </c>
      <c r="G33" s="14"/>
      <c r="H33" s="16" t="s">
        <v>199</v>
      </c>
      <c r="I33" s="16" t="s">
        <v>196</v>
      </c>
      <c r="J33" s="16" t="s">
        <v>193</v>
      </c>
      <c r="K33" s="17"/>
      <c r="L33" s="18"/>
      <c r="M33" s="16" t="s">
        <v>200</v>
      </c>
    </row>
    <row r="34" spans="1:13" ht="146.25" customHeight="1" x14ac:dyDescent="0.25">
      <c r="A34" s="14">
        <v>30</v>
      </c>
      <c r="B34" s="15"/>
      <c r="C34" s="14"/>
      <c r="D34" s="14"/>
      <c r="E34" s="16" t="s">
        <v>201</v>
      </c>
      <c r="F34" s="16" t="s">
        <v>202</v>
      </c>
      <c r="G34" s="14"/>
      <c r="H34" s="16" t="s">
        <v>203</v>
      </c>
      <c r="I34" s="16" t="s">
        <v>192</v>
      </c>
      <c r="J34" s="16" t="s">
        <v>193</v>
      </c>
      <c r="K34" s="17"/>
      <c r="L34" s="18"/>
      <c r="M34" s="16" t="s">
        <v>204</v>
      </c>
    </row>
    <row r="35" spans="1:13" ht="124.5" customHeight="1" x14ac:dyDescent="0.25">
      <c r="A35" s="14">
        <f t="shared" si="0"/>
        <v>31</v>
      </c>
      <c r="B35" s="15"/>
      <c r="C35" s="14"/>
      <c r="D35" s="14"/>
      <c r="E35" s="16" t="s">
        <v>205</v>
      </c>
      <c r="F35" s="16" t="s">
        <v>206</v>
      </c>
      <c r="G35" s="14"/>
      <c r="H35" s="16" t="s">
        <v>207</v>
      </c>
      <c r="I35" s="16" t="s">
        <v>192</v>
      </c>
      <c r="J35" s="16" t="s">
        <v>193</v>
      </c>
      <c r="K35" s="17"/>
      <c r="L35" s="18"/>
      <c r="M35" s="16" t="s">
        <v>208</v>
      </c>
    </row>
    <row r="36" spans="1:13" ht="152.25" customHeight="1" x14ac:dyDescent="0.25">
      <c r="A36" s="14">
        <v>32</v>
      </c>
      <c r="B36" s="15"/>
      <c r="C36" s="14"/>
      <c r="D36" s="14"/>
      <c r="E36" s="16" t="s">
        <v>209</v>
      </c>
      <c r="F36" s="16" t="s">
        <v>206</v>
      </c>
      <c r="G36" s="14"/>
      <c r="H36" s="16" t="s">
        <v>207</v>
      </c>
      <c r="I36" s="16" t="s">
        <v>192</v>
      </c>
      <c r="J36" s="16" t="s">
        <v>193</v>
      </c>
      <c r="K36" s="17"/>
      <c r="L36" s="18"/>
      <c r="M36" s="16" t="s">
        <v>210</v>
      </c>
    </row>
    <row r="37" spans="1:13" ht="47.25" customHeight="1" x14ac:dyDescent="0.25">
      <c r="A37" s="3"/>
      <c r="B37" s="4"/>
      <c r="C37" s="3"/>
      <c r="D37" s="3"/>
      <c r="E37" s="3"/>
      <c r="F37" s="3"/>
      <c r="G37" s="3"/>
      <c r="H37" s="3"/>
      <c r="I37" s="5"/>
      <c r="J37" s="5"/>
      <c r="K37" s="6"/>
      <c r="L37" s="7"/>
      <c r="M37" s="3"/>
    </row>
    <row r="38" spans="1:13" ht="47.25" customHeight="1" x14ac:dyDescent="0.25">
      <c r="A38" s="3"/>
      <c r="B38" s="4"/>
      <c r="C38" s="3"/>
      <c r="D38" s="3"/>
      <c r="E38" s="3"/>
      <c r="F38" s="3"/>
      <c r="G38" s="3"/>
      <c r="H38" s="3"/>
      <c r="I38" s="5"/>
      <c r="J38" s="5"/>
      <c r="K38" s="6"/>
      <c r="L38" s="7"/>
      <c r="M38" s="3" t="s">
        <v>23</v>
      </c>
    </row>
  </sheetData>
  <mergeCells count="2">
    <mergeCell ref="B1:M1"/>
    <mergeCell ref="K4:L4"/>
  </mergeCells>
  <pageMargins left="0" right="0" top="0" bottom="0" header="0.51181102362204722" footer="0.51181102362204722"/>
  <pageSetup paperSize="9" scale="3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2025-12-19T12:47:12Z</cp:lastPrinted>
  <dcterms:created xsi:type="dcterms:W3CDTF">2025-12-19T11:44:45Z</dcterms:created>
  <dcterms:modified xsi:type="dcterms:W3CDTF">2025-12-21T13:48:00Z</dcterms:modified>
</cp:coreProperties>
</file>
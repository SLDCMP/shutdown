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1" l="1"/>
  <c r="A20" i="1"/>
  <c r="A21" i="1"/>
  <c r="A22" i="1"/>
  <c r="A23" i="1" s="1"/>
  <c r="A24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<sst xmlns="http://schemas.openxmlformats.org/spreadsheetml/2006/main" count="202" uniqueCount="141">
  <si>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</si>
  <si>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</si>
  <si>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</si>
  <si>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</si>
  <si>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</si>
  <si>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</si>
  <si>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</si>
  <si>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</si>
  <si>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</si>
  <si>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</si>
  <si>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</si>
  <si>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</si>
  <si>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</si>
  <si>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</si>
  <si>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</si>
  <si>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</si>
  <si>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</si>
  <si>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MR2601/0196</t>
  </si>
  <si>
    <t>Daily</t>
  </si>
  <si>
    <t>132KV_132 kV Bhopal-Amrawatkhurd line</t>
  </si>
  <si>
    <t>220KV_BHOPAL</t>
  </si>
  <si>
    <t>NON-OCCM-MP</t>
  </si>
  <si>
    <t>HTLS Conductor replacement work</t>
  </si>
  <si>
    <t>13-01-2026 07:00:00</t>
  </si>
  <si>
    <t>05-02-2026 18:00:00</t>
  </si>
  <si>
    <t>Ankit Mehroliya</t>
  </si>
  <si>
    <t>9425804506</t>
  </si>
  <si>
    <t>MR2601/0401</t>
  </si>
  <si>
    <t>Continuous</t>
  </si>
  <si>
    <t>132KV_132 and 33 KV Bus Coupler</t>
  </si>
  <si>
    <t>132KV_BISNOOR</t>
  </si>
  <si>
    <t>Existing bay convert in transformer bay</t>
  </si>
  <si>
    <t>27-01-2026 10:00:00</t>
  </si>
  <si>
    <t>28-01-2026 22:57:00</t>
  </si>
  <si>
    <t>Er. Sanjay Pawar</t>
  </si>
  <si>
    <t>9425656425</t>
  </si>
  <si>
    <t>MR2601/0386</t>
  </si>
  <si>
    <t>220KV_2220 Kv Chhegaon - Khandwa (PGCIL)- Ckt-2nd</t>
  </si>
  <si>
    <t>400KV_CHHEGAON4</t>
  </si>
  <si>
    <t>OCCM-WR</t>
  </si>
  <si>
    <t>For Flash Over Disc Replacement &amp; Other Line Maint</t>
  </si>
  <si>
    <t>27-01-2026 08:00:00</t>
  </si>
  <si>
    <t>27-01-2026 18:00:00</t>
  </si>
  <si>
    <t>M.K.More</t>
  </si>
  <si>
    <t>9425805258</t>
  </si>
  <si>
    <t>MR2601/0379</t>
  </si>
  <si>
    <t>132KV_132 kV Shahdol-Dindori Circuit I</t>
  </si>
  <si>
    <t>132KV_DINDORI</t>
  </si>
  <si>
    <t>For Conductor re-sagging &amp; other line maintenance</t>
  </si>
  <si>
    <t>31-01-2026 18:00:00</t>
  </si>
  <si>
    <t>Jitendra Tiwari</t>
  </si>
  <si>
    <t>9425805298</t>
  </si>
  <si>
    <t>MR2601/0266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</si>
  <si>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</si>
  <si>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</si>
  <si>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</si>
  <si>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</si>
  <si>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</si>
  <si>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</si>
  <si>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</si>
  <si>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MR2601/0395</t>
  </si>
  <si>
    <t>132KV_CHAMBLE - SATYASAI LINE</t>
  </si>
  <si>
    <t>132KV_INDORE CHAMBAL</t>
  </si>
  <si>
    <t>CONDUCTOR REPLACEMENT WORK</t>
  </si>
  <si>
    <t>26-01-2026 07:00:00</t>
  </si>
  <si>
    <t>27-01-2026 17:30:00</t>
  </si>
  <si>
    <t>RAVINDRA PATIL</t>
  </si>
  <si>
    <t>8305612190</t>
  </si>
  <si>
    <t>27-01-2026 09:00:00</t>
  </si>
  <si>
    <t>MR2601/0402</t>
  </si>
  <si>
    <t>220KV_220 kV mangliya indore</t>
  </si>
  <si>
    <t>220KV_MANGLIA2</t>
  </si>
  <si>
    <t>Back up relay replacement work</t>
  </si>
  <si>
    <t>27-01-2026 11:00:00</t>
  </si>
  <si>
    <t>Ram babu nagar</t>
  </si>
  <si>
    <t>9425802879</t>
  </si>
  <si>
    <t>MR2601/0353</t>
  </si>
  <si>
    <t>132KV_132 KV Pipariya-Bankhedi</t>
  </si>
  <si>
    <t>220KV_PIPARIYA</t>
  </si>
  <si>
    <t>Re-sagging work loc.no. 45-13(Bankhedi lilo)</t>
  </si>
  <si>
    <t>23-01-2026 09:00:00</t>
  </si>
  <si>
    <t>28-01-2026 18:00:00</t>
  </si>
  <si>
    <t>AE TLM ITARSI</t>
  </si>
  <si>
    <t>9425806902</t>
  </si>
  <si>
    <t>MR2601/0350</t>
  </si>
  <si>
    <t>400KV_400KV SSTPH Pithampur ckt-2</t>
  </si>
  <si>
    <t>400KV_PITHAMPUR4</t>
  </si>
  <si>
    <t>Tower Restrengthening work on cross arm.</t>
  </si>
  <si>
    <t>22-01-2026 08:00:00</t>
  </si>
  <si>
    <t>Naresh Pandre</t>
  </si>
  <si>
    <t>9425806905</t>
  </si>
  <si>
    <t>MR2601/0349</t>
  </si>
  <si>
    <t>400KV_400KV SSTPH Pithampur ckt-1</t>
  </si>
  <si>
    <t>MR2601/0398</t>
  </si>
  <si>
    <t>132KV_132KV Railway traction feeder-1st</t>
  </si>
  <si>
    <t>220KV_RATLAM</t>
  </si>
  <si>
    <t>for Bay Main. Work</t>
  </si>
  <si>
    <t>27-01-2026 13:00:00</t>
  </si>
  <si>
    <t>Nikhil Dunge</t>
  </si>
  <si>
    <t>9425801487</t>
  </si>
  <si>
    <t>MR2601/0399</t>
  </si>
  <si>
    <t>132KV_132 KV Bus Coupler</t>
  </si>
  <si>
    <t>for Auxiliary Bus Isolator Maintenance Of Railway</t>
  </si>
  <si>
    <t>MR2512/0197</t>
  </si>
  <si>
    <t>400KV_400KV SARNI-ASHTA LINE-I</t>
  </si>
  <si>
    <t>400KV_SATPURA TPS</t>
  </si>
  <si>
    <t>ROUTINE TESTING,RELAY TESTING, GEN CHECKING &amp; MAIN</t>
  </si>
  <si>
    <t>YASHWANT WARATHE</t>
  </si>
  <si>
    <t>9425611046</t>
  </si>
  <si>
    <t>MR2601/0400</t>
  </si>
  <si>
    <t>132KV_40MVA BBL Transformer</t>
  </si>
  <si>
    <t>220KV_SHAHDOL</t>
  </si>
  <si>
    <t>Replacement of 132kV LAs</t>
  </si>
  <si>
    <t>27-01-2026 12:00:00</t>
  </si>
  <si>
    <t>Vijay Kumar Sahu</t>
  </si>
  <si>
    <t>9425814035</t>
  </si>
  <si>
    <t>sub ld</t>
  </si>
  <si>
    <t>ok</t>
  </si>
  <si>
    <t>deferred</t>
  </si>
  <si>
    <t>ok, through sub ld</t>
  </si>
  <si>
    <t>400KV-BHOPAL-MP-BINA-MP-2</t>
  </si>
  <si>
    <t>220KV-KHANDWA-CHHEGAON-2</t>
  </si>
  <si>
    <t>220KV-REWA-SINDHI-MP-1</t>
  </si>
  <si>
    <t>400KV-SEONI-KIRNAPUR-1</t>
  </si>
  <si>
    <t>400KV-SEONI-PG-SATPURA-1</t>
  </si>
  <si>
    <t>220KV-GWALIOR-GWALIOR-II-2</t>
  </si>
  <si>
    <t>POWERGRID_WR2</t>
  </si>
  <si>
    <t>09:00</t>
  </si>
  <si>
    <t>18:00</t>
  </si>
  <si>
    <t>AMP works</t>
  </si>
  <si>
    <t>real time</t>
  </si>
  <si>
    <t>MP_SLDC</t>
  </si>
  <si>
    <t>08:00</t>
  </si>
  <si>
    <t>10:00</t>
  </si>
  <si>
    <t>17:00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</si>
  <si>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</si>
  <si>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</si>
  <si>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ok., through sub ld</t>
  </si>
  <si>
    <t>POWERGRID_WR1</t>
  </si>
  <si>
    <t>Tie LBB Relay retrofitting and testing work @ Seoni S/S</t>
  </si>
  <si>
    <t>deferred due to high loading on 132kv netork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</si>
</sst>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zoomScale="80" zoomScaleNormal="80" workbookViewId="0">
      <selection activeCell="M2" sqref="M2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1.42578125" style="5" customWidth="1"/>
    <col min="6" max="6" width="25.85546875" style="5" customWidth="1"/>
    <col min="7" max="7" width="15.7109375" style="5" customWidth="1"/>
    <col min="8" max="8" width="64.85546875" style="5" customWidth="1"/>
    <col min="9" max="10" width="19.5703125" style="5" customWidth="1"/>
    <col min="11" max="11" width="17.28515625" style="5" customWidth="1"/>
    <col min="12" max="12" width="12" style="5" customWidth="1"/>
    <col min="13" max="13" width="36.57031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46049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30" customHeight="1" x14ac:dyDescent="0.25">
      <c r="A5" s="8">
        <v>1</v>
      </c>
      <c r="B5" s="9">
        <v>46034.687615740739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10" t="s">
        <v>23</v>
      </c>
      <c r="J5" s="10" t="s">
        <v>24</v>
      </c>
      <c r="K5" s="11" t="s">
        <v>25</v>
      </c>
      <c r="L5" s="12" t="s">
        <v>26</v>
      </c>
      <c r="M5" s="8" t="s">
        <v>116</v>
      </c>
    </row>
    <row r="6" spans="1:13" ht="30" customHeight="1" x14ac:dyDescent="0.25">
      <c r="A6" s="8">
        <f>A5+1</f>
        <v>2</v>
      </c>
      <c r="B6" s="9">
        <v>46048.678599537037</v>
      </c>
      <c r="C6" s="8" t="s">
        <v>27</v>
      </c>
      <c r="D6" s="8" t="s">
        <v>28</v>
      </c>
      <c r="E6" s="8" t="s">
        <v>29</v>
      </c>
      <c r="F6" s="8" t="s">
        <v>30</v>
      </c>
      <c r="G6" s="8" t="s">
        <v>21</v>
      </c>
      <c r="H6" s="8" t="s">
        <v>31</v>
      </c>
      <c r="I6" s="10" t="s">
        <v>32</v>
      </c>
      <c r="J6" s="10" t="s">
        <v>33</v>
      </c>
      <c r="K6" s="11" t="s">
        <v>34</v>
      </c>
      <c r="L6" s="12" t="s">
        <v>35</v>
      </c>
      <c r="M6" s="8" t="s">
        <v>116</v>
      </c>
    </row>
    <row r="7" spans="1:13" ht="30" customHeight="1" x14ac:dyDescent="0.25">
      <c r="A7" s="8">
        <f t="shared" ref="A7:A24" si="0">A6+1</f>
        <v>3</v>
      </c>
      <c r="B7" s="9">
        <v>46046.513298611113</v>
      </c>
      <c r="C7" s="8" t="s">
        <v>36</v>
      </c>
      <c r="D7" s="8"/>
      <c r="E7" s="8" t="s">
        <v>37</v>
      </c>
      <c r="F7" s="8" t="s">
        <v>38</v>
      </c>
      <c r="G7" s="8" t="s">
        <v>39</v>
      </c>
      <c r="H7" s="8" t="s">
        <v>40</v>
      </c>
      <c r="I7" s="10" t="s">
        <v>41</v>
      </c>
      <c r="J7" s="10" t="s">
        <v>42</v>
      </c>
      <c r="K7" s="11" t="s">
        <v>43</v>
      </c>
      <c r="L7" s="12" t="s">
        <v>44</v>
      </c>
      <c r="M7" s="8" t="s">
        <v>119</v>
      </c>
    </row>
    <row r="8" spans="1:13" ht="30" customHeight="1" x14ac:dyDescent="0.25">
      <c r="A8" s="8">
        <f t="shared" si="0"/>
        <v>4</v>
      </c>
      <c r="B8" s="9">
        <v>46045.695289351854</v>
      </c>
      <c r="C8" s="8" t="s">
        <v>45</v>
      </c>
      <c r="D8" s="8" t="s">
        <v>18</v>
      </c>
      <c r="E8" s="8" t="s">
        <v>46</v>
      </c>
      <c r="F8" s="8" t="s">
        <v>47</v>
      </c>
      <c r="G8" s="8" t="s">
        <v>21</v>
      </c>
      <c r="H8" s="8" t="s">
        <v>48</v>
      </c>
      <c r="I8" s="10" t="s">
        <v>41</v>
      </c>
      <c r="J8" s="10" t="s">
        <v>49</v>
      </c>
      <c r="K8" s="11" t="s">
        <v>50</v>
      </c>
      <c r="L8" s="12" t="s">
        <v>51</v>
      </c>
      <c r="M8" s="8" t="s">
        <v>117</v>
      </c>
    </row>
    <row r="9" spans="1:13" ht="30" customHeight="1" x14ac:dyDescent="0.25">
      <c r="A9" s="8">
        <f t="shared" si="0"/>
        <v>5</v>
      </c>
      <c r="B9" s="9">
        <v>46039.472916666666</v>
      </c>
      <c r="C9" s="8" t="s">
        <v>52</v>
      </c>
      <c r="D9" s="8" t="s">
        <v>28</v>
      </c>
      <c r="E9" s="8" t="s">
        <v>53</v>
      </c>
      <c r="F9" s="8" t="s">
        <v>54</v>
      </c>
      <c r="G9" s="8" t="s">
        <v>21</v>
      </c>
      <c r="H9" s="8" t="s">
        <v>55</v>
      </c>
      <c r="I9" s="10" t="s">
        <v>56</v>
      </c>
      <c r="J9" s="10" t="s">
        <v>57</v>
      </c>
      <c r="K9" s="11" t="s">
        <v>58</v>
      </c>
      <c r="L9" s="12" t="s">
        <v>59</v>
      </c>
      <c r="M9" s="24" t="s">
        <v>118</v>
      </c>
    </row>
    <row r="10" spans="1:13" ht="30" customHeight="1" x14ac:dyDescent="0.25">
      <c r="A10" s="8">
        <f t="shared" si="0"/>
        <v>6</v>
      </c>
      <c r="B10" s="9">
        <v>46047.673993055556</v>
      </c>
      <c r="C10" s="8" t="s">
        <v>60</v>
      </c>
      <c r="D10" s="8" t="s">
        <v>18</v>
      </c>
      <c r="E10" s="8" t="s">
        <v>61</v>
      </c>
      <c r="F10" s="8" t="s">
        <v>62</v>
      </c>
      <c r="G10" s="8" t="s">
        <v>21</v>
      </c>
      <c r="H10" s="8" t="s">
        <v>63</v>
      </c>
      <c r="I10" s="10" t="s">
        <v>64</v>
      </c>
      <c r="J10" s="10" t="s">
        <v>65</v>
      </c>
      <c r="K10" s="11" t="s">
        <v>66</v>
      </c>
      <c r="L10" s="12" t="s">
        <v>67</v>
      </c>
      <c r="M10" s="8" t="s">
        <v>116</v>
      </c>
    </row>
    <row r="11" spans="1:13" ht="30" customHeight="1" x14ac:dyDescent="0.25">
      <c r="A11" s="8">
        <f t="shared" si="0"/>
        <v>7</v>
      </c>
      <c r="B11" s="9">
        <v>46048.703993055555</v>
      </c>
      <c r="C11" s="8" t="s">
        <v>69</v>
      </c>
      <c r="D11" s="8"/>
      <c r="E11" s="8" t="s">
        <v>70</v>
      </c>
      <c r="F11" s="8" t="s">
        <v>71</v>
      </c>
      <c r="G11" s="8" t="s">
        <v>21</v>
      </c>
      <c r="H11" s="8" t="s">
        <v>72</v>
      </c>
      <c r="I11" s="10" t="s">
        <v>73</v>
      </c>
      <c r="J11" s="10" t="s">
        <v>42</v>
      </c>
      <c r="K11" s="11" t="s">
        <v>74</v>
      </c>
      <c r="L11" s="12" t="s">
        <v>75</v>
      </c>
      <c r="M11" s="8" t="s">
        <v>119</v>
      </c>
    </row>
    <row r="12" spans="1:13" ht="30" customHeight="1" x14ac:dyDescent="0.25">
      <c r="A12" s="8">
        <f t="shared" si="0"/>
        <v>8</v>
      </c>
      <c r="B12" s="9">
        <v>46044.47278935185</v>
      </c>
      <c r="C12" s="8" t="s">
        <v>76</v>
      </c>
      <c r="D12" s="8" t="s">
        <v>18</v>
      </c>
      <c r="E12" s="8" t="s">
        <v>77</v>
      </c>
      <c r="F12" s="8" t="s">
        <v>78</v>
      </c>
      <c r="G12" s="8" t="s">
        <v>21</v>
      </c>
      <c r="H12" s="8" t="s">
        <v>79</v>
      </c>
      <c r="I12" s="10" t="s">
        <v>80</v>
      </c>
      <c r="J12" s="10" t="s">
        <v>81</v>
      </c>
      <c r="K12" s="11" t="s">
        <v>82</v>
      </c>
      <c r="L12" s="12" t="s">
        <v>83</v>
      </c>
      <c r="M12" s="8" t="s">
        <v>116</v>
      </c>
    </row>
    <row r="13" spans="1:13" ht="30" customHeight="1" x14ac:dyDescent="0.25">
      <c r="A13" s="13">
        <f t="shared" si="0"/>
        <v>9</v>
      </c>
      <c r="B13" s="14">
        <v>46043.684155092589</v>
      </c>
      <c r="C13" s="13" t="s">
        <v>84</v>
      </c>
      <c r="D13" s="13" t="s">
        <v>28</v>
      </c>
      <c r="E13" s="13" t="s">
        <v>85</v>
      </c>
      <c r="F13" s="13" t="s">
        <v>86</v>
      </c>
      <c r="G13" s="13" t="s">
        <v>21</v>
      </c>
      <c r="H13" s="13" t="s">
        <v>87</v>
      </c>
      <c r="I13" s="15" t="s">
        <v>88</v>
      </c>
      <c r="J13" s="15" t="s">
        <v>81</v>
      </c>
      <c r="K13" s="16" t="s">
        <v>89</v>
      </c>
      <c r="L13" s="17" t="s">
        <v>90</v>
      </c>
      <c r="M13" s="25" t="s">
        <v>118</v>
      </c>
    </row>
    <row r="14" spans="1:13" ht="30" customHeight="1" x14ac:dyDescent="0.25">
      <c r="A14" s="18">
        <f t="shared" si="0"/>
        <v>10</v>
      </c>
      <c r="B14" s="19">
        <v>46043.682893518519</v>
      </c>
      <c r="C14" s="18" t="s">
        <v>91</v>
      </c>
      <c r="D14" s="18" t="s">
        <v>28</v>
      </c>
      <c r="E14" s="18" t="s">
        <v>92</v>
      </c>
      <c r="F14" s="18" t="s">
        <v>86</v>
      </c>
      <c r="G14" s="18" t="s">
        <v>21</v>
      </c>
      <c r="H14" s="18" t="s">
        <v>87</v>
      </c>
      <c r="I14" s="20" t="s">
        <v>88</v>
      </c>
      <c r="J14" s="20" t="s">
        <v>81</v>
      </c>
      <c r="K14" s="18" t="s">
        <v>89</v>
      </c>
      <c r="L14" s="18" t="s">
        <v>90</v>
      </c>
      <c r="M14" s="26" t="s">
        <v>118</v>
      </c>
    </row>
    <row r="15" spans="1:13" ht="30" customHeight="1" x14ac:dyDescent="0.25">
      <c r="A15" s="18">
        <f t="shared" si="0"/>
        <v>11</v>
      </c>
      <c r="B15" s="19">
        <v>46048.604189814818</v>
      </c>
      <c r="C15" s="18" t="s">
        <v>93</v>
      </c>
      <c r="D15" s="18"/>
      <c r="E15" s="18" t="s">
        <v>94</v>
      </c>
      <c r="F15" s="18" t="s">
        <v>95</v>
      </c>
      <c r="G15" s="18" t="s">
        <v>21</v>
      </c>
      <c r="H15" s="18" t="s">
        <v>96</v>
      </c>
      <c r="I15" s="20" t="s">
        <v>68</v>
      </c>
      <c r="J15" s="20" t="s">
        <v>97</v>
      </c>
      <c r="K15" s="18" t="s">
        <v>98</v>
      </c>
      <c r="L15" s="18" t="s">
        <v>99</v>
      </c>
      <c r="M15" s="18" t="s">
        <v>116</v>
      </c>
    </row>
    <row r="16" spans="1:13" ht="30" customHeight="1" x14ac:dyDescent="0.25">
      <c r="A16" s="18">
        <f t="shared" si="0"/>
        <v>12</v>
      </c>
      <c r="B16" s="19">
        <v>46048.605474537035</v>
      </c>
      <c r="C16" s="18" t="s">
        <v>100</v>
      </c>
      <c r="D16" s="18"/>
      <c r="E16" s="18" t="s">
        <v>101</v>
      </c>
      <c r="F16" s="18" t="s">
        <v>95</v>
      </c>
      <c r="G16" s="18" t="s">
        <v>21</v>
      </c>
      <c r="H16" s="18" t="s">
        <v>102</v>
      </c>
      <c r="I16" s="20" t="s">
        <v>68</v>
      </c>
      <c r="J16" s="20" t="s">
        <v>97</v>
      </c>
      <c r="K16" s="18" t="s">
        <v>98</v>
      </c>
      <c r="L16" s="18" t="s">
        <v>99</v>
      </c>
      <c r="M16" s="18" t="s">
        <v>116</v>
      </c>
    </row>
    <row r="17" spans="1:13" ht="30" customHeight="1" x14ac:dyDescent="0.25">
      <c r="A17" s="18">
        <f t="shared" si="0"/>
        <v>13</v>
      </c>
      <c r="B17" s="19">
        <v>46001.747465277775</v>
      </c>
      <c r="C17" s="18" t="s">
        <v>103</v>
      </c>
      <c r="D17" s="18"/>
      <c r="E17" s="18" t="s">
        <v>104</v>
      </c>
      <c r="F17" s="18" t="s">
        <v>105</v>
      </c>
      <c r="G17" s="18" t="s">
        <v>21</v>
      </c>
      <c r="H17" s="18" t="s">
        <v>106</v>
      </c>
      <c r="I17" s="20" t="s">
        <v>68</v>
      </c>
      <c r="J17" s="20" t="s">
        <v>42</v>
      </c>
      <c r="K17" s="18" t="s">
        <v>107</v>
      </c>
      <c r="L17" s="18" t="s">
        <v>108</v>
      </c>
      <c r="M17" s="26" t="s">
        <v>118</v>
      </c>
    </row>
    <row r="18" spans="1:13" ht="30" customHeight="1" x14ac:dyDescent="0.25">
      <c r="A18" s="18">
        <f t="shared" si="0"/>
        <v>14</v>
      </c>
      <c r="B18" s="19">
        <v>46048.631296296298</v>
      </c>
      <c r="C18" s="18" t="s">
        <v>109</v>
      </c>
      <c r="D18" s="18"/>
      <c r="E18" s="18" t="s">
        <v>110</v>
      </c>
      <c r="F18" s="18" t="s">
        <v>111</v>
      </c>
      <c r="G18" s="18" t="s">
        <v>21</v>
      </c>
      <c r="H18" s="18" t="s">
        <v>112</v>
      </c>
      <c r="I18" s="20" t="s">
        <v>113</v>
      </c>
      <c r="J18" s="20" t="s">
        <v>42</v>
      </c>
      <c r="K18" s="18" t="s">
        <v>114</v>
      </c>
      <c r="L18" s="18" t="s">
        <v>115</v>
      </c>
      <c r="M18" s="18" t="s">
        <v>117</v>
      </c>
    </row>
    <row r="19" spans="1:13" ht="30" x14ac:dyDescent="0.25">
      <c r="A19" s="13">
        <f t="shared" si="0"/>
        <v>15</v>
      </c>
      <c r="B19" s="21"/>
      <c r="C19" s="22">
        <v>281009</v>
      </c>
      <c r="D19" s="21"/>
      <c r="E19" s="22" t="s">
        <v>120</v>
      </c>
      <c r="F19" s="22" t="s">
        <v>131</v>
      </c>
      <c r="G19" s="21"/>
      <c r="H19" s="22" t="s">
        <v>135</v>
      </c>
      <c r="I19" s="22" t="s">
        <v>127</v>
      </c>
      <c r="J19" s="22" t="s">
        <v>128</v>
      </c>
      <c r="K19" s="21"/>
      <c r="L19" s="21"/>
      <c r="M19" s="27" t="s">
        <v>130</v>
      </c>
    </row>
    <row r="20" spans="1:13" ht="60" x14ac:dyDescent="0.25">
      <c r="A20" s="18">
        <f t="shared" si="0"/>
        <v>16</v>
      </c>
      <c r="B20" s="21"/>
      <c r="C20" s="22">
        <v>281067</v>
      </c>
      <c r="D20" s="21"/>
      <c r="E20" s="22" t="s">
        <v>121</v>
      </c>
      <c r="F20" s="22" t="s">
        <v>131</v>
      </c>
      <c r="G20" s="21"/>
      <c r="H20" s="22" t="s">
        <v>136</v>
      </c>
      <c r="I20" s="22" t="s">
        <v>132</v>
      </c>
      <c r="J20" s="22" t="s">
        <v>128</v>
      </c>
      <c r="K20" s="21"/>
      <c r="L20" s="21"/>
      <c r="M20" s="23" t="s">
        <v>137</v>
      </c>
    </row>
    <row r="21" spans="1:13" ht="60" x14ac:dyDescent="0.25">
      <c r="A21" s="18">
        <f t="shared" si="0"/>
        <v>17</v>
      </c>
      <c r="B21" s="21"/>
      <c r="C21" s="22">
        <v>281068</v>
      </c>
      <c r="D21" s="21"/>
      <c r="E21" s="22" t="s">
        <v>122</v>
      </c>
      <c r="F21" s="22" t="s">
        <v>131</v>
      </c>
      <c r="G21" s="21"/>
      <c r="H21" s="22" t="s">
        <v>136</v>
      </c>
      <c r="I21" s="22" t="s">
        <v>133</v>
      </c>
      <c r="J21" s="22" t="s">
        <v>134</v>
      </c>
      <c r="K21" s="21"/>
      <c r="L21" s="21"/>
      <c r="M21" s="27" t="s">
        <v>130</v>
      </c>
    </row>
    <row r="22" spans="1:13" ht="30" customHeight="1" x14ac:dyDescent="0.25">
      <c r="A22" s="18">
        <f t="shared" si="0"/>
        <v>18</v>
      </c>
      <c r="B22" s="21"/>
      <c r="C22" s="22">
        <v>279775</v>
      </c>
      <c r="D22" s="21"/>
      <c r="E22" s="22" t="s">
        <v>123</v>
      </c>
      <c r="F22" s="22" t="s">
        <v>138</v>
      </c>
      <c r="G22" s="21"/>
      <c r="H22" s="22" t="s">
        <v>139</v>
      </c>
      <c r="I22" s="22" t="s">
        <v>127</v>
      </c>
      <c r="J22" s="22" t="s">
        <v>128</v>
      </c>
      <c r="K22" s="21"/>
      <c r="L22" s="21"/>
      <c r="M22" s="27" t="s">
        <v>140</v>
      </c>
    </row>
    <row r="23" spans="1:13" ht="30" customHeight="1" x14ac:dyDescent="0.25">
      <c r="A23" s="18">
        <f t="shared" si="0"/>
        <v>19</v>
      </c>
      <c r="B23" s="21"/>
      <c r="C23" s="22">
        <v>279776</v>
      </c>
      <c r="D23" s="21"/>
      <c r="E23" s="22" t="s">
        <v>124</v>
      </c>
      <c r="F23" s="22" t="s">
        <v>138</v>
      </c>
      <c r="G23" s="21"/>
      <c r="H23" s="22" t="s">
        <v>139</v>
      </c>
      <c r="I23" s="22" t="s">
        <v>127</v>
      </c>
      <c r="J23" s="22" t="s">
        <v>128</v>
      </c>
      <c r="K23" s="21"/>
      <c r="L23" s="21"/>
      <c r="M23" s="23" t="s">
        <v>117</v>
      </c>
    </row>
    <row r="24" spans="1:13" ht="30" customHeight="1" x14ac:dyDescent="0.25">
      <c r="A24" s="18">
        <f t="shared" si="0"/>
        <v>20</v>
      </c>
      <c r="B24" s="21"/>
      <c r="C24" s="22">
        <v>281436</v>
      </c>
      <c r="D24" s="21"/>
      <c r="E24" s="22" t="s">
        <v>125</v>
      </c>
      <c r="F24" s="22" t="s">
        <v>126</v>
      </c>
      <c r="G24" s="21"/>
      <c r="H24" s="22" t="s">
        <v>129</v>
      </c>
      <c r="I24" s="22" t="s">
        <v>127</v>
      </c>
      <c r="J24" s="22" t="s">
        <v>128</v>
      </c>
      <c r="K24" s="21"/>
      <c r="L24" s="21"/>
      <c r="M24" s="27" t="s">
        <v>130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2026-01-26T13:48:58Z</dcterms:created>
  <dcterms:modified xsi:type="dcterms:W3CDTF">2026-01-26T14:55:54Z</dcterms:modified>
</cp:coreProperties>
</file>
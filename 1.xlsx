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25" i="1" l="1"/>
  <c r="A26" i="1" s="1"/>
  <c r="A27" i="1" s="1"/>
  <c r="A28" i="1" s="1"/>
  <c r="A24" i="1" l="1"/>
  <c r="A7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<sst xmlns="http://schemas.openxmlformats.org/spreadsheetml/2006/main" count="241" uniqueCount="178">
  <si>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</si>
  <si>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</si>
  <si>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</si>
  <si>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</si>
  <si>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</si>
  <si>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</si>
  <si>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</si>
  <si>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</si>
  <si>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</si>
  <si>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</si>
  <si>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</si>
  <si>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</si>
  <si>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</si>
  <si>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</si>
  <si>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</si>
  <si>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</si>
  <si>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</si>
  <si>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MR2606/0551</t>
  </si>
  <si>
    <t>400KV_315 MVA X-MER NO.1 Make- CGL</t>
  </si>
  <si>
    <t>400KV_ASHTA4</t>
  </si>
  <si>
    <t>NON-OCCM-MP</t>
  </si>
  <si>
    <t>Replacement of Resistor installation of 33 kv side</t>
  </si>
  <si>
    <t>01-07-2026 10:00:00</t>
  </si>
  <si>
    <t>01-07-2026 14:00:00</t>
  </si>
  <si>
    <t>Devesh kumar uikey</t>
  </si>
  <si>
    <t>7987106006</t>
  </si>
  <si>
    <t>MR2606/0561</t>
  </si>
  <si>
    <t>220KV_220 kv badnawar ckt2</t>
  </si>
  <si>
    <t>220KV_BADNAGAR</t>
  </si>
  <si>
    <t>Y phase CT hot point attending work</t>
  </si>
  <si>
    <t>01-07-2026 11:00:00</t>
  </si>
  <si>
    <t>Ravi pandey</t>
  </si>
  <si>
    <t>9425805296</t>
  </si>
  <si>
    <t>MR2606/0434</t>
  </si>
  <si>
    <t>Daily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</si>
  <si>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</si>
  <si>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</si>
  <si>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</si>
  <si>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</si>
  <si>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</si>
  <si>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</si>
  <si>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</si>
  <si>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MR2606/0477</t>
  </si>
  <si>
    <t>Continuous</t>
  </si>
  <si>
    <t>220KV_220KV BUS TIE</t>
  </si>
  <si>
    <t>220KV_BAIRAGARH</t>
  </si>
  <si>
    <t>OVER HAULING OF CB</t>
  </si>
  <si>
    <t>25-06-2026 09:29:00</t>
  </si>
  <si>
    <t>01-07-2026 17:30:00</t>
  </si>
  <si>
    <t>AMBARISH SHRIPAD JOSHI</t>
  </si>
  <si>
    <t>7587951085</t>
  </si>
  <si>
    <t>MR2606/0517</t>
  </si>
  <si>
    <t>132KV_132kV Balaghat Baihar Line</t>
  </si>
  <si>
    <t>132KV_BALAGHAT</t>
  </si>
  <si>
    <t>Re-Sagging Work &amp; Other Line Maintenance Work</t>
  </si>
  <si>
    <t>28-06-2026 08:00:00</t>
  </si>
  <si>
    <t>03-07-2026 18:00:00</t>
  </si>
  <si>
    <t>S.K. BHALADHARE</t>
  </si>
  <si>
    <t>9425807264</t>
  </si>
  <si>
    <t>MR2606/0526</t>
  </si>
  <si>
    <t>220KV_220 kv Tikamgarh Chhatarpur</t>
  </si>
  <si>
    <t>220KV_CHATARPUR</t>
  </si>
  <si>
    <t>For Modification &amp; shifting  work</t>
  </si>
  <si>
    <t>30-06-2026 08:00:00</t>
  </si>
  <si>
    <t>09-07-2026 19:00:00</t>
  </si>
  <si>
    <t>pankaj Yadav</t>
  </si>
  <si>
    <t>9406713326</t>
  </si>
  <si>
    <t>MR2606/0556</t>
  </si>
  <si>
    <t>220KV_220 KV SARNI-HANDIA</t>
  </si>
  <si>
    <t>220KV_HANDIYA</t>
  </si>
  <si>
    <t>Single Susp. to Double  Susp.disc instul.work</t>
  </si>
  <si>
    <t>01-07-2026 09:00:00</t>
  </si>
  <si>
    <t>01-07-2026 18:00:00</t>
  </si>
  <si>
    <t>Ashutosh Rai</t>
  </si>
  <si>
    <t>9425806902</t>
  </si>
  <si>
    <t>MR2606/0554</t>
  </si>
  <si>
    <t>132KV_132 kv half main bus section no. 2</t>
  </si>
  <si>
    <t>220KV_JABALPUR</t>
  </si>
  <si>
    <t>hot point attending work</t>
  </si>
  <si>
    <t>01-07-2026 07:00:00</t>
  </si>
  <si>
    <t>01-07-2026 12:00:00</t>
  </si>
  <si>
    <t>D.N. PODDAR</t>
  </si>
  <si>
    <t>9425805034</t>
  </si>
  <si>
    <t>MR2606/0540</t>
  </si>
  <si>
    <t>132KV_132 kV Jabalpur- Tejgarh (Tap Patan)</t>
  </si>
  <si>
    <t>Modification/shifting at loc. 62- 63</t>
  </si>
  <si>
    <t>Jitendra Tiwari</t>
  </si>
  <si>
    <t>9425805298</t>
  </si>
  <si>
    <t>MR2606/0534</t>
  </si>
  <si>
    <t>220KV_Badnawar-Kanwan ckt-1</t>
  </si>
  <si>
    <t>220KV_KANWAN2</t>
  </si>
  <si>
    <t>for damage OPGW replacement work</t>
  </si>
  <si>
    <t>30-06-2026 07:00:00</t>
  </si>
  <si>
    <t>03-07-2026 19:00:00</t>
  </si>
  <si>
    <t>V.R. Panadia</t>
  </si>
  <si>
    <t>9425802330</t>
  </si>
  <si>
    <t>MR2606/0536</t>
  </si>
  <si>
    <t>220KV_220kv Badnawar-Kanwan ckt-2</t>
  </si>
  <si>
    <t>MR2606/0555</t>
  </si>
  <si>
    <t>400KV_Tie CB of ICT-4 and 400KV Badnawar-1 Line</t>
  </si>
  <si>
    <t>400KV_NAGDA4</t>
  </si>
  <si>
    <t>C&amp;R Panel replacement work</t>
  </si>
  <si>
    <t>02-07-2026 18:00:00</t>
  </si>
  <si>
    <t>Ram Sharan Yadav</t>
  </si>
  <si>
    <t>9425805101</t>
  </si>
  <si>
    <t>MR2606/0559</t>
  </si>
  <si>
    <t>132KV_132/33KV 40 MVA TELK</t>
  </si>
  <si>
    <t>132KV_NARSINGHPUR1</t>
  </si>
  <si>
    <t>Hot Point attending work</t>
  </si>
  <si>
    <t>01-07-2026 17:00:00</t>
  </si>
  <si>
    <t>Rajesh Kumar Chaturvedi</t>
  </si>
  <si>
    <t>9425805203</t>
  </si>
  <si>
    <t>MR2606/0558</t>
  </si>
  <si>
    <t>132KV_132/33KV 40 MVA BHEL-II</t>
  </si>
  <si>
    <t>Hot point attending work</t>
  </si>
  <si>
    <t>01-07-2026 13:00:00</t>
  </si>
  <si>
    <t>MR2606/0535</t>
  </si>
  <si>
    <t>220KV_160MVA BHEL X-MER No- 01</t>
  </si>
  <si>
    <t>220KV_PANAGAR</t>
  </si>
  <si>
    <t>NIFPS wiring replacement work</t>
  </si>
  <si>
    <t>H L koshta</t>
  </si>
  <si>
    <t>7587951105</t>
  </si>
  <si>
    <t>MR2606/0532</t>
  </si>
  <si>
    <t>220KV_Pandhurna Betul PGCIL</t>
  </si>
  <si>
    <t>220KV_PANDHURNA</t>
  </si>
  <si>
    <t>OCCM-WR</t>
  </si>
  <si>
    <t>For Re-sagging work between loc. no. 178-194</t>
  </si>
  <si>
    <t>01-07-2026 08:00:00</t>
  </si>
  <si>
    <t>06-07-2026 18:00:00</t>
  </si>
  <si>
    <t>SHIV KUMAR</t>
  </si>
  <si>
    <t>9425806917</t>
  </si>
  <si>
    <t>MR2606/0553</t>
  </si>
  <si>
    <t>220KV_160 MVA X-mer-II Make â¿¿AREVA</t>
  </si>
  <si>
    <t>220KV_RAJGARH DHAR</t>
  </si>
  <si>
    <t>For replacement of old 220kV PT cable.</t>
  </si>
  <si>
    <t>Er. Manoj Randha</t>
  </si>
  <si>
    <t>9425820034</t>
  </si>
  <si>
    <t>MR2606/0560</t>
  </si>
  <si>
    <t>132KV_132 KV Rewa II (Sagra)- Sidhi line</t>
  </si>
  <si>
    <t>132KV_REWA-II (SAGRA)</t>
  </si>
  <si>
    <t>Disc flashover replacement work</t>
  </si>
  <si>
    <t>Ajay Kumar Chaurasia</t>
  </si>
  <si>
    <t>9425805081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</si>
  <si>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</si>
  <si>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</si>
  <si>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</si>
  <si>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</si>
  <si>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</si>
  <si>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</si>
  <si>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</si>
  <si>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</si>
  <si>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MR2606/0508</t>
  </si>
  <si>
    <t>220KV_160MVA X-mer Ist</t>
  </si>
  <si>
    <t>400KV_UJJAIN4</t>
  </si>
  <si>
    <t>For punch point attending work by Ms BHEL</t>
  </si>
  <si>
    <t>26-06-2026 00:00:00</t>
  </si>
  <si>
    <t>02-07-2026 17:00:00</t>
  </si>
  <si>
    <t>Santosh Chavrasia</t>
  </si>
  <si>
    <t>9425804677</t>
  </si>
  <si>
    <t>ok, line to be in service</t>
  </si>
  <si>
    <t>ok</t>
  </si>
  <si>
    <t>deferred, not in WR list</t>
  </si>
  <si>
    <t>as per system availability</t>
  </si>
  <si>
    <t>ok, charging approval of Electrical Inspector required while charging</t>
  </si>
  <si>
    <t>ok, through sub ld</t>
  </si>
  <si>
    <t>shall be given after 12hrs, after normalisation of Jabalpur s/d</t>
  </si>
  <si>
    <t>ok, o&amp;m shall be informed</t>
  </si>
  <si>
    <t xml:space="preserve">220 KV SATNA REWA CIRCUIT </t>
  </si>
  <si>
    <t xml:space="preserve">CONDUCTOR RESEGGING WORK </t>
  </si>
  <si>
    <t>160 MVA XMAR BBL  NO. 2</t>
  </si>
  <si>
    <t xml:space="preserve">TREE CHOPPING WORK </t>
  </si>
  <si>
    <t xml:space="preserve">AS PER REAL TIME LOADING CONDIATION , THROUGH SUB LD </t>
  </si>
  <si>
    <t xml:space="preserve">132 KV SANAWAD BARWAHA CIRCUIT </t>
  </si>
  <si>
    <t xml:space="preserve">BAY SHIFTING WORK </t>
  </si>
  <si>
    <t xml:space="preserve">SUB LD </t>
  </si>
  <si>
    <t>400KV/220KV JABALPUR-ICT-3</t>
  </si>
  <si>
    <t>AMP Work of  ICT &amp; Line terminal equipment.Dia to be kept open at both sides.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</si>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</sst>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color rgb="FF000000"/>
      <name val="Arial"/>
      <family val="2"/>
    </font>
    <font>
      <b/>
      <sz val="12"/>
      <color indexed="8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20" fontId="0" fillId="0" borderId="5" xfId="0" applyNumberForma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8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selection activeCell="H2" sqref="H2"/>
    </sheetView>
  </sheetViews>
  <sheetFormatPr defaultRowHeight="15.75"/>
  <cols>
    <col min="1" max="1" width="9.140625" style="4"/>
    <col min="2" max="2" width="11.140625" style="4" customWidth="1"/>
    <col min="3" max="3" width="7.28515625" style="4" customWidth="1"/>
    <col min="4" max="4" width="11" style="4" customWidth="1"/>
    <col min="5" max="5" width="50" style="31" customWidth="1"/>
    <col min="6" max="6" width="26.85546875" style="31" customWidth="1"/>
    <col min="7" max="7" width="10.85546875" style="4" customWidth="1"/>
    <col min="8" max="8" width="50.140625" style="31" customWidth="1"/>
    <col min="9" max="9" width="11.7109375" style="4" customWidth="1"/>
    <col min="10" max="10" width="11.42578125" style="4" customWidth="1"/>
    <col min="11" max="11" width="16.7109375" style="4" customWidth="1"/>
    <col min="12" max="12" width="5.85546875" style="4" customWidth="1"/>
    <col min="13" max="13" width="43.140625" style="31" customWidth="1"/>
    <col min="14" max="16384" width="9.140625" style="4"/>
  </cols>
  <sheetData>
    <row r="1" spans="1:13" ht="43.7" customHeight="1">
      <c r="A1" s="1"/>
      <c r="B1" s="5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>
      <c r="A2" s="1" t="s">
        <v>1</v>
      </c>
      <c r="B2" s="13">
        <v>46204</v>
      </c>
      <c r="C2" s="1"/>
      <c r="D2" s="1"/>
      <c r="E2" s="26"/>
      <c r="F2" s="26"/>
      <c r="G2" s="1"/>
      <c r="H2" s="26"/>
      <c r="I2" s="1"/>
      <c r="J2" s="1"/>
      <c r="K2" s="1"/>
      <c r="L2" s="1"/>
      <c r="M2" s="26"/>
    </row>
    <row r="3" spans="1:13" ht="42" customHeight="1">
      <c r="A3" s="2" t="s">
        <v>2</v>
      </c>
      <c r="B3" s="2" t="s">
        <v>3</v>
      </c>
      <c r="C3" s="2" t="s">
        <v>4</v>
      </c>
      <c r="D3" s="2" t="s">
        <v>3</v>
      </c>
      <c r="E3" s="26"/>
      <c r="F3" s="26"/>
      <c r="G3" s="1"/>
      <c r="H3" s="26"/>
      <c r="I3" s="1"/>
      <c r="J3" s="1"/>
      <c r="K3" s="1"/>
      <c r="L3" s="1"/>
      <c r="M3" s="26"/>
    </row>
    <row r="4" spans="1:13" ht="42" customHeight="1">
      <c r="A4" s="2" t="s">
        <v>5</v>
      </c>
      <c r="B4" s="2" t="s">
        <v>6</v>
      </c>
      <c r="C4" s="2" t="s">
        <v>7</v>
      </c>
      <c r="D4" s="2" t="s">
        <v>8</v>
      </c>
      <c r="E4" s="27" t="s">
        <v>9</v>
      </c>
      <c r="F4" s="27" t="s">
        <v>10</v>
      </c>
      <c r="G4" s="2" t="s">
        <v>11</v>
      </c>
      <c r="H4" s="27" t="s">
        <v>12</v>
      </c>
      <c r="I4" s="2" t="s">
        <v>13</v>
      </c>
      <c r="J4" s="2" t="s">
        <v>14</v>
      </c>
      <c r="K4" s="14" t="s">
        <v>15</v>
      </c>
      <c r="L4" s="12"/>
      <c r="M4" s="27" t="s">
        <v>16</v>
      </c>
    </row>
    <row r="5" spans="1:13" ht="32.25" customHeight="1">
      <c r="A5" s="3">
        <v>1</v>
      </c>
      <c r="B5" s="15">
        <v>46203.52915509259</v>
      </c>
      <c r="C5" s="3" t="s">
        <v>17</v>
      </c>
      <c r="D5" s="3"/>
      <c r="E5" s="27" t="s">
        <v>18</v>
      </c>
      <c r="F5" s="27" t="s">
        <v>19</v>
      </c>
      <c r="G5" s="3" t="s">
        <v>20</v>
      </c>
      <c r="H5" s="27" t="s">
        <v>21</v>
      </c>
      <c r="I5" s="16" t="s">
        <v>22</v>
      </c>
      <c r="J5" s="16" t="s">
        <v>23</v>
      </c>
      <c r="K5" s="17" t="s">
        <v>24</v>
      </c>
      <c r="L5" s="18" t="s">
        <v>25</v>
      </c>
      <c r="M5" s="27" t="s">
        <v>164</v>
      </c>
    </row>
    <row r="6" spans="1:13" ht="32.25" customHeight="1">
      <c r="A6" s="3">
        <f>A5+1</f>
        <v>2</v>
      </c>
      <c r="B6" s="15">
        <v>46203.683738425927</v>
      </c>
      <c r="C6" s="3" t="s">
        <v>26</v>
      </c>
      <c r="D6" s="3"/>
      <c r="E6" s="27" t="s">
        <v>27</v>
      </c>
      <c r="F6" s="27" t="s">
        <v>28</v>
      </c>
      <c r="G6" s="3" t="s">
        <v>20</v>
      </c>
      <c r="H6" s="27" t="s">
        <v>29</v>
      </c>
      <c r="I6" s="16" t="s">
        <v>30</v>
      </c>
      <c r="J6" s="16" t="s">
        <v>23</v>
      </c>
      <c r="K6" s="17" t="s">
        <v>31</v>
      </c>
      <c r="L6" s="18" t="s">
        <v>32</v>
      </c>
      <c r="M6" s="27" t="s">
        <v>164</v>
      </c>
    </row>
    <row r="7" spans="1:13" ht="32.25" customHeight="1">
      <c r="A7" s="3">
        <f t="shared" ref="A7:A28" si="0">A6+1</f>
        <v>3</v>
      </c>
      <c r="B7" s="15">
        <v>46195.607777777775</v>
      </c>
      <c r="C7" s="3" t="s">
        <v>33</v>
      </c>
      <c r="D7" s="3" t="s">
        <v>34</v>
      </c>
      <c r="E7" s="27" t="s">
        <v>35</v>
      </c>
      <c r="F7" s="27" t="s">
        <v>36</v>
      </c>
      <c r="G7" s="3" t="s">
        <v>20</v>
      </c>
      <c r="H7" s="27" t="s">
        <v>37</v>
      </c>
      <c r="I7" s="16" t="s">
        <v>38</v>
      </c>
      <c r="J7" s="16" t="s">
        <v>39</v>
      </c>
      <c r="K7" s="17" t="s">
        <v>40</v>
      </c>
      <c r="L7" s="18" t="s">
        <v>41</v>
      </c>
      <c r="M7" s="27" t="s">
        <v>159</v>
      </c>
    </row>
    <row r="8" spans="1:13" ht="32.25" customHeight="1">
      <c r="A8" s="3">
        <f t="shared" si="0"/>
        <v>4</v>
      </c>
      <c r="B8" s="15">
        <v>46197.567430555559</v>
      </c>
      <c r="C8" s="3" t="s">
        <v>42</v>
      </c>
      <c r="D8" s="3" t="s">
        <v>43</v>
      </c>
      <c r="E8" s="27" t="s">
        <v>44</v>
      </c>
      <c r="F8" s="27" t="s">
        <v>45</v>
      </c>
      <c r="G8" s="3" t="s">
        <v>20</v>
      </c>
      <c r="H8" s="27" t="s">
        <v>46</v>
      </c>
      <c r="I8" s="16" t="s">
        <v>47</v>
      </c>
      <c r="J8" s="16" t="s">
        <v>48</v>
      </c>
      <c r="K8" s="17" t="s">
        <v>49</v>
      </c>
      <c r="L8" s="18" t="s">
        <v>50</v>
      </c>
      <c r="M8" s="27" t="s">
        <v>43</v>
      </c>
    </row>
    <row r="9" spans="1:13" ht="32.25" customHeight="1">
      <c r="A9" s="3">
        <f t="shared" si="0"/>
        <v>5</v>
      </c>
      <c r="B9" s="15">
        <v>46200.478171296294</v>
      </c>
      <c r="C9" s="3" t="s">
        <v>51</v>
      </c>
      <c r="D9" s="3" t="s">
        <v>34</v>
      </c>
      <c r="E9" s="27" t="s">
        <v>52</v>
      </c>
      <c r="F9" s="27" t="s">
        <v>53</v>
      </c>
      <c r="G9" s="3" t="s">
        <v>20</v>
      </c>
      <c r="H9" s="27" t="s">
        <v>54</v>
      </c>
      <c r="I9" s="16" t="s">
        <v>55</v>
      </c>
      <c r="J9" s="16" t="s">
        <v>56</v>
      </c>
      <c r="K9" s="17" t="s">
        <v>57</v>
      </c>
      <c r="L9" s="18" t="s">
        <v>58</v>
      </c>
      <c r="M9" s="27" t="s">
        <v>160</v>
      </c>
    </row>
    <row r="10" spans="1:13" ht="32.25" customHeight="1">
      <c r="A10" s="3">
        <f t="shared" si="0"/>
        <v>6</v>
      </c>
      <c r="B10" s="15">
        <v>46201.595092592594</v>
      </c>
      <c r="C10" s="3" t="s">
        <v>59</v>
      </c>
      <c r="D10" s="3" t="s">
        <v>43</v>
      </c>
      <c r="E10" s="27" t="s">
        <v>60</v>
      </c>
      <c r="F10" s="27" t="s">
        <v>61</v>
      </c>
      <c r="G10" s="3" t="s">
        <v>20</v>
      </c>
      <c r="H10" s="27" t="s">
        <v>62</v>
      </c>
      <c r="I10" s="16" t="s">
        <v>63</v>
      </c>
      <c r="J10" s="16" t="s">
        <v>64</v>
      </c>
      <c r="K10" s="17" t="s">
        <v>65</v>
      </c>
      <c r="L10" s="18" t="s">
        <v>66</v>
      </c>
      <c r="M10" s="27" t="s">
        <v>163</v>
      </c>
    </row>
    <row r="11" spans="1:13" ht="32.25" customHeight="1">
      <c r="A11" s="3">
        <f t="shared" si="0"/>
        <v>7</v>
      </c>
      <c r="B11" s="15">
        <v>46203.614039351851</v>
      </c>
      <c r="C11" s="3" t="s">
        <v>67</v>
      </c>
      <c r="D11" s="3"/>
      <c r="E11" s="27" t="s">
        <v>68</v>
      </c>
      <c r="F11" s="27" t="s">
        <v>69</v>
      </c>
      <c r="G11" s="3" t="s">
        <v>20</v>
      </c>
      <c r="H11" s="27" t="s">
        <v>70</v>
      </c>
      <c r="I11" s="16" t="s">
        <v>71</v>
      </c>
      <c r="J11" s="16" t="s">
        <v>72</v>
      </c>
      <c r="K11" s="17" t="s">
        <v>73</v>
      </c>
      <c r="L11" s="18" t="s">
        <v>74</v>
      </c>
      <c r="M11" s="27" t="s">
        <v>164</v>
      </c>
    </row>
    <row r="12" spans="1:13" ht="32.25" customHeight="1">
      <c r="A12" s="3">
        <f t="shared" si="0"/>
        <v>8</v>
      </c>
      <c r="B12" s="15">
        <v>46203.598854166667</v>
      </c>
      <c r="C12" s="3" t="s">
        <v>75</v>
      </c>
      <c r="D12" s="3"/>
      <c r="E12" s="27" t="s">
        <v>76</v>
      </c>
      <c r="F12" s="27" t="s">
        <v>77</v>
      </c>
      <c r="G12" s="3" t="s">
        <v>20</v>
      </c>
      <c r="H12" s="27" t="s">
        <v>78</v>
      </c>
      <c r="I12" s="16" t="s">
        <v>79</v>
      </c>
      <c r="J12" s="16" t="s">
        <v>80</v>
      </c>
      <c r="K12" s="17" t="s">
        <v>81</v>
      </c>
      <c r="L12" s="18" t="s">
        <v>82</v>
      </c>
      <c r="M12" s="27" t="s">
        <v>160</v>
      </c>
    </row>
    <row r="13" spans="1:13" ht="32.25" customHeight="1">
      <c r="A13" s="3">
        <f t="shared" si="0"/>
        <v>9</v>
      </c>
      <c r="B13" s="15">
        <v>46202.566608796296</v>
      </c>
      <c r="C13" s="3" t="s">
        <v>83</v>
      </c>
      <c r="D13" s="3" t="s">
        <v>43</v>
      </c>
      <c r="E13" s="27" t="s">
        <v>84</v>
      </c>
      <c r="F13" s="27" t="s">
        <v>77</v>
      </c>
      <c r="G13" s="3" t="s">
        <v>20</v>
      </c>
      <c r="H13" s="27" t="s">
        <v>85</v>
      </c>
      <c r="I13" s="16" t="s">
        <v>63</v>
      </c>
      <c r="J13" s="16" t="s">
        <v>56</v>
      </c>
      <c r="K13" s="17" t="s">
        <v>86</v>
      </c>
      <c r="L13" s="18" t="s">
        <v>87</v>
      </c>
      <c r="M13" s="27" t="s">
        <v>43</v>
      </c>
    </row>
    <row r="14" spans="1:13" ht="32.25" customHeight="1">
      <c r="A14" s="3">
        <f t="shared" si="0"/>
        <v>10</v>
      </c>
      <c r="B14" s="15">
        <v>46202.536886574075</v>
      </c>
      <c r="C14" s="3" t="s">
        <v>88</v>
      </c>
      <c r="D14" s="3" t="s">
        <v>34</v>
      </c>
      <c r="E14" s="27" t="s">
        <v>89</v>
      </c>
      <c r="F14" s="27" t="s">
        <v>90</v>
      </c>
      <c r="G14" s="3" t="s">
        <v>20</v>
      </c>
      <c r="H14" s="27" t="s">
        <v>91</v>
      </c>
      <c r="I14" s="16" t="s">
        <v>92</v>
      </c>
      <c r="J14" s="16" t="s">
        <v>93</v>
      </c>
      <c r="K14" s="17" t="s">
        <v>94</v>
      </c>
      <c r="L14" s="18" t="s">
        <v>95</v>
      </c>
      <c r="M14" s="27" t="s">
        <v>159</v>
      </c>
    </row>
    <row r="15" spans="1:13" ht="32.25" customHeight="1">
      <c r="A15" s="3">
        <f t="shared" si="0"/>
        <v>11</v>
      </c>
      <c r="B15" s="15">
        <v>46202.538715277777</v>
      </c>
      <c r="C15" s="3" t="s">
        <v>96</v>
      </c>
      <c r="D15" s="3" t="s">
        <v>34</v>
      </c>
      <c r="E15" s="27" t="s">
        <v>97</v>
      </c>
      <c r="F15" s="27" t="s">
        <v>90</v>
      </c>
      <c r="G15" s="3" t="s">
        <v>20</v>
      </c>
      <c r="H15" s="27" t="s">
        <v>91</v>
      </c>
      <c r="I15" s="16" t="s">
        <v>92</v>
      </c>
      <c r="J15" s="16" t="s">
        <v>93</v>
      </c>
      <c r="K15" s="17" t="s">
        <v>94</v>
      </c>
      <c r="L15" s="18" t="s">
        <v>95</v>
      </c>
      <c r="M15" s="27" t="s">
        <v>159</v>
      </c>
    </row>
    <row r="16" spans="1:13" ht="32.25" customHeight="1">
      <c r="A16" s="3">
        <f t="shared" si="0"/>
        <v>12</v>
      </c>
      <c r="B16" s="15">
        <v>46203.612719907411</v>
      </c>
      <c r="C16" s="3" t="s">
        <v>98</v>
      </c>
      <c r="D16" s="3" t="s">
        <v>43</v>
      </c>
      <c r="E16" s="27" t="s">
        <v>99</v>
      </c>
      <c r="F16" s="27" t="s">
        <v>100</v>
      </c>
      <c r="G16" s="3" t="s">
        <v>20</v>
      </c>
      <c r="H16" s="27" t="s">
        <v>101</v>
      </c>
      <c r="I16" s="16" t="s">
        <v>22</v>
      </c>
      <c r="J16" s="16" t="s">
        <v>102</v>
      </c>
      <c r="K16" s="17" t="s">
        <v>103</v>
      </c>
      <c r="L16" s="18" t="s">
        <v>104</v>
      </c>
      <c r="M16" s="27" t="s">
        <v>164</v>
      </c>
    </row>
    <row r="17" spans="1:13" ht="32.25" customHeight="1">
      <c r="A17" s="3">
        <f t="shared" si="0"/>
        <v>13</v>
      </c>
      <c r="B17" s="15">
        <v>46203.657708333332</v>
      </c>
      <c r="C17" s="3" t="s">
        <v>105</v>
      </c>
      <c r="D17" s="3"/>
      <c r="E17" s="27" t="s">
        <v>106</v>
      </c>
      <c r="F17" s="27" t="s">
        <v>107</v>
      </c>
      <c r="G17" s="3" t="s">
        <v>20</v>
      </c>
      <c r="H17" s="27" t="s">
        <v>108</v>
      </c>
      <c r="I17" s="16" t="s">
        <v>23</v>
      </c>
      <c r="J17" s="16" t="s">
        <v>109</v>
      </c>
      <c r="K17" s="17" t="s">
        <v>110</v>
      </c>
      <c r="L17" s="18" t="s">
        <v>111</v>
      </c>
      <c r="M17" s="27" t="s">
        <v>166</v>
      </c>
    </row>
    <row r="18" spans="1:13" ht="32.25" customHeight="1">
      <c r="A18" s="3">
        <f t="shared" si="0"/>
        <v>14</v>
      </c>
      <c r="B18" s="15">
        <v>46203.655821759261</v>
      </c>
      <c r="C18" s="3" t="s">
        <v>112</v>
      </c>
      <c r="D18" s="3"/>
      <c r="E18" s="27" t="s">
        <v>113</v>
      </c>
      <c r="F18" s="27" t="s">
        <v>107</v>
      </c>
      <c r="G18" s="3" t="s">
        <v>20</v>
      </c>
      <c r="H18" s="27" t="s">
        <v>114</v>
      </c>
      <c r="I18" s="16" t="s">
        <v>22</v>
      </c>
      <c r="J18" s="16" t="s">
        <v>115</v>
      </c>
      <c r="K18" s="17" t="s">
        <v>110</v>
      </c>
      <c r="L18" s="18" t="s">
        <v>111</v>
      </c>
      <c r="M18" s="27" t="s">
        <v>166</v>
      </c>
    </row>
    <row r="19" spans="1:13" ht="32.25" customHeight="1">
      <c r="A19" s="3">
        <f t="shared" si="0"/>
        <v>15</v>
      </c>
      <c r="B19" s="15">
        <v>46202.538460648146</v>
      </c>
      <c r="C19" s="3" t="s">
        <v>116</v>
      </c>
      <c r="D19" s="3"/>
      <c r="E19" s="27" t="s">
        <v>117</v>
      </c>
      <c r="F19" s="27" t="s">
        <v>118</v>
      </c>
      <c r="G19" s="3" t="s">
        <v>20</v>
      </c>
      <c r="H19" s="27" t="s">
        <v>119</v>
      </c>
      <c r="I19" s="16" t="s">
        <v>30</v>
      </c>
      <c r="J19" s="16" t="s">
        <v>109</v>
      </c>
      <c r="K19" s="17" t="s">
        <v>120</v>
      </c>
      <c r="L19" s="18" t="s">
        <v>121</v>
      </c>
      <c r="M19" s="27" t="s">
        <v>165</v>
      </c>
    </row>
    <row r="20" spans="1:13" ht="32.25" customHeight="1">
      <c r="A20" s="3">
        <f t="shared" si="0"/>
        <v>16</v>
      </c>
      <c r="B20" s="15">
        <v>46202.484201388892</v>
      </c>
      <c r="C20" s="3" t="s">
        <v>122</v>
      </c>
      <c r="D20" s="3" t="s">
        <v>34</v>
      </c>
      <c r="E20" s="27" t="s">
        <v>123</v>
      </c>
      <c r="F20" s="27" t="s">
        <v>124</v>
      </c>
      <c r="G20" s="3" t="s">
        <v>125</v>
      </c>
      <c r="H20" s="27" t="s">
        <v>126</v>
      </c>
      <c r="I20" s="16" t="s">
        <v>127</v>
      </c>
      <c r="J20" s="16" t="s">
        <v>128</v>
      </c>
      <c r="K20" s="17" t="s">
        <v>129</v>
      </c>
      <c r="L20" s="18" t="s">
        <v>130</v>
      </c>
      <c r="M20" s="27" t="s">
        <v>161</v>
      </c>
    </row>
    <row r="21" spans="1:13" ht="32.25" customHeight="1">
      <c r="A21" s="3">
        <f t="shared" si="0"/>
        <v>17</v>
      </c>
      <c r="B21" s="15">
        <v>46203.587743055556</v>
      </c>
      <c r="C21" s="3" t="s">
        <v>131</v>
      </c>
      <c r="D21" s="3"/>
      <c r="E21" s="27" t="s">
        <v>132</v>
      </c>
      <c r="F21" s="27" t="s">
        <v>133</v>
      </c>
      <c r="G21" s="3" t="s">
        <v>20</v>
      </c>
      <c r="H21" s="27" t="s">
        <v>134</v>
      </c>
      <c r="I21" s="16" t="s">
        <v>30</v>
      </c>
      <c r="J21" s="16" t="s">
        <v>115</v>
      </c>
      <c r="K21" s="17" t="s">
        <v>135</v>
      </c>
      <c r="L21" s="18" t="s">
        <v>136</v>
      </c>
      <c r="M21" s="27" t="s">
        <v>164</v>
      </c>
    </row>
    <row r="22" spans="1:13" ht="32.25" customHeight="1">
      <c r="A22" s="6">
        <f t="shared" si="0"/>
        <v>18</v>
      </c>
      <c r="B22" s="19">
        <v>46203.673125000001</v>
      </c>
      <c r="C22" s="6" t="s">
        <v>137</v>
      </c>
      <c r="D22" s="6"/>
      <c r="E22" s="28" t="s">
        <v>138</v>
      </c>
      <c r="F22" s="28" t="s">
        <v>139</v>
      </c>
      <c r="G22" s="6" t="s">
        <v>20</v>
      </c>
      <c r="H22" s="28" t="s">
        <v>140</v>
      </c>
      <c r="I22" s="20" t="s">
        <v>22</v>
      </c>
      <c r="J22" s="20" t="s">
        <v>109</v>
      </c>
      <c r="K22" s="21" t="s">
        <v>141</v>
      </c>
      <c r="L22" s="22" t="s">
        <v>142</v>
      </c>
      <c r="M22" s="28" t="s">
        <v>160</v>
      </c>
    </row>
    <row r="23" spans="1:13" ht="32.25" customHeight="1">
      <c r="A23" s="7">
        <f t="shared" si="0"/>
        <v>19</v>
      </c>
      <c r="B23" s="23">
        <v>46160.785312499997</v>
      </c>
      <c r="C23" s="7" t="s">
        <v>143</v>
      </c>
      <c r="D23" s="7" t="s">
        <v>43</v>
      </c>
      <c r="E23" s="29" t="s">
        <v>144</v>
      </c>
      <c r="F23" s="29" t="s">
        <v>145</v>
      </c>
      <c r="G23" s="7" t="s">
        <v>20</v>
      </c>
      <c r="H23" s="29" t="s">
        <v>146</v>
      </c>
      <c r="I23" s="24" t="s">
        <v>147</v>
      </c>
      <c r="J23" s="24" t="s">
        <v>148</v>
      </c>
      <c r="K23" s="7" t="s">
        <v>149</v>
      </c>
      <c r="L23" s="7" t="s">
        <v>150</v>
      </c>
      <c r="M23" s="29" t="s">
        <v>162</v>
      </c>
    </row>
    <row r="24" spans="1:13" ht="32.25" customHeight="1">
      <c r="A24" s="7">
        <f t="shared" si="0"/>
        <v>20</v>
      </c>
      <c r="B24" s="23">
        <v>46198.686157407406</v>
      </c>
      <c r="C24" s="7" t="s">
        <v>151</v>
      </c>
      <c r="D24" s="7" t="s">
        <v>43</v>
      </c>
      <c r="E24" s="29" t="s">
        <v>152</v>
      </c>
      <c r="F24" s="29" t="s">
        <v>153</v>
      </c>
      <c r="G24" s="7" t="s">
        <v>20</v>
      </c>
      <c r="H24" s="29" t="s">
        <v>154</v>
      </c>
      <c r="I24" s="24" t="s">
        <v>155</v>
      </c>
      <c r="J24" s="24" t="s">
        <v>156</v>
      </c>
      <c r="K24" s="7" t="s">
        <v>157</v>
      </c>
      <c r="L24" s="7" t="s">
        <v>158</v>
      </c>
      <c r="M24" s="29" t="s">
        <v>43</v>
      </c>
    </row>
    <row r="25" spans="1:13">
      <c r="A25" s="7">
        <f t="shared" si="0"/>
        <v>21</v>
      </c>
      <c r="B25" s="9"/>
      <c r="C25" s="9"/>
      <c r="D25" s="9"/>
      <c r="E25" s="30" t="s">
        <v>167</v>
      </c>
      <c r="F25" s="30"/>
      <c r="G25" s="9"/>
      <c r="H25" s="30" t="s">
        <v>168</v>
      </c>
      <c r="I25" s="25">
        <v>0.375</v>
      </c>
      <c r="J25" s="25">
        <v>0.75</v>
      </c>
      <c r="K25" s="9"/>
      <c r="L25" s="9"/>
      <c r="M25" s="30" t="s">
        <v>177</v>
      </c>
    </row>
    <row r="26" spans="1:13" ht="31.5">
      <c r="A26" s="7">
        <f t="shared" si="0"/>
        <v>22</v>
      </c>
      <c r="B26" s="9"/>
      <c r="C26" s="9"/>
      <c r="D26" s="9"/>
      <c r="E26" s="30" t="s">
        <v>169</v>
      </c>
      <c r="F26" s="30"/>
      <c r="G26" s="9"/>
      <c r="H26" s="30" t="s">
        <v>170</v>
      </c>
      <c r="I26" s="25">
        <v>0.41666666666666669</v>
      </c>
      <c r="J26" s="25">
        <v>0.54166666666666663</v>
      </c>
      <c r="K26" s="9"/>
      <c r="L26" s="9"/>
      <c r="M26" s="30" t="s">
        <v>171</v>
      </c>
    </row>
    <row r="27" spans="1:13">
      <c r="A27" s="7">
        <f t="shared" si="0"/>
        <v>23</v>
      </c>
      <c r="B27" s="9"/>
      <c r="C27" s="9"/>
      <c r="D27" s="9"/>
      <c r="E27" s="30" t="s">
        <v>172</v>
      </c>
      <c r="F27" s="30"/>
      <c r="G27" s="9"/>
      <c r="H27" s="30" t="s">
        <v>173</v>
      </c>
      <c r="I27" s="25">
        <v>0.22916666666666666</v>
      </c>
      <c r="J27" s="25">
        <v>0.5</v>
      </c>
      <c r="K27" s="9"/>
      <c r="L27" s="9"/>
      <c r="M27" s="30" t="s">
        <v>174</v>
      </c>
    </row>
    <row r="28" spans="1:13" ht="31.5">
      <c r="A28" s="7">
        <f t="shared" si="0"/>
        <v>24</v>
      </c>
      <c r="B28" s="9"/>
      <c r="C28" s="9"/>
      <c r="D28" s="10">
        <v>312827</v>
      </c>
      <c r="E28" s="32" t="s">
        <v>175</v>
      </c>
      <c r="F28" s="30"/>
      <c r="G28" s="9"/>
      <c r="H28" s="32" t="s">
        <v>176</v>
      </c>
      <c r="I28" s="25">
        <v>0.33333333333333331</v>
      </c>
      <c r="J28" s="25">
        <v>0.83333333333333337</v>
      </c>
      <c r="K28" s="25"/>
      <c r="L28" s="9"/>
      <c r="M28" s="30" t="s">
        <v>177</v>
      </c>
    </row>
    <row r="29" spans="1:13">
      <c r="A29" s="8"/>
      <c r="B29" s="9"/>
      <c r="C29" s="9"/>
      <c r="D29" s="9"/>
      <c r="E29" s="30"/>
      <c r="F29" s="30"/>
      <c r="G29" s="9"/>
      <c r="H29" s="30"/>
      <c r="I29" s="9"/>
      <c r="J29" s="9"/>
      <c r="K29" s="9"/>
      <c r="L29" s="9"/>
      <c r="M29" s="30"/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2026-06-30T11:17:06Z</dcterms:created>
  <dcterms:modified xsi:type="dcterms:W3CDTF">2026-06-30T14:12:49Z</dcterms:modified>
</cp:coreProperties>
</file>
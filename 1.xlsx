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Sheet0!$A$1:$M$18</definedName>
  </definedNames>
  <calcPr calcId="181029"/>
</workbook>
</file>

<file path=xl/calcChain.xml><?xml version="1.0" encoding="utf-8"?>
<calcChain xmlns="http://schemas.openxmlformats.org/spreadsheetml/2006/main"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6" i="1"/>
</calcChain>
</file>

<file path=xl/sharedStrings.xml><?xml version="1.0" encoding="utf-8"?>
<sst xmlns="http://schemas.openxmlformats.org/spreadsheetml/2006/main" count="169" uniqueCount="125">
  <si>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</si>
  <si>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</si>
  <si>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</si>
  <si>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</si>
  <si>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</si>
  <si>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</si>
  <si>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</si>
  <si>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</si>
  <si>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</si>
  <si>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</si>
  <si>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</si>
  <si>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</si>
  <si>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</si>
  <si>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</si>
  <si>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</si>
  <si>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</si>
  <si>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</si>
  <si>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MR2512/0484</t>
  </si>
  <si>
    <t>132KV_132 KV ASHTA-PUMP HOUSE NO.3 &amp; NO.4</t>
  </si>
  <si>
    <t>400KV_ASHTA4</t>
  </si>
  <si>
    <t>NON-OCCM-MP</t>
  </si>
  <si>
    <t>Delivery Chamber De-Stagging  work</t>
  </si>
  <si>
    <t>25-12-2025 10:00:00</t>
  </si>
  <si>
    <t>25-12-2025 15:00:00</t>
  </si>
  <si>
    <t>NITIN RESHWAL</t>
  </si>
  <si>
    <t>9425804890</t>
  </si>
  <si>
    <t>MR2512/0428</t>
  </si>
  <si>
    <t>Continuous</t>
  </si>
  <si>
    <t>220KV_220KV Interconnector 2 on Bus Transfer Bay</t>
  </si>
  <si>
    <t>220KV_BHOPAL</t>
  </si>
  <si>
    <t>Main CB is not reliable so keep it on Bus Transfer</t>
  </si>
  <si>
    <t>22-12-2025 17:00:00</t>
  </si>
  <si>
    <t>29-12-2025 17:00:00</t>
  </si>
  <si>
    <t>A K Jain</t>
  </si>
  <si>
    <t>9425806899</t>
  </si>
  <si>
    <t>MR2512/0471</t>
  </si>
  <si>
    <t>Daily</t>
  </si>
  <si>
    <t>132KV_132 KV NORTHZONE (INDORE) - CHAMBAL CKT-1</t>
  </si>
  <si>
    <t>220KV_INDORE-NZ</t>
  </si>
  <si>
    <t>CONDUCTOR REPLACEMENT AND OTHER MAINTANANCE WORK.</t>
  </si>
  <si>
    <t>24-12-2025 07:00:00</t>
  </si>
  <si>
    <t>02-01-2026 19:00:00</t>
  </si>
  <si>
    <t>RAVINDRA PATIL</t>
  </si>
  <si>
    <t>8305612190</t>
  </si>
  <si>
    <t>MR2512/0473</t>
  </si>
  <si>
    <t>132KV_132 KV NORTHZONE (INDORE) - CHAMBAL CKT-2  LINE</t>
  </si>
  <si>
    <t>220KV_220 KV SARNI-ITARSI IV LINE</t>
  </si>
  <si>
    <t>220KV_ITARSI</t>
  </si>
  <si>
    <t>RESAGGING WORK LOC.NO. 199-218</t>
  </si>
  <si>
    <t>22-12-2025 09:00:00</t>
  </si>
  <si>
    <t>26-12-2025 18:00:00</t>
  </si>
  <si>
    <t>Ashutosh Rai</t>
  </si>
  <si>
    <t>9425806902</t>
  </si>
  <si>
    <t>MR2512/0404</t>
  </si>
  <si>
    <t>MR2510/0555</t>
  </si>
  <si>
    <t>400KV_400KV KATNI - DAMOH LINE</t>
  </si>
  <si>
    <t>400KV_KATNI4</t>
  </si>
  <si>
    <t>OCCM-MP</t>
  </si>
  <si>
    <t>TOWER STRENGTHENING WORK</t>
  </si>
  <si>
    <t>01-12-2025 09:00:00</t>
  </si>
  <si>
    <t>31-12-2025 18:00:00</t>
  </si>
  <si>
    <t>M.M. BAIG</t>
  </si>
  <si>
    <t>9425805067</t>
  </si>
  <si>
    <t>MR2510/0557</t>
  </si>
  <si>
    <t>220KV_220KV KATNI - DAMOH LINE</t>
  </si>
  <si>
    <t>MR2512/0254</t>
  </si>
  <si>
    <t>220KV_220  kv Satna (PGCIL)  â¿¿  Maihar line</t>
  </si>
  <si>
    <t>220KV_MAIHAR</t>
  </si>
  <si>
    <t>Double  fitting work</t>
  </si>
  <si>
    <t>24-12-2025 09:00:00</t>
  </si>
  <si>
    <t>31-12-2025 17:00:00</t>
  </si>
  <si>
    <t>Mr. R.K.Prajapati</t>
  </si>
  <si>
    <t>9407070182</t>
  </si>
  <si>
    <t>220KV_NAGDA</t>
  </si>
  <si>
    <t>NON-OCCM-WR</t>
  </si>
  <si>
    <t>9425805262</t>
  </si>
  <si>
    <t>MR2512/0478</t>
  </si>
  <si>
    <t>220KV_220KV Nagda-Dolada ckt-I</t>
  </si>
  <si>
    <t>Flash over Dise in Loc.no 94 Tap Phase</t>
  </si>
  <si>
    <t>25-12-2025 00:09:00</t>
  </si>
  <si>
    <t>25-12-2025 17:00:00</t>
  </si>
  <si>
    <t>Kamal Solanki</t>
  </si>
  <si>
    <t>MR2510/0691</t>
  </si>
  <si>
    <t>400KV_Rajgarh (PGCIL) â¿¿ SSP Ckt-2</t>
  </si>
  <si>
    <t>400KV_RAJGARH-PG</t>
  </si>
  <si>
    <t>for old disc replacement work</t>
  </si>
  <si>
    <t>16-12-2025 08:00:00</t>
  </si>
  <si>
    <t>V.R. Panadia</t>
  </si>
  <si>
    <t>9425802330</t>
  </si>
  <si>
    <t>MR2512/0479</t>
  </si>
  <si>
    <t>132KV_132kV Rampur Naikin - Beohari Ckt</t>
  </si>
  <si>
    <t>132KV_RAMPUR NAIKEN</t>
  </si>
  <si>
    <t>Tension Tower Disc String Replacement Work.</t>
  </si>
  <si>
    <t>G.L Sahu</t>
  </si>
  <si>
    <t>9425805102</t>
  </si>
  <si>
    <t>MR2511/0484</t>
  </si>
  <si>
    <t>400KV_SARNI INDIRASAGAR LINE</t>
  </si>
  <si>
    <t>400KV_SATPURA TPS</t>
  </si>
  <si>
    <t>OPGW STRINGING WORK</t>
  </si>
  <si>
    <t>25-11-2025 07:00:00</t>
  </si>
  <si>
    <t>25-12-2025 19:00:00</t>
  </si>
  <si>
    <t>SHIV KUMAR</t>
  </si>
  <si>
    <t>9425806917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</si>
  <si>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</si>
  <si>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</si>
  <si>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</si>
  <si>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</si>
  <si>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</si>
  <si>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</si>
  <si>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</si>
  <si>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MR2512/0233</t>
  </si>
  <si>
    <t>MR2512/0266</t>
  </si>
  <si>
    <t>220KV_220kV Vidisha-Bina ckt</t>
  </si>
  <si>
    <t>220KV_VIDISHA</t>
  </si>
  <si>
    <t>For Modification/shifting work of line.</t>
  </si>
  <si>
    <t>14-12-2025 09:00:00</t>
  </si>
  <si>
    <t>Rajkumar Bhusare</t>
  </si>
  <si>
    <t>9425820042</t>
  </si>
  <si>
    <t>sub ld</t>
  </si>
  <si>
    <t>continuous not approved</t>
  </si>
  <si>
    <t>deferred</t>
  </si>
  <si>
    <t>deferred by site</t>
  </si>
  <si>
    <t>ok, line to be in service</t>
  </si>
  <si>
    <t>ok</t>
  </si>
  <si>
    <t>ok, through sub ld, if required 220kv Mandsaur-Daloda ckt 1 or 2 can be taken in service looking at Mandsaur ICT loading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</si>
</sst>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2"/>
      <color rgb="FF000000"/>
      <name val="Arial"/>
      <family val="2"/>
    </font>
    <font>
      <b/>
      <sz val="12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8"/>
  <sheetViews>
    <sheetView tabSelected="1" workbookViewId="0">
      <selection activeCell="G11" sqref="G11"/>
    </sheetView>
  </sheetViews>
  <sheetFormatPr defaultRowHeight="15.75"/>
  <cols>
    <col min="1" max="1" width="9.140625" style="4"/>
    <col min="2" max="2" width="11.140625" style="4" customWidth="1"/>
    <col min="3" max="3" width="13.42578125" style="4" customWidth="1"/>
    <col min="4" max="4" width="11" style="4" customWidth="1"/>
    <col min="5" max="5" width="42.140625" style="16" customWidth="1"/>
    <col min="6" max="6" width="26.42578125" style="16" customWidth="1"/>
    <col min="7" max="7" width="10.5703125" style="4" customWidth="1"/>
    <col min="8" max="8" width="47" style="16" customWidth="1"/>
    <col min="9" max="9" width="10.5703125" style="4" customWidth="1"/>
    <col min="10" max="10" width="10.85546875" style="4" customWidth="1"/>
    <col min="11" max="11" width="10.140625" style="4" customWidth="1"/>
    <col min="12" max="12" width="6.140625" style="4" customWidth="1"/>
    <col min="13" max="13" width="42.85546875" style="16" customWidth="1"/>
    <col min="14" max="16384" width="9.140625" style="4"/>
  </cols>
  <sheetData>
    <row r="1" spans="1:13" ht="43.7" customHeight="1">
      <c r="A1" s="1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7"/>
    </row>
    <row r="2" spans="1:13" ht="42" customHeight="1">
      <c r="A2" s="1" t="s">
        <v>1</v>
      </c>
      <c r="B2" s="8">
        <v>46016</v>
      </c>
      <c r="C2" s="1"/>
      <c r="D2" s="1"/>
      <c r="E2" s="14"/>
      <c r="F2" s="14"/>
      <c r="G2" s="1"/>
      <c r="H2" s="14"/>
      <c r="I2" s="1"/>
      <c r="J2" s="1"/>
      <c r="K2" s="1"/>
      <c r="L2" s="1"/>
      <c r="M2" s="14"/>
    </row>
    <row r="3" spans="1:13" ht="42" customHeight="1">
      <c r="A3" s="2" t="s">
        <v>2</v>
      </c>
      <c r="B3" s="2" t="s">
        <v>3</v>
      </c>
      <c r="C3" s="2" t="s">
        <v>4</v>
      </c>
      <c r="D3" s="2" t="s">
        <v>3</v>
      </c>
      <c r="E3" s="14"/>
      <c r="F3" s="14"/>
      <c r="G3" s="1"/>
      <c r="H3" s="14"/>
      <c r="I3" s="1"/>
      <c r="J3" s="1"/>
      <c r="K3" s="1"/>
      <c r="L3" s="1"/>
      <c r="M3" s="14"/>
    </row>
    <row r="4" spans="1:13" ht="42" customHeight="1">
      <c r="A4" s="2" t="s">
        <v>5</v>
      </c>
      <c r="B4" s="2" t="s">
        <v>6</v>
      </c>
      <c r="C4" s="2" t="s">
        <v>7</v>
      </c>
      <c r="D4" s="2" t="s">
        <v>8</v>
      </c>
      <c r="E4" s="15" t="s">
        <v>9</v>
      </c>
      <c r="F4" s="15" t="s">
        <v>10</v>
      </c>
      <c r="G4" s="2" t="s">
        <v>11</v>
      </c>
      <c r="H4" s="15" t="s">
        <v>12</v>
      </c>
      <c r="I4" s="2" t="s">
        <v>13</v>
      </c>
      <c r="J4" s="2" t="s">
        <v>14</v>
      </c>
      <c r="K4" s="9" t="s">
        <v>15</v>
      </c>
      <c r="L4" s="7"/>
      <c r="M4" s="15" t="s">
        <v>16</v>
      </c>
    </row>
    <row r="5" spans="1:13" ht="41.25" customHeight="1">
      <c r="A5" s="3">
        <v>1</v>
      </c>
      <c r="B5" s="10">
        <v>46015.68246527778</v>
      </c>
      <c r="C5" s="3" t="s">
        <v>17</v>
      </c>
      <c r="D5" s="3"/>
      <c r="E5" s="15" t="s">
        <v>18</v>
      </c>
      <c r="F5" s="15" t="s">
        <v>19</v>
      </c>
      <c r="G5" s="3" t="s">
        <v>20</v>
      </c>
      <c r="H5" s="15" t="s">
        <v>21</v>
      </c>
      <c r="I5" s="11" t="s">
        <v>22</v>
      </c>
      <c r="J5" s="11" t="s">
        <v>23</v>
      </c>
      <c r="K5" s="12" t="s">
        <v>24</v>
      </c>
      <c r="L5" s="13" t="s">
        <v>25</v>
      </c>
      <c r="M5" s="15" t="s">
        <v>118</v>
      </c>
    </row>
    <row r="6" spans="1:13" ht="41.25" customHeight="1">
      <c r="A6" s="3">
        <f>A5+1</f>
        <v>2</v>
      </c>
      <c r="B6" s="10">
        <v>46012.581736111111</v>
      </c>
      <c r="C6" s="3" t="s">
        <v>26</v>
      </c>
      <c r="D6" s="3" t="s">
        <v>27</v>
      </c>
      <c r="E6" s="15" t="s">
        <v>28</v>
      </c>
      <c r="F6" s="15" t="s">
        <v>29</v>
      </c>
      <c r="G6" s="3" t="s">
        <v>20</v>
      </c>
      <c r="H6" s="15" t="s">
        <v>30</v>
      </c>
      <c r="I6" s="11" t="s">
        <v>31</v>
      </c>
      <c r="J6" s="11" t="s">
        <v>32</v>
      </c>
      <c r="K6" s="12" t="s">
        <v>33</v>
      </c>
      <c r="L6" s="13" t="s">
        <v>34</v>
      </c>
      <c r="M6" s="15" t="s">
        <v>27</v>
      </c>
    </row>
    <row r="7" spans="1:13" ht="41.25" customHeight="1">
      <c r="A7" s="3">
        <f t="shared" ref="A7:A18" si="0">A6+1</f>
        <v>3</v>
      </c>
      <c r="B7" s="10">
        <v>46014.659282407411</v>
      </c>
      <c r="C7" s="3" t="s">
        <v>35</v>
      </c>
      <c r="D7" s="3" t="s">
        <v>36</v>
      </c>
      <c r="E7" s="15" t="s">
        <v>37</v>
      </c>
      <c r="F7" s="15" t="s">
        <v>38</v>
      </c>
      <c r="G7" s="3" t="s">
        <v>20</v>
      </c>
      <c r="H7" s="15" t="s">
        <v>39</v>
      </c>
      <c r="I7" s="11" t="s">
        <v>40</v>
      </c>
      <c r="J7" s="11" t="s">
        <v>41</v>
      </c>
      <c r="K7" s="12" t="s">
        <v>42</v>
      </c>
      <c r="L7" s="13" t="s">
        <v>43</v>
      </c>
      <c r="M7" s="15" t="s">
        <v>118</v>
      </c>
    </row>
    <row r="8" spans="1:13" ht="41.25" customHeight="1">
      <c r="A8" s="3">
        <f t="shared" si="0"/>
        <v>4</v>
      </c>
      <c r="B8" s="10">
        <v>46014.661435185182</v>
      </c>
      <c r="C8" s="3" t="s">
        <v>44</v>
      </c>
      <c r="D8" s="3" t="s">
        <v>36</v>
      </c>
      <c r="E8" s="15" t="s">
        <v>45</v>
      </c>
      <c r="F8" s="15" t="s">
        <v>38</v>
      </c>
      <c r="G8" s="3" t="s">
        <v>20</v>
      </c>
      <c r="H8" s="15" t="s">
        <v>39</v>
      </c>
      <c r="I8" s="11" t="s">
        <v>40</v>
      </c>
      <c r="J8" s="11" t="s">
        <v>41</v>
      </c>
      <c r="K8" s="12" t="s">
        <v>42</v>
      </c>
      <c r="L8" s="13" t="s">
        <v>43</v>
      </c>
      <c r="M8" s="15" t="s">
        <v>118</v>
      </c>
    </row>
    <row r="9" spans="1:13" ht="41.25" customHeight="1">
      <c r="A9" s="3">
        <f t="shared" si="0"/>
        <v>5</v>
      </c>
      <c r="B9" s="10">
        <v>46011.522326388891</v>
      </c>
      <c r="C9" s="3" t="s">
        <v>53</v>
      </c>
      <c r="D9" s="3" t="s">
        <v>27</v>
      </c>
      <c r="E9" s="15" t="s">
        <v>46</v>
      </c>
      <c r="F9" s="15" t="s">
        <v>47</v>
      </c>
      <c r="G9" s="3" t="s">
        <v>20</v>
      </c>
      <c r="H9" s="15" t="s">
        <v>48</v>
      </c>
      <c r="I9" s="11" t="s">
        <v>49</v>
      </c>
      <c r="J9" s="11" t="s">
        <v>50</v>
      </c>
      <c r="K9" s="12" t="s">
        <v>51</v>
      </c>
      <c r="L9" s="13" t="s">
        <v>52</v>
      </c>
      <c r="M9" s="15" t="s">
        <v>27</v>
      </c>
    </row>
    <row r="10" spans="1:13" ht="41.25" customHeight="1">
      <c r="A10" s="3">
        <f t="shared" si="0"/>
        <v>6</v>
      </c>
      <c r="B10" s="10">
        <v>45953.737569444442</v>
      </c>
      <c r="C10" s="3" t="s">
        <v>54</v>
      </c>
      <c r="D10" s="3" t="s">
        <v>27</v>
      </c>
      <c r="E10" s="15" t="s">
        <v>55</v>
      </c>
      <c r="F10" s="15" t="s">
        <v>56</v>
      </c>
      <c r="G10" s="3" t="s">
        <v>57</v>
      </c>
      <c r="H10" s="15" t="s">
        <v>58</v>
      </c>
      <c r="I10" s="11" t="s">
        <v>59</v>
      </c>
      <c r="J10" s="11" t="s">
        <v>60</v>
      </c>
      <c r="K10" s="12" t="s">
        <v>61</v>
      </c>
      <c r="L10" s="13" t="s">
        <v>62</v>
      </c>
      <c r="M10" s="15" t="s">
        <v>119</v>
      </c>
    </row>
    <row r="11" spans="1:13" ht="41.25" customHeight="1">
      <c r="A11" s="3">
        <f t="shared" si="0"/>
        <v>7</v>
      </c>
      <c r="B11" s="10">
        <v>45953.747557870367</v>
      </c>
      <c r="C11" s="3" t="s">
        <v>63</v>
      </c>
      <c r="D11" s="3" t="s">
        <v>27</v>
      </c>
      <c r="E11" s="15" t="s">
        <v>64</v>
      </c>
      <c r="F11" s="15" t="s">
        <v>56</v>
      </c>
      <c r="G11" s="3" t="s">
        <v>20</v>
      </c>
      <c r="H11" s="15" t="s">
        <v>58</v>
      </c>
      <c r="I11" s="11" t="s">
        <v>59</v>
      </c>
      <c r="J11" s="11" t="s">
        <v>60</v>
      </c>
      <c r="K11" s="12" t="s">
        <v>61</v>
      </c>
      <c r="L11" s="13" t="s">
        <v>62</v>
      </c>
      <c r="M11" s="15" t="s">
        <v>119</v>
      </c>
    </row>
    <row r="12" spans="1:13" ht="41.25" customHeight="1">
      <c r="A12" s="3">
        <f t="shared" si="0"/>
        <v>8</v>
      </c>
      <c r="B12" s="10">
        <v>46004.555</v>
      </c>
      <c r="C12" s="3" t="s">
        <v>65</v>
      </c>
      <c r="D12" s="3" t="s">
        <v>36</v>
      </c>
      <c r="E12" s="15" t="s">
        <v>66</v>
      </c>
      <c r="F12" s="15" t="s">
        <v>67</v>
      </c>
      <c r="G12" s="3" t="s">
        <v>20</v>
      </c>
      <c r="H12" s="15" t="s">
        <v>68</v>
      </c>
      <c r="I12" s="11" t="s">
        <v>69</v>
      </c>
      <c r="J12" s="11" t="s">
        <v>70</v>
      </c>
      <c r="K12" s="12" t="s">
        <v>71</v>
      </c>
      <c r="L12" s="13" t="s">
        <v>72</v>
      </c>
      <c r="M12" s="15" t="s">
        <v>120</v>
      </c>
    </row>
    <row r="13" spans="1:13" ht="66.75" customHeight="1">
      <c r="A13" s="3">
        <f t="shared" si="0"/>
        <v>9</v>
      </c>
      <c r="B13" s="10">
        <v>46015.539224537039</v>
      </c>
      <c r="C13" s="3" t="s">
        <v>76</v>
      </c>
      <c r="D13" s="3"/>
      <c r="E13" s="15" t="s">
        <v>77</v>
      </c>
      <c r="F13" s="15" t="s">
        <v>73</v>
      </c>
      <c r="G13" s="3" t="s">
        <v>74</v>
      </c>
      <c r="H13" s="15" t="s">
        <v>78</v>
      </c>
      <c r="I13" s="11" t="s">
        <v>79</v>
      </c>
      <c r="J13" s="11" t="s">
        <v>80</v>
      </c>
      <c r="K13" s="12" t="s">
        <v>81</v>
      </c>
      <c r="L13" s="13" t="s">
        <v>75</v>
      </c>
      <c r="M13" s="15" t="s">
        <v>124</v>
      </c>
    </row>
    <row r="14" spans="1:13" ht="41.25" customHeight="1">
      <c r="A14" s="3">
        <f t="shared" si="0"/>
        <v>10</v>
      </c>
      <c r="B14" s="10">
        <v>45960.569027777776</v>
      </c>
      <c r="C14" s="3" t="s">
        <v>82</v>
      </c>
      <c r="D14" s="3" t="s">
        <v>36</v>
      </c>
      <c r="E14" s="15" t="s">
        <v>83</v>
      </c>
      <c r="F14" s="15" t="s">
        <v>84</v>
      </c>
      <c r="G14" s="3" t="s">
        <v>20</v>
      </c>
      <c r="H14" s="15" t="s">
        <v>85</v>
      </c>
      <c r="I14" s="11" t="s">
        <v>86</v>
      </c>
      <c r="J14" s="11" t="s">
        <v>60</v>
      </c>
      <c r="K14" s="12" t="s">
        <v>87</v>
      </c>
      <c r="L14" s="13" t="s">
        <v>88</v>
      </c>
      <c r="M14" s="15" t="s">
        <v>121</v>
      </c>
    </row>
    <row r="15" spans="1:13" ht="41.25" customHeight="1">
      <c r="A15" s="3">
        <f t="shared" si="0"/>
        <v>11</v>
      </c>
      <c r="B15" s="10">
        <v>46015.565520833334</v>
      </c>
      <c r="C15" s="3" t="s">
        <v>89</v>
      </c>
      <c r="D15" s="3"/>
      <c r="E15" s="15" t="s">
        <v>90</v>
      </c>
      <c r="F15" s="15" t="s">
        <v>91</v>
      </c>
      <c r="G15" s="3" t="s">
        <v>20</v>
      </c>
      <c r="H15" s="15" t="s">
        <v>92</v>
      </c>
      <c r="I15" s="11" t="s">
        <v>22</v>
      </c>
      <c r="J15" s="11" t="s">
        <v>80</v>
      </c>
      <c r="K15" s="12" t="s">
        <v>93</v>
      </c>
      <c r="L15" s="13" t="s">
        <v>94</v>
      </c>
      <c r="M15" s="15" t="s">
        <v>123</v>
      </c>
    </row>
    <row r="16" spans="1:13" ht="41.25" customHeight="1">
      <c r="A16" s="3">
        <f t="shared" si="0"/>
        <v>12</v>
      </c>
      <c r="B16" s="10">
        <v>45982.62771990741</v>
      </c>
      <c r="C16" s="3" t="s">
        <v>95</v>
      </c>
      <c r="D16" s="3" t="s">
        <v>36</v>
      </c>
      <c r="E16" s="15" t="s">
        <v>96</v>
      </c>
      <c r="F16" s="15" t="s">
        <v>97</v>
      </c>
      <c r="G16" s="3" t="s">
        <v>20</v>
      </c>
      <c r="H16" s="15" t="s">
        <v>98</v>
      </c>
      <c r="I16" s="11" t="s">
        <v>99</v>
      </c>
      <c r="J16" s="11" t="s">
        <v>100</v>
      </c>
      <c r="K16" s="12" t="s">
        <v>101</v>
      </c>
      <c r="L16" s="13" t="s">
        <v>102</v>
      </c>
      <c r="M16" s="15" t="s">
        <v>122</v>
      </c>
    </row>
    <row r="17" spans="1:13" ht="41.25" customHeight="1">
      <c r="A17" s="3">
        <f t="shared" si="0"/>
        <v>13</v>
      </c>
      <c r="B17" s="10">
        <v>46003.541168981479</v>
      </c>
      <c r="C17" s="3" t="s">
        <v>110</v>
      </c>
      <c r="D17" s="3" t="s">
        <v>27</v>
      </c>
      <c r="E17" s="15" t="s">
        <v>103</v>
      </c>
      <c r="F17" s="15" t="s">
        <v>104</v>
      </c>
      <c r="G17" s="3" t="s">
        <v>20</v>
      </c>
      <c r="H17" s="15" t="s">
        <v>105</v>
      </c>
      <c r="I17" s="11" t="s">
        <v>106</v>
      </c>
      <c r="J17" s="11" t="s">
        <v>107</v>
      </c>
      <c r="K17" s="12" t="s">
        <v>108</v>
      </c>
      <c r="L17" s="13" t="s">
        <v>109</v>
      </c>
      <c r="M17" s="15" t="s">
        <v>27</v>
      </c>
    </row>
    <row r="18" spans="1:13" ht="41.25" customHeight="1">
      <c r="A18" s="3">
        <f t="shared" si="0"/>
        <v>14</v>
      </c>
      <c r="B18" s="10">
        <v>46004.649699074071</v>
      </c>
      <c r="C18" s="3" t="s">
        <v>111</v>
      </c>
      <c r="D18" s="3" t="s">
        <v>27</v>
      </c>
      <c r="E18" s="15" t="s">
        <v>112</v>
      </c>
      <c r="F18" s="15" t="s">
        <v>113</v>
      </c>
      <c r="G18" s="3" t="s">
        <v>20</v>
      </c>
      <c r="H18" s="15" t="s">
        <v>114</v>
      </c>
      <c r="I18" s="11" t="s">
        <v>115</v>
      </c>
      <c r="J18" s="11" t="s">
        <v>50</v>
      </c>
      <c r="K18" s="12" t="s">
        <v>116</v>
      </c>
      <c r="L18" s="13" t="s">
        <v>117</v>
      </c>
      <c r="M18" s="15" t="s">
        <v>27</v>
      </c>
    </row>
  </sheetData>
  <mergeCells count="2">
    <mergeCell ref="B1:M1"/>
    <mergeCell ref="K4:L4"/>
  </mergeCells>
  <pageMargins left="0" right="0" top="0" bottom="0" header="0.51181102362204722" footer="0.51181102362204722"/>
  <pageSetup paperSize="9" scale="5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2025-12-24T12:58:19Z</cp:lastPrinted>
  <dcterms:created xsi:type="dcterms:W3CDTF">2025-12-24T11:36:17Z</dcterms:created>
  <dcterms:modified xsi:type="dcterms:W3CDTF">2025-12-24T12:59:59Z</dcterms:modified>
</cp:coreProperties>
</file>
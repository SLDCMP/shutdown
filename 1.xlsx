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32760" yWindow="32760" windowWidth="21600" windowHeight="9525"/>
  </bookViews>
  <sheets>
    <sheet name="Sheet0" sheetId="1" r:id="rId1"/>
  </sheets>
  <definedNames>
    <definedName name="__bookmark_1">Sheet0!$A$1:$M$29</definedName>
  </definedNames>
  <calcPr calcId="162913"/>
</workbook>
</file>

<file path=xl/calcChain.xml><?xml version="1.0" encoding="utf-8"?>
<calcChain xmlns="http://schemas.openxmlformats.org/spreadsheetml/2006/main">
  <c r="A35" i="1" l="1"/>
  <c r="A30" i="1"/>
  <c r="A31" i="1"/>
  <c r="A32" i="1"/>
  <c r="A33" i="1"/>
  <c r="A34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6" i="1"/>
</calcChain>
</file>

<file path=xl/sharedStrings.xml><?xml version="1.0" encoding="utf-8"?>
<sst xmlns="http://schemas.openxmlformats.org/spreadsheetml/2006/main" count="317" uniqueCount="220">
  <si>
    <t>STATE LOAD DESPATCH CENTRE _x000D_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</si>
  <si>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</si>
  <si>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</si>
  <si>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</si>
  <si>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</si>
  <si>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</si>
  <si>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</si>
  <si>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</si>
  <si>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</si>
  <si>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</si>
  <si>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</si>
  <si>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</si>
  <si>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</si>
  <si>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</si>
  <si>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</si>
  <si>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</si>
  <si>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</si>
  <si>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MR2512/0095</t>
  </si>
  <si>
    <t>220KV_220 kV Amarkantak-Birsinghpur TPH Circuit</t>
  </si>
  <si>
    <t>220KV_AMARKANTAK</t>
  </si>
  <si>
    <t>NON-OCCM-MP</t>
  </si>
  <si>
    <t>F/o disc stringing replacement  &amp; other line maint</t>
  </si>
  <si>
    <t>06-12-2025 10:00:00</t>
  </si>
  <si>
    <t>06-12-2025 17:00:00</t>
  </si>
  <si>
    <t>Jitendra Tiwari</t>
  </si>
  <si>
    <t>9425805298</t>
  </si>
  <si>
    <t>MR2512/0090</t>
  </si>
  <si>
    <t>220KV_220 KV Bus no. 2</t>
  </si>
  <si>
    <t>220KV_BHOPAL</t>
  </si>
  <si>
    <t>Stringing work of overhead conductor for new Xmer</t>
  </si>
  <si>
    <t>06-12-2025 08:00:00</t>
  </si>
  <si>
    <t>A. K. Jain</t>
  </si>
  <si>
    <t>9425806899</t>
  </si>
  <si>
    <t>Daily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</si>
  <si>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</si>
  <si>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</si>
  <si>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</si>
  <si>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</si>
  <si>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</si>
  <si>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</si>
  <si>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</si>
  <si>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</si>
  <si>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MR2512/0067</t>
  </si>
  <si>
    <t>132KV_132 kV Chhindwara-Saori Ckt-II nd</t>
  </si>
  <si>
    <t>220KV_CHHINDWARA</t>
  </si>
  <si>
    <t>PID disc replacement work</t>
  </si>
  <si>
    <t>05-12-2025 09:00:00</t>
  </si>
  <si>
    <t>06-12-2025 18:00:00</t>
  </si>
  <si>
    <t>A.M.Shende</t>
  </si>
  <si>
    <t>7587951136</t>
  </si>
  <si>
    <t>Continuous</t>
  </si>
  <si>
    <t>TOWER STRENGTHENING WORK</t>
  </si>
  <si>
    <t>01-12-2025 09:00:00</t>
  </si>
  <si>
    <t>9425805067</t>
  </si>
  <si>
    <t>MR2512/0022</t>
  </si>
  <si>
    <t>132KV_132 KV Itarsi-Pipariya line</t>
  </si>
  <si>
    <t>220KV_ITARSI</t>
  </si>
  <si>
    <t>Defective Disc replacement work</t>
  </si>
  <si>
    <t>03-12-2025 09:00:00</t>
  </si>
  <si>
    <t>09-12-2025 18:00:00</t>
  </si>
  <si>
    <t>Ashutosh Rai</t>
  </si>
  <si>
    <t>9425806902</t>
  </si>
  <si>
    <t>MR2512/0101</t>
  </si>
  <si>
    <t>132KV_132 kV Jabalpur Bargi (MPPGCL)</t>
  </si>
  <si>
    <t>220KV_JABALPUR</t>
  </si>
  <si>
    <t>Replacement of Damaged OPGW at loc. 53-55</t>
  </si>
  <si>
    <t>MR2512/0096</t>
  </si>
  <si>
    <t>132KV_132 KV Narsinghpur-Karakbel Line Ckt-II</t>
  </si>
  <si>
    <t>132KV_KARAKBEL</t>
  </si>
  <si>
    <t>Post - Monsoon Maintenance work and urgent tree cu</t>
  </si>
  <si>
    <t>Ashish Kumar</t>
  </si>
  <si>
    <t>9425805935</t>
  </si>
  <si>
    <t>400KV_KATNI4</t>
  </si>
  <si>
    <t>OCCM-MP</t>
  </si>
  <si>
    <t>400KV_400KV KATNI - DAMOH LINE</t>
  </si>
  <si>
    <t>M.M. BAIG</t>
  </si>
  <si>
    <t>220KV_220KV KATNI - DAMOH LINE</t>
  </si>
  <si>
    <t>MR2510/0725</t>
  </si>
  <si>
    <t>MR2510/0734</t>
  </si>
  <si>
    <t>M.M.BAIG</t>
  </si>
  <si>
    <t>MR2512/0104</t>
  </si>
  <si>
    <t>132KV_132 kv Katra-Mangawan DCSS line</t>
  </si>
  <si>
    <t>132KV_MANGAWAN</t>
  </si>
  <si>
    <t>flash over disc replacement, provide bird guard, B</t>
  </si>
  <si>
    <t>Mr. Ajay Kumar Chaurasia</t>
  </si>
  <si>
    <t>9425805081</t>
  </si>
  <si>
    <t>MR2512/0087</t>
  </si>
  <si>
    <t>50MVA_132/33KV_BBL_X'mer_3</t>
  </si>
  <si>
    <t>132KV_MORWA</t>
  </si>
  <si>
    <t>Post Monsoon Maint. and testing work</t>
  </si>
  <si>
    <t>06-12-2025 09:00:00</t>
  </si>
  <si>
    <t>S.B. Singh</t>
  </si>
  <si>
    <t>9039635859</t>
  </si>
  <si>
    <t>MR2512/0073</t>
  </si>
  <si>
    <t>220KV_220 KV MAIN BUS -1</t>
  </si>
  <si>
    <t>220KV_PITHAMPUR (SEC-III)</t>
  </si>
  <si>
    <t>NON-OCCM-WR</t>
  </si>
  <si>
    <t>220 KV DHAR CKT MAIN BUS -1 . ISOLATOR REPLACMENT</t>
  </si>
  <si>
    <t>05-12-2025 10:00:00</t>
  </si>
  <si>
    <t>06-12-2025 15:00:00</t>
  </si>
  <si>
    <t>RAJU DAS BAIRAGI</t>
  </si>
  <si>
    <t>9425801532</t>
  </si>
  <si>
    <t>MR2511/0579</t>
  </si>
  <si>
    <t>400KV_400KV SSTPH-Pithampur ckt-2</t>
  </si>
  <si>
    <t>400KV_PITHAMPUR4</t>
  </si>
  <si>
    <t>Hotline permit for OPGW Stringing work</t>
  </si>
  <si>
    <t>02-12-2025 07:00:00</t>
  </si>
  <si>
    <t>12-12-2025 19:00:00</t>
  </si>
  <si>
    <t>Naresh Pandre</t>
  </si>
  <si>
    <t>9425806905</t>
  </si>
  <si>
    <t>MR2511/0578</t>
  </si>
  <si>
    <t>400KV_400KV SSTPH Pithampur ckt-1</t>
  </si>
  <si>
    <t>hotline permit for OPGW Stringing work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</si>
  <si>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</si>
  <si>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</si>
  <si>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</si>
  <si>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</si>
  <si>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</si>
  <si>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</si>
  <si>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</si>
  <si>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</si>
  <si>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MR2512/0052</t>
  </si>
  <si>
    <t>132KV_132KV KHANIYADANA-RAJGHAT_Ckt</t>
  </si>
  <si>
    <t>132KV_RAJGHAT</t>
  </si>
  <si>
    <t>upgradation of numerical relay(DPR&amp;E/F, O/C)</t>
  </si>
  <si>
    <t>04-12-2025 10:00:00</t>
  </si>
  <si>
    <t>07-12-2025 17:00:00</t>
  </si>
  <si>
    <t>132KV rajghat hydel power station</t>
  </si>
  <si>
    <t>9630685929</t>
  </si>
  <si>
    <t>MR2512/0091</t>
  </si>
  <si>
    <t>220KV_220kV Morena(Adani) - Sabalgarh Line</t>
  </si>
  <si>
    <t>220KV_SABALGARH</t>
  </si>
  <si>
    <t>Line Maintenance work</t>
  </si>
  <si>
    <t>Pankaj Kumar</t>
  </si>
  <si>
    <t>9425805317</t>
  </si>
  <si>
    <t>MR2512/0094</t>
  </si>
  <si>
    <t>132KV_40 MVA XMER BHEL</t>
  </si>
  <si>
    <t>220KV_SARNI</t>
  </si>
  <si>
    <t>B Phase L.V. Bushing Oil Leakage Attending work</t>
  </si>
  <si>
    <t>06-12-2025 11:00:00</t>
  </si>
  <si>
    <t>06-12-2025 14:00:00</t>
  </si>
  <si>
    <t>ER.ANUP KUMAR DANGE</t>
  </si>
  <si>
    <t>9425814073</t>
  </si>
  <si>
    <t>MR2512/0092</t>
  </si>
  <si>
    <t>220KV_220KV Sarni-Itarsi Ckt-2</t>
  </si>
  <si>
    <t>For Diversion/Shifting of OPGW at SARNI Power Hous</t>
  </si>
  <si>
    <t>T K Mishra</t>
  </si>
  <si>
    <t>9425805312</t>
  </si>
  <si>
    <t>MR2512/0093</t>
  </si>
  <si>
    <t>220KV_220KV Sarni-Handia Ckt</t>
  </si>
  <si>
    <t>for OPGW diversion/shifting work at sarni power ho</t>
  </si>
  <si>
    <t>MR2512/0041</t>
  </si>
  <si>
    <t>220KV_220  kv Satna (MPPTCL)â¿¿ Kotar  line</t>
  </si>
  <si>
    <t>220KV_SATNA</t>
  </si>
  <si>
    <t>Double  fitting work</t>
  </si>
  <si>
    <t>10-12-2025 17:00:00</t>
  </si>
  <si>
    <t>Mr.R.K.Prajapati</t>
  </si>
  <si>
    <t>9407070182</t>
  </si>
  <si>
    <t>132KV_50 MVA TAL Xmer</t>
  </si>
  <si>
    <t>132KV_SATNA1</t>
  </si>
  <si>
    <t>06-12-2025 10:30:00</t>
  </si>
  <si>
    <t>SHRI ARUN KUMAR KOL</t>
  </si>
  <si>
    <t>8319677721</t>
  </si>
  <si>
    <t>MR2512/0098</t>
  </si>
  <si>
    <t>POST MANSOON MAINTENANACE AND TESTING WORK</t>
  </si>
  <si>
    <t>400KV_SATPURA TPS</t>
  </si>
  <si>
    <t>07-12-2025 18:00:00</t>
  </si>
  <si>
    <t>9425611046</t>
  </si>
  <si>
    <t>MR2511/0381</t>
  </si>
  <si>
    <t>400KV_400 KV SARNI-ASHTA LINE-I</t>
  </si>
  <si>
    <t>For Ruutine testing, genral checking &amp; maintenance</t>
  </si>
  <si>
    <t>Yashwant Warathe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</si>
  <si>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</si>
  <si>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</si>
  <si>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</si>
  <si>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</si>
  <si>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</si>
  <si>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</si>
  <si>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</si>
  <si>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MR2512/0097</t>
  </si>
  <si>
    <t>220KV_160mva 2nd BBL-Make Transformer</t>
  </si>
  <si>
    <t>220KV_TIKAMGARH</t>
  </si>
  <si>
    <t>Oil topping work</t>
  </si>
  <si>
    <t>06-12-2025 12:00:00</t>
  </si>
  <si>
    <t>Pushpendra kumar soni</t>
  </si>
  <si>
    <t>9425806598</t>
  </si>
  <si>
    <t>ok</t>
  </si>
  <si>
    <t>ok, through sub ld</t>
  </si>
  <si>
    <t>ok, o&amp;m to be informed</t>
  </si>
  <si>
    <t>sub ld</t>
  </si>
  <si>
    <t>ok, line to be in service</t>
  </si>
  <si>
    <t>deferred by site</t>
  </si>
  <si>
    <t>ok, allowed on daily basis from 11hrs</t>
  </si>
  <si>
    <t>not being availed by site</t>
  </si>
  <si>
    <t>o&amp;m consent required</t>
  </si>
  <si>
    <t>ok, ckt 1 to be in service</t>
  </si>
  <si>
    <t>ok, through sub ld, affected important telemetry data to be manual marked</t>
  </si>
  <si>
    <t>SATNA - 220KV - BUS 1</t>
  </si>
  <si>
    <t>220KV-SHUJALPUR-SHUJALPUR-MP-1</t>
  </si>
  <si>
    <t>400KV-INDORE-PITHAMPUR-2</t>
  </si>
  <si>
    <t>220KV-MORENA-SABALGARH-1</t>
  </si>
  <si>
    <t>220KV-PITHAMPUR-RAJGARH-1</t>
  </si>
  <si>
    <t>POWERGRID_WR2</t>
  </si>
  <si>
    <t>MP_SLDC</t>
  </si>
  <si>
    <t>For integration of relays of upcoming 220kV bays in existing system</t>
  </si>
  <si>
    <t>AMP WORK OF LINE BAY 202 L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</si>
  <si>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</si>
  <si>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</si>
  <si>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FOR REPLACEMENT OF OLD DISC INSULATOR ON VARIOUS TOWERS (DAILY BASIS)</t>
  </si>
  <si>
    <t>09:00</t>
  </si>
  <si>
    <t>08:00</t>
  </si>
  <si>
    <t>10:00</t>
  </si>
  <si>
    <t>18:00</t>
  </si>
  <si>
    <t>17:30</t>
  </si>
  <si>
    <t>17:00</t>
  </si>
  <si>
    <t>before s/d following steps to be taken:- one ckt of 220kv Bhopal -Shujalpur ckt to be in service
then check loading- if required then open 132kv Shujalpur-Sarangpur ckt 1, 2 in consultation with sub ld Bhopal, Indore</t>
  </si>
  <si>
    <t>real time</t>
  </si>
  <si>
    <t>160MVA ICT -1</t>
  </si>
  <si>
    <t>220 KV BEGAMGANJ</t>
  </si>
  <si>
    <t>REPLACEMENT OF B PHASE 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</si>
</sst>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2" formatCode="[$-1010809]dd\-mm\-yyyy"/>
    <numFmt numFmtId="173" formatCode="[$-1010809]dd/mm/yyyy\ hh:mm"/>
  </numFmts>
  <fonts count="7" x14ac:knownFonts="1">
    <font>
      <sz val="10"/>
      <name val="Arial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sz val="11"/>
      <name val="Calibri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72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2" fontId="4" fillId="0" borderId="1" xfId="0" applyNumberFormat="1" applyFont="1" applyBorder="1" applyAlignment="1">
      <alignment horizontal="center" vertical="center"/>
    </xf>
    <xf numFmtId="173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72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73" fontId="4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172" fontId="4" fillId="4" borderId="8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173" fontId="4" fillId="4" borderId="8" xfId="0" applyNumberFormat="1" applyFont="1" applyFill="1" applyBorder="1" applyAlignment="1">
      <alignment horizontal="center" vertical="center"/>
    </xf>
    <xf numFmtId="0" fontId="0" fillId="4" borderId="8" xfId="0" applyFill="1" applyBorder="1"/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4" xfId="0" applyFont="1" applyBorder="1" applyAlignment="1"/>
    <xf numFmtId="0" fontId="3" fillId="0" borderId="3" xfId="0" applyFont="1" applyBorder="1" applyAlignment="1"/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0</xdr:rowOff>
    </xdr:to>
    <xdr:pic>
      <xdr:nvPicPr>
        <xdr:cNvPr id="1036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8" sqref="F8"/>
    </sheetView>
  </sheetViews>
  <sheetFormatPr defaultRowHeight="12.75" x14ac:dyDescent="0.2"/>
  <cols>
    <col min="2" max="2" width="11.140625" customWidth="1"/>
    <col min="3" max="3" width="13.42578125" customWidth="1"/>
    <col min="4" max="4" width="11" customWidth="1"/>
    <col min="5" max="5" width="47.140625" style="12" customWidth="1"/>
    <col min="6" max="6" width="21.85546875" customWidth="1"/>
    <col min="7" max="7" width="15.7109375" customWidth="1"/>
    <col min="8" max="8" width="48.42578125" customWidth="1"/>
    <col min="9" max="10" width="19.5703125" customWidth="1"/>
    <col min="11" max="11" width="17.42578125" customWidth="1"/>
    <col min="12" max="12" width="12" customWidth="1"/>
    <col min="13" max="13" width="37.42578125" customWidth="1"/>
  </cols>
  <sheetData>
    <row r="1" spans="1:13" ht="43.7" customHeight="1" x14ac:dyDescent="0.25">
      <c r="A1" s="1"/>
      <c r="B1" s="30" t="s">
        <v>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2"/>
    </row>
    <row r="2" spans="1:13" ht="42" customHeight="1" x14ac:dyDescent="0.2">
      <c r="A2" s="1" t="s">
        <v>1</v>
      </c>
      <c r="B2" s="2">
        <v>45997</v>
      </c>
      <c r="C2" s="1"/>
      <c r="D2" s="1"/>
      <c r="E2" s="9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s="12" customFormat="1" ht="42" customHeight="1" x14ac:dyDescent="0.25">
      <c r="A4" s="10" t="s">
        <v>5</v>
      </c>
      <c r="B4" s="10" t="s">
        <v>6</v>
      </c>
      <c r="C4" s="10" t="s">
        <v>7</v>
      </c>
      <c r="D4" s="10" t="s">
        <v>8</v>
      </c>
      <c r="E4" s="10" t="s">
        <v>9</v>
      </c>
      <c r="F4" s="10" t="s">
        <v>10</v>
      </c>
      <c r="G4" s="10" t="s">
        <v>11</v>
      </c>
      <c r="H4" s="10" t="s">
        <v>12</v>
      </c>
      <c r="I4" s="10" t="s">
        <v>13</v>
      </c>
      <c r="J4" s="10" t="s">
        <v>14</v>
      </c>
      <c r="K4" s="33" t="s">
        <v>15</v>
      </c>
      <c r="L4" s="34"/>
      <c r="M4" s="10" t="s">
        <v>16</v>
      </c>
    </row>
    <row r="5" spans="1:13" ht="30.75" customHeight="1" x14ac:dyDescent="0.2">
      <c r="A5" s="4">
        <v>1</v>
      </c>
      <c r="B5" s="5">
        <v>45996.618032407408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186</v>
      </c>
    </row>
    <row r="6" spans="1:13" ht="30.75" customHeight="1" x14ac:dyDescent="0.2">
      <c r="A6" s="4">
        <f>A5+1</f>
        <v>2</v>
      </c>
      <c r="B6" s="5">
        <v>45996.554571759261</v>
      </c>
      <c r="C6" s="4" t="s">
        <v>26</v>
      </c>
      <c r="D6" s="4"/>
      <c r="E6" s="11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23</v>
      </c>
      <c r="K6" s="7" t="s">
        <v>31</v>
      </c>
      <c r="L6" s="8" t="s">
        <v>32</v>
      </c>
      <c r="M6" s="4" t="s">
        <v>187</v>
      </c>
    </row>
    <row r="7" spans="1:13" ht="30.75" customHeight="1" x14ac:dyDescent="0.2">
      <c r="A7" s="4">
        <f t="shared" ref="A7:A35" si="0">A6+1</f>
        <v>3</v>
      </c>
      <c r="B7" s="5">
        <v>45988.581759259258</v>
      </c>
      <c r="C7" s="4" t="s">
        <v>39</v>
      </c>
      <c r="D7" s="4" t="s">
        <v>33</v>
      </c>
      <c r="E7" s="11" t="s">
        <v>34</v>
      </c>
      <c r="F7" s="4" t="s">
        <v>35</v>
      </c>
      <c r="G7" s="4" t="s">
        <v>20</v>
      </c>
      <c r="H7" s="4" t="s">
        <v>40</v>
      </c>
      <c r="I7" s="6" t="s">
        <v>41</v>
      </c>
      <c r="J7" s="6" t="s">
        <v>36</v>
      </c>
      <c r="K7" s="7" t="s">
        <v>37</v>
      </c>
      <c r="L7" s="8" t="s">
        <v>38</v>
      </c>
      <c r="M7" s="4" t="s">
        <v>187</v>
      </c>
    </row>
    <row r="8" spans="1:13" ht="30.75" customHeight="1" x14ac:dyDescent="0.2">
      <c r="A8" s="4">
        <f t="shared" si="0"/>
        <v>4</v>
      </c>
      <c r="B8" s="5">
        <v>45994.699201388888</v>
      </c>
      <c r="C8" s="4" t="s">
        <v>42</v>
      </c>
      <c r="D8" s="4" t="s">
        <v>33</v>
      </c>
      <c r="E8" s="11" t="s">
        <v>43</v>
      </c>
      <c r="F8" s="4" t="s">
        <v>44</v>
      </c>
      <c r="G8" s="4" t="s">
        <v>20</v>
      </c>
      <c r="H8" s="4" t="s">
        <v>45</v>
      </c>
      <c r="I8" s="6" t="s">
        <v>46</v>
      </c>
      <c r="J8" s="6" t="s">
        <v>47</v>
      </c>
      <c r="K8" s="7" t="s">
        <v>48</v>
      </c>
      <c r="L8" s="8" t="s">
        <v>49</v>
      </c>
      <c r="M8" s="4" t="s">
        <v>188</v>
      </c>
    </row>
    <row r="9" spans="1:13" ht="30.75" customHeight="1" x14ac:dyDescent="0.2">
      <c r="A9" s="4">
        <f t="shared" si="0"/>
        <v>5</v>
      </c>
      <c r="B9" s="5">
        <v>45993.475023148145</v>
      </c>
      <c r="C9" s="4" t="s">
        <v>54</v>
      </c>
      <c r="D9" s="4" t="s">
        <v>33</v>
      </c>
      <c r="E9" s="11" t="s">
        <v>55</v>
      </c>
      <c r="F9" s="4" t="s">
        <v>56</v>
      </c>
      <c r="G9" s="4" t="s">
        <v>20</v>
      </c>
      <c r="H9" s="4" t="s">
        <v>57</v>
      </c>
      <c r="I9" s="6" t="s">
        <v>58</v>
      </c>
      <c r="J9" s="6" t="s">
        <v>59</v>
      </c>
      <c r="K9" s="7" t="s">
        <v>60</v>
      </c>
      <c r="L9" s="8" t="s">
        <v>61</v>
      </c>
      <c r="M9" s="4" t="s">
        <v>189</v>
      </c>
    </row>
    <row r="10" spans="1:13" ht="30.75" customHeight="1" x14ac:dyDescent="0.2">
      <c r="A10" s="4">
        <f t="shared" si="0"/>
        <v>6</v>
      </c>
      <c r="B10" s="5">
        <v>45996.655266203707</v>
      </c>
      <c r="C10" s="4" t="s">
        <v>62</v>
      </c>
      <c r="D10" s="4"/>
      <c r="E10" s="11" t="s">
        <v>63</v>
      </c>
      <c r="F10" s="4" t="s">
        <v>64</v>
      </c>
      <c r="G10" s="4" t="s">
        <v>20</v>
      </c>
      <c r="H10" s="4" t="s">
        <v>65</v>
      </c>
      <c r="I10" s="6" t="s">
        <v>30</v>
      </c>
      <c r="J10" s="6" t="s">
        <v>47</v>
      </c>
      <c r="K10" s="7" t="s">
        <v>24</v>
      </c>
      <c r="L10" s="8" t="s">
        <v>25</v>
      </c>
      <c r="M10" s="4" t="s">
        <v>186</v>
      </c>
    </row>
    <row r="11" spans="1:13" ht="30.75" customHeight="1" x14ac:dyDescent="0.2">
      <c r="A11" s="4">
        <f t="shared" si="0"/>
        <v>7</v>
      </c>
      <c r="B11" s="5">
        <v>45996.626261574071</v>
      </c>
      <c r="C11" s="4" t="s">
        <v>66</v>
      </c>
      <c r="D11" s="4"/>
      <c r="E11" s="11" t="s">
        <v>67</v>
      </c>
      <c r="F11" s="4" t="s">
        <v>68</v>
      </c>
      <c r="G11" s="4" t="s">
        <v>20</v>
      </c>
      <c r="H11" s="4" t="s">
        <v>69</v>
      </c>
      <c r="I11" s="6" t="s">
        <v>22</v>
      </c>
      <c r="J11" s="6" t="s">
        <v>47</v>
      </c>
      <c r="K11" s="7" t="s">
        <v>70</v>
      </c>
      <c r="L11" s="8" t="s">
        <v>71</v>
      </c>
      <c r="M11" s="4" t="s">
        <v>195</v>
      </c>
    </row>
    <row r="12" spans="1:13" ht="30.75" customHeight="1" x14ac:dyDescent="0.2">
      <c r="A12" s="4">
        <f t="shared" si="0"/>
        <v>8</v>
      </c>
      <c r="B12" s="5">
        <v>45961.716087962966</v>
      </c>
      <c r="C12" s="4" t="s">
        <v>77</v>
      </c>
      <c r="D12" s="4" t="s">
        <v>50</v>
      </c>
      <c r="E12" s="11" t="s">
        <v>74</v>
      </c>
      <c r="F12" s="4" t="s">
        <v>72</v>
      </c>
      <c r="G12" s="4" t="s">
        <v>73</v>
      </c>
      <c r="H12" s="4" t="s">
        <v>51</v>
      </c>
      <c r="I12" s="6" t="s">
        <v>52</v>
      </c>
      <c r="J12" s="6" t="s">
        <v>47</v>
      </c>
      <c r="K12" s="7" t="s">
        <v>75</v>
      </c>
      <c r="L12" s="8" t="s">
        <v>53</v>
      </c>
      <c r="M12" s="4" t="s">
        <v>50</v>
      </c>
    </row>
    <row r="13" spans="1:13" ht="30.75" customHeight="1" x14ac:dyDescent="0.2">
      <c r="A13" s="4">
        <f t="shared" si="0"/>
        <v>9</v>
      </c>
      <c r="B13" s="5">
        <v>45961.740891203706</v>
      </c>
      <c r="C13" s="4" t="s">
        <v>78</v>
      </c>
      <c r="D13" s="4" t="s">
        <v>50</v>
      </c>
      <c r="E13" s="11" t="s">
        <v>76</v>
      </c>
      <c r="F13" s="4" t="s">
        <v>72</v>
      </c>
      <c r="G13" s="4" t="s">
        <v>20</v>
      </c>
      <c r="H13" s="4" t="s">
        <v>51</v>
      </c>
      <c r="I13" s="6" t="s">
        <v>52</v>
      </c>
      <c r="J13" s="6" t="s">
        <v>47</v>
      </c>
      <c r="K13" s="7" t="s">
        <v>79</v>
      </c>
      <c r="L13" s="8" t="s">
        <v>53</v>
      </c>
      <c r="M13" s="4" t="s">
        <v>50</v>
      </c>
    </row>
    <row r="14" spans="1:13" ht="30.75" customHeight="1" x14ac:dyDescent="0.2">
      <c r="A14" s="4">
        <f t="shared" si="0"/>
        <v>10</v>
      </c>
      <c r="B14" s="5">
        <v>45996.661574074074</v>
      </c>
      <c r="C14" s="4" t="s">
        <v>80</v>
      </c>
      <c r="D14" s="4"/>
      <c r="E14" s="11" t="s">
        <v>81</v>
      </c>
      <c r="F14" s="4" t="s">
        <v>82</v>
      </c>
      <c r="G14" s="4" t="s">
        <v>20</v>
      </c>
      <c r="H14" s="4" t="s">
        <v>83</v>
      </c>
      <c r="I14" s="6" t="s">
        <v>22</v>
      </c>
      <c r="J14" s="6" t="s">
        <v>23</v>
      </c>
      <c r="K14" s="7" t="s">
        <v>84</v>
      </c>
      <c r="L14" s="8" t="s">
        <v>85</v>
      </c>
      <c r="M14" s="4" t="s">
        <v>186</v>
      </c>
    </row>
    <row r="15" spans="1:13" ht="30.75" customHeight="1" x14ac:dyDescent="0.2">
      <c r="A15" s="4">
        <f t="shared" si="0"/>
        <v>11</v>
      </c>
      <c r="B15" s="5">
        <v>45996.537939814814</v>
      </c>
      <c r="C15" s="4" t="s">
        <v>86</v>
      </c>
      <c r="D15" s="4"/>
      <c r="E15" s="11" t="s">
        <v>87</v>
      </c>
      <c r="F15" s="4" t="s">
        <v>88</v>
      </c>
      <c r="G15" s="4" t="s">
        <v>20</v>
      </c>
      <c r="H15" s="4" t="s">
        <v>89</v>
      </c>
      <c r="I15" s="6" t="s">
        <v>90</v>
      </c>
      <c r="J15" s="6" t="s">
        <v>47</v>
      </c>
      <c r="K15" s="7" t="s">
        <v>91</v>
      </c>
      <c r="L15" s="8" t="s">
        <v>92</v>
      </c>
      <c r="M15" s="4" t="s">
        <v>186</v>
      </c>
    </row>
    <row r="16" spans="1:13" ht="30.75" customHeight="1" x14ac:dyDescent="0.2">
      <c r="A16" s="4">
        <f t="shared" si="0"/>
        <v>12</v>
      </c>
      <c r="B16" s="5">
        <v>45995.572974537034</v>
      </c>
      <c r="C16" s="4" t="s">
        <v>93</v>
      </c>
      <c r="D16" s="4" t="s">
        <v>50</v>
      </c>
      <c r="E16" s="11" t="s">
        <v>94</v>
      </c>
      <c r="F16" s="4" t="s">
        <v>95</v>
      </c>
      <c r="G16" s="4" t="s">
        <v>96</v>
      </c>
      <c r="H16" s="4" t="s">
        <v>97</v>
      </c>
      <c r="I16" s="6" t="s">
        <v>98</v>
      </c>
      <c r="J16" s="6" t="s">
        <v>99</v>
      </c>
      <c r="K16" s="7" t="s">
        <v>100</v>
      </c>
      <c r="L16" s="8" t="s">
        <v>101</v>
      </c>
      <c r="M16" s="4" t="s">
        <v>50</v>
      </c>
    </row>
    <row r="17" spans="1:13" ht="30.75" customHeight="1" x14ac:dyDescent="0.2">
      <c r="A17" s="4">
        <f t="shared" si="0"/>
        <v>13</v>
      </c>
      <c r="B17" s="5">
        <v>45988.354861111111</v>
      </c>
      <c r="C17" s="4" t="s">
        <v>102</v>
      </c>
      <c r="D17" s="4" t="s">
        <v>33</v>
      </c>
      <c r="E17" s="11" t="s">
        <v>103</v>
      </c>
      <c r="F17" s="4" t="s">
        <v>104</v>
      </c>
      <c r="G17" s="4" t="s">
        <v>20</v>
      </c>
      <c r="H17" s="4" t="s">
        <v>105</v>
      </c>
      <c r="I17" s="6" t="s">
        <v>106</v>
      </c>
      <c r="J17" s="6" t="s">
        <v>107</v>
      </c>
      <c r="K17" s="7" t="s">
        <v>108</v>
      </c>
      <c r="L17" s="8" t="s">
        <v>109</v>
      </c>
      <c r="M17" s="4" t="s">
        <v>190</v>
      </c>
    </row>
    <row r="18" spans="1:13" ht="30.75" customHeight="1" x14ac:dyDescent="0.2">
      <c r="A18" s="4">
        <f t="shared" si="0"/>
        <v>14</v>
      </c>
      <c r="B18" s="5">
        <v>45988.353136574071</v>
      </c>
      <c r="C18" s="4" t="s">
        <v>110</v>
      </c>
      <c r="D18" s="4" t="s">
        <v>33</v>
      </c>
      <c r="E18" s="11" t="s">
        <v>111</v>
      </c>
      <c r="F18" s="4" t="s">
        <v>104</v>
      </c>
      <c r="G18" s="4" t="s">
        <v>20</v>
      </c>
      <c r="H18" s="4" t="s">
        <v>112</v>
      </c>
      <c r="I18" s="6" t="s">
        <v>106</v>
      </c>
      <c r="J18" s="6" t="s">
        <v>107</v>
      </c>
      <c r="K18" s="7" t="s">
        <v>108</v>
      </c>
      <c r="L18" s="8" t="s">
        <v>109</v>
      </c>
      <c r="M18" s="4" t="s">
        <v>190</v>
      </c>
    </row>
    <row r="19" spans="1:13" ht="30.75" customHeight="1" x14ac:dyDescent="0.2">
      <c r="A19" s="4">
        <f t="shared" si="0"/>
        <v>15</v>
      </c>
      <c r="B19" s="5">
        <v>45960.566990740743</v>
      </c>
      <c r="C19" s="4" t="s">
        <v>113</v>
      </c>
      <c r="D19" s="4" t="s">
        <v>33</v>
      </c>
      <c r="E19" s="11" t="s">
        <v>114</v>
      </c>
      <c r="F19" s="4" t="s">
        <v>115</v>
      </c>
      <c r="G19" s="4" t="s">
        <v>20</v>
      </c>
      <c r="H19" s="4" t="s">
        <v>116</v>
      </c>
      <c r="I19" s="6" t="s">
        <v>117</v>
      </c>
      <c r="J19" s="6" t="s">
        <v>118</v>
      </c>
      <c r="K19" s="7" t="s">
        <v>119</v>
      </c>
      <c r="L19" s="8" t="s">
        <v>120</v>
      </c>
      <c r="M19" s="4" t="s">
        <v>191</v>
      </c>
    </row>
    <row r="20" spans="1:13" ht="30.75" customHeight="1" x14ac:dyDescent="0.2">
      <c r="A20" s="4">
        <f t="shared" si="0"/>
        <v>16</v>
      </c>
      <c r="B20" s="5">
        <v>45994.501851851855</v>
      </c>
      <c r="C20" s="4" t="s">
        <v>121</v>
      </c>
      <c r="D20" s="4" t="s">
        <v>50</v>
      </c>
      <c r="E20" s="11" t="s">
        <v>122</v>
      </c>
      <c r="F20" s="4" t="s">
        <v>123</v>
      </c>
      <c r="G20" s="4" t="s">
        <v>73</v>
      </c>
      <c r="H20" s="4" t="s">
        <v>124</v>
      </c>
      <c r="I20" s="6" t="s">
        <v>125</v>
      </c>
      <c r="J20" s="6" t="s">
        <v>126</v>
      </c>
      <c r="K20" s="7" t="s">
        <v>127</v>
      </c>
      <c r="L20" s="8" t="s">
        <v>128</v>
      </c>
      <c r="M20" s="4" t="s">
        <v>50</v>
      </c>
    </row>
    <row r="21" spans="1:13" ht="30.75" customHeight="1" x14ac:dyDescent="0.2">
      <c r="A21" s="4">
        <f t="shared" si="0"/>
        <v>17</v>
      </c>
      <c r="B21" s="5">
        <v>45996.575879629629</v>
      </c>
      <c r="C21" s="4" t="s">
        <v>129</v>
      </c>
      <c r="D21" s="4"/>
      <c r="E21" s="11" t="s">
        <v>130</v>
      </c>
      <c r="F21" s="4" t="s">
        <v>131</v>
      </c>
      <c r="G21" s="4" t="s">
        <v>73</v>
      </c>
      <c r="H21" s="4" t="s">
        <v>132</v>
      </c>
      <c r="I21" s="6" t="s">
        <v>22</v>
      </c>
      <c r="J21" s="6" t="s">
        <v>23</v>
      </c>
      <c r="K21" s="7" t="s">
        <v>133</v>
      </c>
      <c r="L21" s="8" t="s">
        <v>134</v>
      </c>
      <c r="M21" s="4" t="s">
        <v>187</v>
      </c>
    </row>
    <row r="22" spans="1:13" ht="30.75" customHeight="1" x14ac:dyDescent="0.2">
      <c r="A22" s="4">
        <f t="shared" si="0"/>
        <v>18</v>
      </c>
      <c r="B22" s="5">
        <v>45996.61037037037</v>
      </c>
      <c r="C22" s="4" t="s">
        <v>135</v>
      </c>
      <c r="D22" s="4"/>
      <c r="E22" s="11" t="s">
        <v>136</v>
      </c>
      <c r="F22" s="4" t="s">
        <v>137</v>
      </c>
      <c r="G22" s="4" t="s">
        <v>20</v>
      </c>
      <c r="H22" s="4" t="s">
        <v>138</v>
      </c>
      <c r="I22" s="6" t="s">
        <v>139</v>
      </c>
      <c r="J22" s="6" t="s">
        <v>140</v>
      </c>
      <c r="K22" s="7" t="s">
        <v>141</v>
      </c>
      <c r="L22" s="8" t="s">
        <v>142</v>
      </c>
      <c r="M22" s="4" t="s">
        <v>189</v>
      </c>
    </row>
    <row r="23" spans="1:13" ht="30.75" customHeight="1" x14ac:dyDescent="0.2">
      <c r="A23" s="4">
        <f t="shared" si="0"/>
        <v>19</v>
      </c>
      <c r="B23" s="5">
        <v>45996.606296296297</v>
      </c>
      <c r="C23" s="4" t="s">
        <v>143</v>
      </c>
      <c r="D23" s="4"/>
      <c r="E23" s="13" t="s">
        <v>144</v>
      </c>
      <c r="F23" s="4" t="s">
        <v>137</v>
      </c>
      <c r="G23" s="4" t="s">
        <v>20</v>
      </c>
      <c r="H23" s="4" t="s">
        <v>145</v>
      </c>
      <c r="I23" s="6" t="s">
        <v>90</v>
      </c>
      <c r="J23" s="6" t="s">
        <v>47</v>
      </c>
      <c r="K23" s="7" t="s">
        <v>146</v>
      </c>
      <c r="L23" s="8" t="s">
        <v>147</v>
      </c>
      <c r="M23" s="11" t="s">
        <v>196</v>
      </c>
    </row>
    <row r="24" spans="1:13" ht="30.75" customHeight="1" x14ac:dyDescent="0.2">
      <c r="A24" s="4">
        <f t="shared" si="0"/>
        <v>20</v>
      </c>
      <c r="B24" s="5">
        <v>45996.610243055555</v>
      </c>
      <c r="C24" s="4" t="s">
        <v>148</v>
      </c>
      <c r="D24" s="4"/>
      <c r="E24" s="13" t="s">
        <v>149</v>
      </c>
      <c r="F24" s="4" t="s">
        <v>137</v>
      </c>
      <c r="G24" s="4" t="s">
        <v>20</v>
      </c>
      <c r="H24" s="4" t="s">
        <v>150</v>
      </c>
      <c r="I24" s="6" t="s">
        <v>90</v>
      </c>
      <c r="J24" s="6" t="s">
        <v>47</v>
      </c>
      <c r="K24" s="7" t="s">
        <v>146</v>
      </c>
      <c r="L24" s="8" t="s">
        <v>147</v>
      </c>
      <c r="M24" s="11" t="s">
        <v>196</v>
      </c>
    </row>
    <row r="25" spans="1:13" ht="30.75" customHeight="1" x14ac:dyDescent="0.2">
      <c r="A25" s="14">
        <f t="shared" si="0"/>
        <v>21</v>
      </c>
      <c r="B25" s="15">
        <v>45993.564918981479</v>
      </c>
      <c r="C25" s="14" t="s">
        <v>151</v>
      </c>
      <c r="D25" s="14" t="s">
        <v>33</v>
      </c>
      <c r="E25" s="16" t="s">
        <v>152</v>
      </c>
      <c r="F25" s="14" t="s">
        <v>153</v>
      </c>
      <c r="G25" s="14" t="s">
        <v>20</v>
      </c>
      <c r="H25" s="14" t="s">
        <v>154</v>
      </c>
      <c r="I25" s="17" t="s">
        <v>58</v>
      </c>
      <c r="J25" s="17" t="s">
        <v>155</v>
      </c>
      <c r="K25" s="18" t="s">
        <v>156</v>
      </c>
      <c r="L25" s="19" t="s">
        <v>157</v>
      </c>
      <c r="M25" s="14" t="s">
        <v>186</v>
      </c>
    </row>
    <row r="26" spans="1:13" ht="30.75" customHeight="1" x14ac:dyDescent="0.2">
      <c r="A26" s="22">
        <f t="shared" si="0"/>
        <v>22</v>
      </c>
      <c r="B26" s="23">
        <v>45996.642870370371</v>
      </c>
      <c r="C26" s="22" t="s">
        <v>163</v>
      </c>
      <c r="D26" s="22"/>
      <c r="E26" s="24" t="s">
        <v>158</v>
      </c>
      <c r="F26" s="22" t="s">
        <v>159</v>
      </c>
      <c r="G26" s="22" t="s">
        <v>96</v>
      </c>
      <c r="H26" s="22" t="s">
        <v>164</v>
      </c>
      <c r="I26" s="25" t="s">
        <v>160</v>
      </c>
      <c r="J26" s="25" t="s">
        <v>23</v>
      </c>
      <c r="K26" s="22" t="s">
        <v>161</v>
      </c>
      <c r="L26" s="22" t="s">
        <v>162</v>
      </c>
      <c r="M26" s="22" t="s">
        <v>194</v>
      </c>
    </row>
    <row r="27" spans="1:13" ht="30.75" customHeight="1" x14ac:dyDescent="0.2">
      <c r="A27" s="22">
        <f t="shared" si="0"/>
        <v>23</v>
      </c>
      <c r="B27" s="23">
        <v>45978.709224537037</v>
      </c>
      <c r="C27" s="22" t="s">
        <v>168</v>
      </c>
      <c r="D27" s="22" t="s">
        <v>50</v>
      </c>
      <c r="E27" s="24" t="s">
        <v>169</v>
      </c>
      <c r="F27" s="22" t="s">
        <v>165</v>
      </c>
      <c r="G27" s="22" t="s">
        <v>20</v>
      </c>
      <c r="H27" s="22" t="s">
        <v>170</v>
      </c>
      <c r="I27" s="25" t="s">
        <v>46</v>
      </c>
      <c r="J27" s="25" t="s">
        <v>166</v>
      </c>
      <c r="K27" s="22" t="s">
        <v>171</v>
      </c>
      <c r="L27" s="22" t="s">
        <v>167</v>
      </c>
      <c r="M27" s="22" t="s">
        <v>192</v>
      </c>
    </row>
    <row r="28" spans="1:13" ht="30.75" customHeight="1" x14ac:dyDescent="0.2">
      <c r="A28" s="22">
        <f t="shared" si="0"/>
        <v>24</v>
      </c>
      <c r="B28" s="23">
        <v>45982.62771990741</v>
      </c>
      <c r="C28" s="22" t="s">
        <v>172</v>
      </c>
      <c r="D28" s="22" t="s">
        <v>33</v>
      </c>
      <c r="E28" s="24" t="s">
        <v>173</v>
      </c>
      <c r="F28" s="22" t="s">
        <v>165</v>
      </c>
      <c r="G28" s="22" t="s">
        <v>20</v>
      </c>
      <c r="H28" s="22" t="s">
        <v>174</v>
      </c>
      <c r="I28" s="25" t="s">
        <v>175</v>
      </c>
      <c r="J28" s="25" t="s">
        <v>176</v>
      </c>
      <c r="K28" s="22" t="s">
        <v>177</v>
      </c>
      <c r="L28" s="22" t="s">
        <v>178</v>
      </c>
      <c r="M28" s="22" t="s">
        <v>193</v>
      </c>
    </row>
    <row r="29" spans="1:13" ht="30.75" customHeight="1" x14ac:dyDescent="0.2">
      <c r="A29" s="22">
        <f t="shared" si="0"/>
        <v>25</v>
      </c>
      <c r="B29" s="23">
        <v>45996.640925925924</v>
      </c>
      <c r="C29" s="22" t="s">
        <v>179</v>
      </c>
      <c r="D29" s="22"/>
      <c r="E29" s="24" t="s">
        <v>180</v>
      </c>
      <c r="F29" s="22" t="s">
        <v>181</v>
      </c>
      <c r="G29" s="22" t="s">
        <v>20</v>
      </c>
      <c r="H29" s="22" t="s">
        <v>182</v>
      </c>
      <c r="I29" s="25" t="s">
        <v>22</v>
      </c>
      <c r="J29" s="25" t="s">
        <v>183</v>
      </c>
      <c r="K29" s="22" t="s">
        <v>184</v>
      </c>
      <c r="L29" s="22" t="s">
        <v>185</v>
      </c>
      <c r="M29" s="22" t="s">
        <v>186</v>
      </c>
    </row>
    <row r="30" spans="1:13" ht="30" x14ac:dyDescent="0.2">
      <c r="A30" s="22">
        <f t="shared" si="0"/>
        <v>26</v>
      </c>
      <c r="B30" s="26"/>
      <c r="C30" s="20">
        <v>280101</v>
      </c>
      <c r="D30" s="26"/>
      <c r="E30" s="20" t="s">
        <v>197</v>
      </c>
      <c r="F30" s="20" t="s">
        <v>202</v>
      </c>
      <c r="G30" s="26"/>
      <c r="H30" s="20" t="s">
        <v>204</v>
      </c>
      <c r="I30" s="20" t="s">
        <v>209</v>
      </c>
      <c r="J30" s="20" t="s">
        <v>212</v>
      </c>
      <c r="K30" s="26"/>
      <c r="L30" s="26"/>
      <c r="M30" s="27" t="s">
        <v>186</v>
      </c>
    </row>
    <row r="31" spans="1:13" ht="76.5" x14ac:dyDescent="0.2">
      <c r="A31" s="22">
        <f t="shared" si="0"/>
        <v>27</v>
      </c>
      <c r="B31" s="26"/>
      <c r="C31" s="20">
        <v>276490</v>
      </c>
      <c r="D31" s="26"/>
      <c r="E31" s="20" t="s">
        <v>198</v>
      </c>
      <c r="F31" s="20" t="s">
        <v>202</v>
      </c>
      <c r="G31" s="26"/>
      <c r="H31" s="20" t="s">
        <v>205</v>
      </c>
      <c r="I31" s="20" t="s">
        <v>210</v>
      </c>
      <c r="J31" s="20" t="s">
        <v>213</v>
      </c>
      <c r="K31" s="26"/>
      <c r="L31" s="26"/>
      <c r="M31" s="28" t="s">
        <v>215</v>
      </c>
    </row>
    <row r="32" spans="1:13" ht="45" x14ac:dyDescent="0.2">
      <c r="A32" s="22">
        <f t="shared" si="0"/>
        <v>28</v>
      </c>
      <c r="B32" s="26"/>
      <c r="C32" s="20">
        <v>275182</v>
      </c>
      <c r="D32" s="26"/>
      <c r="E32" s="20" t="s">
        <v>199</v>
      </c>
      <c r="F32" s="20" t="s">
        <v>203</v>
      </c>
      <c r="G32" s="26"/>
      <c r="H32" s="20" t="s">
        <v>206</v>
      </c>
      <c r="I32" s="20" t="s">
        <v>211</v>
      </c>
      <c r="J32" s="20" t="s">
        <v>214</v>
      </c>
      <c r="K32" s="26"/>
      <c r="L32" s="26"/>
      <c r="M32" s="27" t="s">
        <v>187</v>
      </c>
    </row>
    <row r="33" spans="1:13" ht="75" x14ac:dyDescent="0.2">
      <c r="A33" s="22">
        <f t="shared" si="0"/>
        <v>29</v>
      </c>
      <c r="B33" s="26"/>
      <c r="C33" s="20">
        <v>275224</v>
      </c>
      <c r="D33" s="26"/>
      <c r="E33" s="20" t="s">
        <v>200</v>
      </c>
      <c r="F33" s="20" t="s">
        <v>203</v>
      </c>
      <c r="G33" s="26"/>
      <c r="H33" s="20" t="s">
        <v>207</v>
      </c>
      <c r="I33" s="20" t="s">
        <v>209</v>
      </c>
      <c r="J33" s="20" t="s">
        <v>214</v>
      </c>
      <c r="K33" s="26"/>
      <c r="L33" s="26"/>
      <c r="M33" s="27" t="s">
        <v>187</v>
      </c>
    </row>
    <row r="34" spans="1:13" ht="30" x14ac:dyDescent="0.2">
      <c r="A34" s="22">
        <f t="shared" si="0"/>
        <v>30</v>
      </c>
      <c r="B34" s="26"/>
      <c r="C34" s="20">
        <v>275225</v>
      </c>
      <c r="D34" s="26"/>
      <c r="E34" s="20" t="s">
        <v>201</v>
      </c>
      <c r="F34" s="20" t="s">
        <v>203</v>
      </c>
      <c r="G34" s="26"/>
      <c r="H34" s="20" t="s">
        <v>208</v>
      </c>
      <c r="I34" s="20" t="s">
        <v>210</v>
      </c>
      <c r="J34" s="20" t="s">
        <v>212</v>
      </c>
      <c r="K34" s="26"/>
      <c r="L34" s="26"/>
      <c r="M34" s="27" t="s">
        <v>216</v>
      </c>
    </row>
    <row r="35" spans="1:13" ht="33.75" customHeight="1" x14ac:dyDescent="0.2">
      <c r="A35" s="22">
        <f t="shared" si="0"/>
        <v>31</v>
      </c>
      <c r="B35" s="26"/>
      <c r="C35" s="26"/>
      <c r="D35" s="26"/>
      <c r="E35" s="29" t="s">
        <v>217</v>
      </c>
      <c r="F35" s="20" t="s">
        <v>218</v>
      </c>
      <c r="G35" s="26"/>
      <c r="H35" s="20" t="s">
        <v>219</v>
      </c>
      <c r="I35" s="20" t="s">
        <v>209</v>
      </c>
      <c r="J35" s="20" t="s">
        <v>212</v>
      </c>
      <c r="K35" s="26"/>
      <c r="L35" s="26"/>
      <c r="M35" s="27" t="s">
        <v>187</v>
      </c>
    </row>
    <row r="36" spans="1:13" ht="15" x14ac:dyDescent="0.2">
      <c r="J36" s="21"/>
    </row>
  </sheetData>
  <mergeCells count="2">
    <mergeCell ref="B1:M1"/>
    <mergeCell ref="K4:L4"/>
  </mergeCells>
  <pageMargins left="0.25" right="0.25" top="0.75" bottom="0.75" header="0.5" footer="0.5"/>
  <pageSetup paperSize="9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2025-12-05T13:55:04Z</dcterms:created>
  <dcterms:modified xsi:type="dcterms:W3CDTF">2025-12-05T17:24:22Z</dcterms:modified>
</cp:coreProperties>
</file>
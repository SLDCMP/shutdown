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Sheet0!$A$1:$M$44</definedName>
  </definedNames>
  <calcPr calcId="162913"/>
</workbook>
</file>

<file path=xl/calcChain.xml><?xml version="1.0" encoding="utf-8"?>
<calcChain xmlns="http://schemas.openxmlformats.org/spreadsheetml/2006/main"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6" i="1"/>
</calcChain>
</file>

<file path=xl/sharedStrings.xml><?xml version="1.0" encoding="utf-8"?>
<sst xmlns="http://schemas.openxmlformats.org/spreadsheetml/2006/main" count="530" uniqueCount="307">
  <si>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</si>
  <si>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</si>
  <si>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</si>
  <si>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</si>
  <si>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</si>
  <si>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</si>
  <si>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</si>
  <si>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</si>
  <si>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</si>
  <si>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</si>
  <si>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</si>
  <si>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</si>
  <si>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</si>
  <si>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</si>
  <si>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</si>
  <si>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</si>
  <si>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</si>
  <si>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MR2604/0393</t>
  </si>
  <si>
    <t>Continuous</t>
  </si>
  <si>
    <t>220KV_220KV Main Bus - 02 &amp; 220KV Tie Bus</t>
  </si>
  <si>
    <t>220KV_AMARKANTAK</t>
  </si>
  <si>
    <t>NON-OCCM-WR</t>
  </si>
  <si>
    <t>Dismantling activities of Bay No. 2, 5, 7 and 10</t>
  </si>
  <si>
    <t>16-04-2026 09:00:00</t>
  </si>
  <si>
    <t>18-04-2026 18:00:00</t>
  </si>
  <si>
    <t>Shri Ajay Parteti</t>
  </si>
  <si>
    <t>9425808877</t>
  </si>
  <si>
    <t>132KV_132 KV Maihar 2nd</t>
  </si>
  <si>
    <t>132KV_AMARPATAN</t>
  </si>
  <si>
    <t>NON-OCCM-MP</t>
  </si>
  <si>
    <t>for replacement of DPR</t>
  </si>
  <si>
    <t>17-04-2026 10:00:00</t>
  </si>
  <si>
    <t>17-04-2026 18:00:00</t>
  </si>
  <si>
    <t>Arun Kumar</t>
  </si>
  <si>
    <t>9131207339</t>
  </si>
  <si>
    <t>MR2604/0414</t>
  </si>
  <si>
    <t>MR2604/0398</t>
  </si>
  <si>
    <t>132KV_132KV Amarwara -Seoni feeder both end</t>
  </si>
  <si>
    <t>132KV_AMARWARA</t>
  </si>
  <si>
    <t>R phase CT Oil leakage attending work</t>
  </si>
  <si>
    <t>17-04-2026 13:00:00</t>
  </si>
  <si>
    <t>17-04-2026 15:00:00</t>
  </si>
  <si>
    <t>Ashok binjhade</t>
  </si>
  <si>
    <t>7587951135</t>
  </si>
  <si>
    <t>MR2604/0405</t>
  </si>
  <si>
    <t>220KV_160MVA BBL TRANSFORMER</t>
  </si>
  <si>
    <t>220KV_ANUPPUR</t>
  </si>
  <si>
    <t>BELL TANK OIL LEAKAGE ATTENDING WORK</t>
  </si>
  <si>
    <t>06-05-2026 18:00:00</t>
  </si>
  <si>
    <t>SUNIL KUMAR BHALAVI</t>
  </si>
  <si>
    <t>9425804704</t>
  </si>
  <si>
    <t>132KV_50Mva BHEL make transformer</t>
  </si>
  <si>
    <t>132KV_BANDA</t>
  </si>
  <si>
    <t>Premonsoon mantinance and testing work</t>
  </si>
  <si>
    <t>PD GAUTAM</t>
  </si>
  <si>
    <t>9425808329</t>
  </si>
  <si>
    <t>MR2604/0408</t>
  </si>
  <si>
    <t>MR2604/0397</t>
  </si>
  <si>
    <t>160MVA_220/132KV_BBL_X'mer_2</t>
  </si>
  <si>
    <t>400KV_CHHEGAON4</t>
  </si>
  <si>
    <t>PREMONSOON MAINTENANCE</t>
  </si>
  <si>
    <t>Ganesh mansare</t>
  </si>
  <si>
    <t>9425802441</t>
  </si>
  <si>
    <t>MR2604/0406</t>
  </si>
  <si>
    <t>220KV_220/132 kV 160 MVA BHEL Xmer</t>
  </si>
  <si>
    <t>220KV_CHICHLI</t>
  </si>
  <si>
    <t>Premonsoon maintenance &amp; Testing work</t>
  </si>
  <si>
    <t>17-04-2026 08:00:00</t>
  </si>
  <si>
    <t>17-04-2026 16:00:00</t>
  </si>
  <si>
    <t>Rajesh Chaturvedi</t>
  </si>
  <si>
    <t>9425805203</t>
  </si>
  <si>
    <t>MR2601/0438</t>
  </si>
  <si>
    <t>Daily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</si>
  <si>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</si>
  <si>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</si>
  <si>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</si>
  <si>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</si>
  <si>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</si>
  <si>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</si>
  <si>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</si>
  <si>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MR2604/0282</t>
  </si>
  <si>
    <t>400KV_400 KV ISP- INDORE-1 FEEDER</t>
  </si>
  <si>
    <t>400KV_INDIRASAGAR</t>
  </si>
  <si>
    <t>ANNUAL MAINTENANCE</t>
  </si>
  <si>
    <t>15-04-2026 08:00:00</t>
  </si>
  <si>
    <t>17-04-2026 17:00:00</t>
  </si>
  <si>
    <t>Vinay Mishra</t>
  </si>
  <si>
    <t>9575074321</t>
  </si>
  <si>
    <t>MR2604/0328</t>
  </si>
  <si>
    <t>400KV_UNIT#2</t>
  </si>
  <si>
    <t>ANNUAL MAINTENANCE OF U#2</t>
  </si>
  <si>
    <t>16-04-2026 06:00:00</t>
  </si>
  <si>
    <t>30-04-2026 18:00:00</t>
  </si>
  <si>
    <t>SANJAY PATEL</t>
  </si>
  <si>
    <t>MR2604/0285</t>
  </si>
  <si>
    <t>220KV_220 kV Jabalpur- Narsinghpur ctk-II</t>
  </si>
  <si>
    <t>220KV_JABALPUR</t>
  </si>
  <si>
    <t>Resagging work at Loc. No. 15-236</t>
  </si>
  <si>
    <t>12-04-2026 08:00:00</t>
  </si>
  <si>
    <t>18-04-2026 19:00:00</t>
  </si>
  <si>
    <t>Jitendra Tiwari</t>
  </si>
  <si>
    <t>9425805298</t>
  </si>
  <si>
    <t>MR2604/0284</t>
  </si>
  <si>
    <t>220KV_220 kV Jabalpur- Narsinghpur ckt-I</t>
  </si>
  <si>
    <t>MR2604/0411</t>
  </si>
  <si>
    <t>132KV_132kv Jatra- Tikamgarh</t>
  </si>
  <si>
    <t>132KV_JATARA</t>
  </si>
  <si>
    <t>Bay maintenance</t>
  </si>
  <si>
    <t>Pushpendra kumar soni</t>
  </si>
  <si>
    <t>9425806398</t>
  </si>
  <si>
    <t>MR2604/0410</t>
  </si>
  <si>
    <t>132KV_132 kv Jatar-Prithvipur line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</si>
  <si>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</si>
  <si>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</si>
  <si>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</si>
  <si>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</si>
  <si>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</si>
  <si>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</si>
  <si>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</si>
  <si>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</si>
  <si>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MR2604/0053</t>
  </si>
  <si>
    <t>132KV_132KV KATNI IC LINE IST CKT</t>
  </si>
  <si>
    <t>132KV_KATNI</t>
  </si>
  <si>
    <t>HTLS CONDUCTOR REPLACEMENT WORK</t>
  </si>
  <si>
    <t>MANOJ KUMAR TIWARI</t>
  </si>
  <si>
    <t>9425804993</t>
  </si>
  <si>
    <t>MR2604/0359</t>
  </si>
  <si>
    <t>400KV_400kV Kirnapur Bhilai Line</t>
  </si>
  <si>
    <t>400KV_KIRNAPUR</t>
  </si>
  <si>
    <t>OCCM-MP</t>
  </si>
  <si>
    <t>Suspension Tightening &amp; Other Maint. Work</t>
  </si>
  <si>
    <t>17-04-2026 09:00:00</t>
  </si>
  <si>
    <t>S.K. BHALADHARE</t>
  </si>
  <si>
    <t>9425807264</t>
  </si>
  <si>
    <t>MR2604/0416</t>
  </si>
  <si>
    <t>132KV_132kV Shivpuri Kolaras Ckt. Ist</t>
  </si>
  <si>
    <t>132KV_KOLARAS</t>
  </si>
  <si>
    <t>For DF/o replacement  work</t>
  </si>
  <si>
    <t>Akhilesh Singh</t>
  </si>
  <si>
    <t>8586865656</t>
  </si>
  <si>
    <t>MR2604/0422</t>
  </si>
  <si>
    <t>132KV_40 MVA BBL X-MER</t>
  </si>
  <si>
    <t>132KV_MANDLA</t>
  </si>
  <si>
    <t>PRE MANSOON MAINTENANCE WORK</t>
  </si>
  <si>
    <t>17-04-2026 07:00:00</t>
  </si>
  <si>
    <t>17-04-2026 12:00:00</t>
  </si>
  <si>
    <t>R.S BAIS</t>
  </si>
  <si>
    <t>9425163265</t>
  </si>
  <si>
    <t>MR2603/0021</t>
  </si>
  <si>
    <t>220KV_MAIN BUS -B AND BUS COUPLER</t>
  </si>
  <si>
    <t>220KV_OMKARESHWAR</t>
  </si>
  <si>
    <t>NITINDEEP TAMRAKAR</t>
  </si>
  <si>
    <t>7898703187</t>
  </si>
  <si>
    <t>MR2603/0019</t>
  </si>
  <si>
    <t>220KV_OMKARESHWAR-KHANDWA LINE (LINE#5) ALONG WITH ONE OF THE BUS AND BUS COUPLER</t>
  </si>
  <si>
    <t>15-04-2026 10:00:00</t>
  </si>
  <si>
    <t>MR2604/0392</t>
  </si>
  <si>
    <t>220KV_Generating Unit No. 02</t>
  </si>
  <si>
    <t>Annual maintenance</t>
  </si>
  <si>
    <t>16-04-2026 10:00:00</t>
  </si>
  <si>
    <t>Sh. M. S. Karunakar</t>
  </si>
  <si>
    <t>MR2604/0373</t>
  </si>
  <si>
    <t>132KV_132 kV Panagar- Patan</t>
  </si>
  <si>
    <t>220KV_PANAGAR</t>
  </si>
  <si>
    <t>Tower Errection work at loc. No. 27R, 28R</t>
  </si>
  <si>
    <t>16-04-2026 08:00:00</t>
  </si>
  <si>
    <t>MR2604/0399</t>
  </si>
  <si>
    <t>132KV_63MVA X-mer No.II BBL</t>
  </si>
  <si>
    <t>220KV_PANDHURNA</t>
  </si>
  <si>
    <t>Premansoon Maintenance &amp;Testing work</t>
  </si>
  <si>
    <t>S.R. Shende</t>
  </si>
  <si>
    <t>9425811447</t>
  </si>
  <si>
    <t>132KV_PHOOLBAGH GIS</t>
  </si>
  <si>
    <t>Raksha Chhapariya</t>
  </si>
  <si>
    <t>6265080313</t>
  </si>
  <si>
    <t>MR2604/0402</t>
  </si>
  <si>
    <t>132KV_132/33 kv 50 MVA x-mer -l (TAL)</t>
  </si>
  <si>
    <t>Pre mansoon maintenance and testing work</t>
  </si>
  <si>
    <t>MR2604/0280</t>
  </si>
  <si>
    <t>400KV_400 KV SSTPH-Pithampur ckt 2</t>
  </si>
  <si>
    <t>400KV_PITHAMPUR4</t>
  </si>
  <si>
    <t>Tower Restrengthening work on cross arm</t>
  </si>
  <si>
    <t>30-04-2026 19:00:00</t>
  </si>
  <si>
    <t>Naresh Pandre</t>
  </si>
  <si>
    <t>9425806905</t>
  </si>
  <si>
    <t>MR2604/0279</t>
  </si>
  <si>
    <t>400KV_400 KV SSTPH-Pithampur ckt 1</t>
  </si>
  <si>
    <t>MR2604/0409</t>
  </si>
  <si>
    <t>132KV_40 MVA BHEL TRANSFORMER</t>
  </si>
  <si>
    <t>132KV_RAHATGARH</t>
  </si>
  <si>
    <t>PREMONSOON MAINTENANCE WORK</t>
  </si>
  <si>
    <t>ER BHUPENDRA KHAWSE</t>
  </si>
  <si>
    <t>9425806471</t>
  </si>
  <si>
    <t>MR2604/0270</t>
  </si>
  <si>
    <t>132KV_132kv Sabalgarh Motijheel Ckt</t>
  </si>
  <si>
    <t>220KV_SABALGARH</t>
  </si>
  <si>
    <t>Re-sagging work &amp; Other line Maintenance work</t>
  </si>
  <si>
    <t>11-04-2026 09:00:00</t>
  </si>
  <si>
    <t>Suraj Pawar</t>
  </si>
  <si>
    <t>9425814079</t>
  </si>
  <si>
    <t>MR2604/0420</t>
  </si>
  <si>
    <t>132KV_132kv Sabalgarh Vijaypur Ckt  IInd</t>
  </si>
  <si>
    <t>Line Maintenance work</t>
  </si>
  <si>
    <t>MR2604/0395</t>
  </si>
  <si>
    <t>132KV_50 MVA-XMER II MAKE TAL</t>
  </si>
  <si>
    <t>132KV_SAHARWASA</t>
  </si>
  <si>
    <t>PRE MANSOON MAINT. &amp; TES. WORK</t>
  </si>
  <si>
    <t>132 KV SAHARWASA</t>
  </si>
  <si>
    <t>9425804982</t>
  </si>
  <si>
    <t>MR2604/0400</t>
  </si>
  <si>
    <t>220KV_SARNI BETUL PGCIL</t>
  </si>
  <si>
    <t>220KV_SARNI</t>
  </si>
  <si>
    <t>OCCM-WR</t>
  </si>
  <si>
    <t>LINE MAINT. WORK</t>
  </si>
  <si>
    <t>SHIV KUMAR</t>
  </si>
  <si>
    <t>9425806917</t>
  </si>
  <si>
    <t>MR2604/0350</t>
  </si>
  <si>
    <t>220KV_220 kV Satna (MPPTCL) -Ajaygarh line</t>
  </si>
  <si>
    <t>220KV_SATNA</t>
  </si>
  <si>
    <t>ERS and Tower erection work</t>
  </si>
  <si>
    <t>27-04-2026 18:00:00</t>
  </si>
  <si>
    <t>Mr. R.K.Prajapati</t>
  </si>
  <si>
    <t>9407070182</t>
  </si>
  <si>
    <t>MR2604/0144</t>
  </si>
  <si>
    <t>132KV_132 kV Satna - IC -II</t>
  </si>
  <si>
    <t>Conductor Replacement work</t>
  </si>
  <si>
    <t>07-04-2026 08:00:00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</si>
  <si>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</si>
  <si>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</si>
  <si>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</si>
  <si>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</si>
  <si>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</si>
  <si>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</si>
  <si>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</si>
  <si>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</si>
  <si>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MR2604/0352</t>
  </si>
  <si>
    <t>132KV_132kv Shivpuri Karahal Ckt -1</t>
  </si>
  <si>
    <t>220KV_SHIVPURI</t>
  </si>
  <si>
    <t>For Replacement of damaged/missing OPGW work</t>
  </si>
  <si>
    <t>15-04-2026 09:00:00</t>
  </si>
  <si>
    <t>MR2604/0418</t>
  </si>
  <si>
    <t>132KV_132 kv Sirmaur-Katra Ckt-1 DCDS line</t>
  </si>
  <si>
    <t>220KV_SIRMOUR</t>
  </si>
  <si>
    <t>replacement of flashover disc insulator string</t>
  </si>
  <si>
    <t>17-04-2026 11:00:00</t>
  </si>
  <si>
    <t>Mr. Ajay Kumar Chaurasia</t>
  </si>
  <si>
    <t>9425805081</t>
  </si>
  <si>
    <t>MR2604/0404</t>
  </si>
  <si>
    <t>132KV_132 KV Sironj-Lateri Ckt.</t>
  </si>
  <si>
    <t>132KV_SIRONJ</t>
  </si>
  <si>
    <t>Replacement of f/o disc insulator at loc no 83T77B</t>
  </si>
  <si>
    <t>Dilip Singh Walkey</t>
  </si>
  <si>
    <t>9425804578</t>
  </si>
  <si>
    <t>MR2604/0386</t>
  </si>
  <si>
    <t>132KV_132kv vidisha salamatpur ckt</t>
  </si>
  <si>
    <t>220KV_VIDISHA</t>
  </si>
  <si>
    <t>For modification/shifting work of line.</t>
  </si>
  <si>
    <t>16-04-2026 14:00:00</t>
  </si>
  <si>
    <t>Rajkumar Bhusare</t>
  </si>
  <si>
    <t>9425820042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</si>
  <si>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</si>
  <si>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</si>
  <si>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</si>
  <si>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</si>
  <si>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</si>
  <si>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</si>
  <si>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</si>
  <si>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</si>
  <si>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ok, through sub ld</t>
  </si>
  <si>
    <t>ok</t>
  </si>
  <si>
    <t>on daily basis from 11hrs</t>
  </si>
  <si>
    <t>as per system availability</t>
  </si>
  <si>
    <t>ok, after 11hrs</t>
  </si>
  <si>
    <t>as per real time loading conditions</t>
  </si>
  <si>
    <t>sub ld</t>
  </si>
  <si>
    <t>ok, EI approval required whil;e final charging on new tower</t>
  </si>
  <si>
    <t>deferred</t>
  </si>
  <si>
    <t>real time</t>
  </si>
  <si>
    <t>under review</t>
  </si>
  <si>
    <t>ok, if required 132kv Anuppur-Shahdol ckt to be opened for load management</t>
  </si>
  <si>
    <t>400KV/220KV MORENA-ICT-1</t>
  </si>
  <si>
    <t>400KV-KIRNAPUR-BHILAI-1</t>
  </si>
  <si>
    <t>400KV-SINGAJI-PITHAMPUR-1</t>
  </si>
  <si>
    <t>220KV-GWALIOR-MALANPUR-1</t>
  </si>
  <si>
    <t>220KV-BHANPURA-MODAK-1</t>
  </si>
  <si>
    <t>220KV-BETUL-SARNI-1</t>
  </si>
  <si>
    <t>220KV-INDORE-INDORE NORTH ZONE-2</t>
  </si>
  <si>
    <t>400KV-BINA-JP-BINA-1</t>
  </si>
  <si>
    <t>400KV-SINGAJI-PITHAMPUR-2</t>
  </si>
  <si>
    <t>400KV-SSP-RAJGARH-2</t>
  </si>
  <si>
    <t>Annual maintenance work</t>
  </si>
  <si>
    <t>FOR LINE MAINTENANCE WORK i.e. CLEANING OF DISC INSULATORS DURING LINE PATROLLING , REPLACEMENT OF FLASHOVERED DISC INSULATORS, TREE BRANCH CUTTING ETC AT VARIOUS TOWER LOCATIONS</t>
  </si>
  <si>
    <t xml:space="preserve">FOR TOWER STRENGHTING WORK AT VARIOUS LINE LOCATIONS I.E. CONE TIGHTNING &amp; STRENGTHNING, MISSING PART PROVIDING  </t>
  </si>
  <si>
    <t>SHUTDOWN REQUIRED FOR REPLACEMENT OF DEFECTIVE DISC INSULATOR</t>
  </si>
  <si>
    <t xml:space="preserve">
For line maintenance and conductor resagging work</t>
  </si>
  <si>
    <t>17-Apr-2026</t>
  </si>
  <si>
    <t>09:00</t>
  </si>
  <si>
    <t>18:00</t>
  </si>
  <si>
    <t>08:00</t>
  </si>
  <si>
    <t>30-Apr-2026</t>
  </si>
  <si>
    <t>17:00</t>
  </si>
  <si>
    <t>06:00</t>
  </si>
  <si>
    <t>19:00</t>
  </si>
  <si>
    <t>400KV-SSP-RAJGARH-1</t>
  </si>
  <si>
    <t>A/R OFF DUE TO S/D ON CIRCUIT-1</t>
  </si>
  <si>
    <t>S/I ,SLDC MPPTCL JABALPUR</t>
  </si>
  <si>
    <t>APPROVED OUTAGE LIST FOR DTD.17.04.2026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</si>
</sst>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indexed="8"/>
      <name val="Calibri"/>
      <family val="2"/>
      <scheme val="minor"/>
    </font>
    <font>
      <sz val="10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5" fillId="0" borderId="1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2" xfId="0" applyFont="1" applyBorder="1"/>
    <xf numFmtId="0" fontId="8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"/>
  <sheetViews>
    <sheetView tabSelected="1" zoomScale="90" zoomScaleNormal="90" workbookViewId="0">
      <selection activeCell="H14" sqref="H14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0.5703125" style="10" customWidth="1"/>
    <col min="6" max="6" width="21.85546875" customWidth="1"/>
    <col min="7" max="7" width="16.140625" customWidth="1"/>
    <col min="8" max="8" width="48.140625" customWidth="1"/>
    <col min="9" max="10" width="19.5703125" customWidth="1"/>
    <col min="11" max="11" width="23.5703125" customWidth="1"/>
    <col min="12" max="12" width="12" customWidth="1"/>
    <col min="13" max="13" width="36.85546875" style="10" customWidth="1"/>
  </cols>
  <sheetData>
    <row r="1" spans="1:13" ht="43.7" customHeight="1">
      <c r="A1" s="1"/>
      <c r="B1" s="17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s="10" customFormat="1" ht="42" customHeight="1">
      <c r="A2" s="7" t="s">
        <v>1</v>
      </c>
      <c r="B2" s="22">
        <v>46129</v>
      </c>
      <c r="C2" s="7"/>
      <c r="D2" s="7"/>
      <c r="E2" s="14" t="s">
        <v>306</v>
      </c>
      <c r="F2" s="15"/>
      <c r="G2" s="15"/>
      <c r="H2" s="15"/>
      <c r="I2" s="15"/>
      <c r="J2" s="15"/>
      <c r="K2" s="16"/>
      <c r="L2" s="7"/>
      <c r="M2" s="7"/>
    </row>
    <row r="3" spans="1:13" s="10" customFormat="1" ht="42" customHeight="1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20" t="s">
        <v>15</v>
      </c>
      <c r="L4" s="21"/>
      <c r="M4" s="8" t="s">
        <v>16</v>
      </c>
    </row>
    <row r="5" spans="1:13" ht="33.75" customHeight="1">
      <c r="A5" s="2">
        <v>1</v>
      </c>
      <c r="B5" s="3">
        <v>46127.709907407407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18</v>
      </c>
    </row>
    <row r="6" spans="1:13" ht="33.75" customHeight="1">
      <c r="A6" s="2">
        <f>A5+1</f>
        <v>2</v>
      </c>
      <c r="B6" s="3">
        <v>46128.632361111115</v>
      </c>
      <c r="C6" s="2" t="s">
        <v>35</v>
      </c>
      <c r="D6" s="2"/>
      <c r="E6" s="9" t="s">
        <v>27</v>
      </c>
      <c r="F6" s="2" t="s">
        <v>28</v>
      </c>
      <c r="G6" s="2" t="s">
        <v>29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9" t="s">
        <v>269</v>
      </c>
    </row>
    <row r="7" spans="1:13" ht="33.75" customHeight="1">
      <c r="A7" s="2">
        <f t="shared" ref="A7:A55" si="0">A6+1</f>
        <v>3</v>
      </c>
      <c r="B7" s="3">
        <v>46128.519884259258</v>
      </c>
      <c r="C7" s="2" t="s">
        <v>36</v>
      </c>
      <c r="D7" s="2"/>
      <c r="E7" s="9" t="s">
        <v>37</v>
      </c>
      <c r="F7" s="2" t="s">
        <v>38</v>
      </c>
      <c r="G7" s="2" t="s">
        <v>21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9" t="s">
        <v>269</v>
      </c>
    </row>
    <row r="8" spans="1:13" ht="33.75" customHeight="1">
      <c r="A8" s="2">
        <f t="shared" si="0"/>
        <v>4</v>
      </c>
      <c r="B8" s="3">
        <v>46128.598124999997</v>
      </c>
      <c r="C8" s="2" t="s">
        <v>44</v>
      </c>
      <c r="D8" s="2" t="s">
        <v>18</v>
      </c>
      <c r="E8" s="11" t="s">
        <v>45</v>
      </c>
      <c r="F8" s="2" t="s">
        <v>46</v>
      </c>
      <c r="G8" s="2" t="s">
        <v>29</v>
      </c>
      <c r="H8" s="2" t="s">
        <v>47</v>
      </c>
      <c r="I8" s="4" t="s">
        <v>31</v>
      </c>
      <c r="J8" s="4" t="s">
        <v>48</v>
      </c>
      <c r="K8" s="5" t="s">
        <v>49</v>
      </c>
      <c r="L8" s="6" t="s">
        <v>50</v>
      </c>
      <c r="M8" s="9" t="s">
        <v>279</v>
      </c>
    </row>
    <row r="9" spans="1:13" ht="33.75" customHeight="1">
      <c r="A9" s="2">
        <f t="shared" si="0"/>
        <v>5</v>
      </c>
      <c r="B9" s="3">
        <v>46128.617673611108</v>
      </c>
      <c r="C9" s="2" t="s">
        <v>56</v>
      </c>
      <c r="D9" s="2"/>
      <c r="E9" s="9" t="s">
        <v>51</v>
      </c>
      <c r="F9" s="2" t="s">
        <v>52</v>
      </c>
      <c r="G9" s="2" t="s">
        <v>29</v>
      </c>
      <c r="H9" s="2" t="s">
        <v>53</v>
      </c>
      <c r="I9" s="4" t="s">
        <v>31</v>
      </c>
      <c r="J9" s="4" t="s">
        <v>32</v>
      </c>
      <c r="K9" s="5" t="s">
        <v>54</v>
      </c>
      <c r="L9" s="6" t="s">
        <v>55</v>
      </c>
      <c r="M9" s="9" t="s">
        <v>269</v>
      </c>
    </row>
    <row r="10" spans="1:13" ht="33.75" customHeight="1">
      <c r="A10" s="2">
        <f t="shared" si="0"/>
        <v>6</v>
      </c>
      <c r="B10" s="3">
        <v>46128.498483796298</v>
      </c>
      <c r="C10" s="2" t="s">
        <v>57</v>
      </c>
      <c r="D10" s="2"/>
      <c r="E10" s="9" t="s">
        <v>58</v>
      </c>
      <c r="F10" s="2" t="s">
        <v>59</v>
      </c>
      <c r="G10" s="2" t="s">
        <v>29</v>
      </c>
      <c r="H10" s="2" t="s">
        <v>60</v>
      </c>
      <c r="I10" s="4" t="s">
        <v>31</v>
      </c>
      <c r="J10" s="4" t="s">
        <v>32</v>
      </c>
      <c r="K10" s="5" t="s">
        <v>61</v>
      </c>
      <c r="L10" s="6" t="s">
        <v>62</v>
      </c>
      <c r="M10" s="9" t="s">
        <v>268</v>
      </c>
    </row>
    <row r="11" spans="1:13" ht="33.75" customHeight="1">
      <c r="A11" s="2">
        <f t="shared" si="0"/>
        <v>7</v>
      </c>
      <c r="B11" s="3">
        <v>46128.613067129627</v>
      </c>
      <c r="C11" s="2" t="s">
        <v>63</v>
      </c>
      <c r="D11" s="2"/>
      <c r="E11" s="9" t="s">
        <v>64</v>
      </c>
      <c r="F11" s="2" t="s">
        <v>65</v>
      </c>
      <c r="G11" s="2" t="s">
        <v>29</v>
      </c>
      <c r="H11" s="2" t="s">
        <v>66</v>
      </c>
      <c r="I11" s="4" t="s">
        <v>67</v>
      </c>
      <c r="J11" s="4" t="s">
        <v>68</v>
      </c>
      <c r="K11" s="5" t="s">
        <v>69</v>
      </c>
      <c r="L11" s="6" t="s">
        <v>70</v>
      </c>
      <c r="M11" s="9" t="s">
        <v>277</v>
      </c>
    </row>
    <row r="12" spans="1:13" ht="33.75" customHeight="1">
      <c r="A12" s="2">
        <f t="shared" si="0"/>
        <v>8</v>
      </c>
      <c r="B12" s="3">
        <v>46050.577592592592</v>
      </c>
      <c r="C12" s="2" t="s">
        <v>71</v>
      </c>
      <c r="D12" s="2" t="s">
        <v>72</v>
      </c>
      <c r="E12" s="9" t="s">
        <v>73</v>
      </c>
      <c r="F12" s="2" t="s">
        <v>74</v>
      </c>
      <c r="G12" s="2" t="s">
        <v>29</v>
      </c>
      <c r="H12" s="2" t="s">
        <v>75</v>
      </c>
      <c r="I12" s="4" t="s">
        <v>76</v>
      </c>
      <c r="J12" s="4" t="s">
        <v>77</v>
      </c>
      <c r="K12" s="5" t="s">
        <v>78</v>
      </c>
      <c r="L12" s="6" t="s">
        <v>79</v>
      </c>
      <c r="M12" s="9" t="s">
        <v>269</v>
      </c>
    </row>
    <row r="13" spans="1:13" ht="33.75" customHeight="1">
      <c r="A13" s="2">
        <f t="shared" si="0"/>
        <v>9</v>
      </c>
      <c r="B13" s="3">
        <v>46123.468842592592</v>
      </c>
      <c r="C13" s="2" t="s">
        <v>80</v>
      </c>
      <c r="D13" s="2" t="s">
        <v>18</v>
      </c>
      <c r="E13" s="9" t="s">
        <v>81</v>
      </c>
      <c r="F13" s="2" t="s">
        <v>82</v>
      </c>
      <c r="G13" s="2" t="s">
        <v>21</v>
      </c>
      <c r="H13" s="2" t="s">
        <v>83</v>
      </c>
      <c r="I13" s="4" t="s">
        <v>84</v>
      </c>
      <c r="J13" s="4" t="s">
        <v>85</v>
      </c>
      <c r="K13" s="5" t="s">
        <v>86</v>
      </c>
      <c r="L13" s="6" t="s">
        <v>87</v>
      </c>
      <c r="M13" s="9" t="s">
        <v>270</v>
      </c>
    </row>
    <row r="14" spans="1:13" ht="33.75" customHeight="1">
      <c r="A14" s="2">
        <f t="shared" si="0"/>
        <v>10</v>
      </c>
      <c r="B14" s="3">
        <v>46126.359826388885</v>
      </c>
      <c r="C14" s="2" t="s">
        <v>88</v>
      </c>
      <c r="D14" s="2" t="s">
        <v>18</v>
      </c>
      <c r="E14" s="9" t="s">
        <v>89</v>
      </c>
      <c r="F14" s="2" t="s">
        <v>82</v>
      </c>
      <c r="G14" s="2" t="s">
        <v>21</v>
      </c>
      <c r="H14" s="2" t="s">
        <v>90</v>
      </c>
      <c r="I14" s="4" t="s">
        <v>91</v>
      </c>
      <c r="J14" s="4" t="s">
        <v>92</v>
      </c>
      <c r="K14" s="5" t="s">
        <v>93</v>
      </c>
      <c r="L14" s="6" t="s">
        <v>87</v>
      </c>
      <c r="M14" s="9" t="s">
        <v>271</v>
      </c>
    </row>
    <row r="15" spans="1:13" ht="33.75" customHeight="1">
      <c r="A15" s="2">
        <f t="shared" si="0"/>
        <v>11</v>
      </c>
      <c r="B15" s="3">
        <v>46123.508287037039</v>
      </c>
      <c r="C15" s="2" t="s">
        <v>94</v>
      </c>
      <c r="D15" s="2" t="s">
        <v>72</v>
      </c>
      <c r="E15" s="9" t="s">
        <v>95</v>
      </c>
      <c r="F15" s="2" t="s">
        <v>96</v>
      </c>
      <c r="G15" s="2" t="s">
        <v>29</v>
      </c>
      <c r="H15" s="2" t="s">
        <v>97</v>
      </c>
      <c r="I15" s="4" t="s">
        <v>98</v>
      </c>
      <c r="J15" s="4" t="s">
        <v>99</v>
      </c>
      <c r="K15" s="5" t="s">
        <v>100</v>
      </c>
      <c r="L15" s="6" t="s">
        <v>101</v>
      </c>
      <c r="M15" s="9" t="s">
        <v>272</v>
      </c>
    </row>
    <row r="16" spans="1:13" ht="33.75" customHeight="1">
      <c r="A16" s="2">
        <f t="shared" si="0"/>
        <v>12</v>
      </c>
      <c r="B16" s="3">
        <v>46123.507013888891</v>
      </c>
      <c r="C16" s="2" t="s">
        <v>102</v>
      </c>
      <c r="D16" s="2" t="s">
        <v>72</v>
      </c>
      <c r="E16" s="9" t="s">
        <v>103</v>
      </c>
      <c r="F16" s="2" t="s">
        <v>96</v>
      </c>
      <c r="G16" s="2" t="s">
        <v>29</v>
      </c>
      <c r="H16" s="2" t="s">
        <v>97</v>
      </c>
      <c r="I16" s="4" t="s">
        <v>98</v>
      </c>
      <c r="J16" s="4" t="s">
        <v>99</v>
      </c>
      <c r="K16" s="5" t="s">
        <v>100</v>
      </c>
      <c r="L16" s="6" t="s">
        <v>101</v>
      </c>
      <c r="M16" s="9" t="s">
        <v>272</v>
      </c>
    </row>
    <row r="17" spans="1:13" ht="33.75" customHeight="1">
      <c r="A17" s="2">
        <f t="shared" si="0"/>
        <v>13</v>
      </c>
      <c r="B17" s="3">
        <v>46128.630983796298</v>
      </c>
      <c r="C17" s="2" t="s">
        <v>104</v>
      </c>
      <c r="D17" s="2"/>
      <c r="E17" s="9" t="s">
        <v>105</v>
      </c>
      <c r="F17" s="2" t="s">
        <v>106</v>
      </c>
      <c r="G17" s="2" t="s">
        <v>29</v>
      </c>
      <c r="H17" s="2" t="s">
        <v>107</v>
      </c>
      <c r="I17" s="4" t="s">
        <v>40</v>
      </c>
      <c r="J17" s="4" t="s">
        <v>85</v>
      </c>
      <c r="K17" s="5" t="s">
        <v>108</v>
      </c>
      <c r="L17" s="6" t="s">
        <v>109</v>
      </c>
      <c r="M17" s="9" t="s">
        <v>269</v>
      </c>
    </row>
    <row r="18" spans="1:13" ht="33.75" customHeight="1">
      <c r="A18" s="2">
        <f t="shared" si="0"/>
        <v>14</v>
      </c>
      <c r="B18" s="3">
        <v>46128.629571759258</v>
      </c>
      <c r="C18" s="2" t="s">
        <v>110</v>
      </c>
      <c r="D18" s="2"/>
      <c r="E18" s="9" t="s">
        <v>111</v>
      </c>
      <c r="F18" s="2" t="s">
        <v>106</v>
      </c>
      <c r="G18" s="2" t="s">
        <v>29</v>
      </c>
      <c r="H18" s="2" t="s">
        <v>107</v>
      </c>
      <c r="I18" s="4" t="s">
        <v>31</v>
      </c>
      <c r="J18" s="4" t="s">
        <v>40</v>
      </c>
      <c r="K18" s="5" t="s">
        <v>108</v>
      </c>
      <c r="L18" s="6" t="s">
        <v>109</v>
      </c>
      <c r="M18" s="9" t="s">
        <v>269</v>
      </c>
    </row>
    <row r="19" spans="1:13" ht="33.75" customHeight="1">
      <c r="A19" s="2">
        <f t="shared" si="0"/>
        <v>15</v>
      </c>
      <c r="B19" s="3">
        <v>46095.722418981481</v>
      </c>
      <c r="C19" s="2" t="s">
        <v>112</v>
      </c>
      <c r="D19" s="2" t="s">
        <v>72</v>
      </c>
      <c r="E19" s="9" t="s">
        <v>113</v>
      </c>
      <c r="F19" s="2" t="s">
        <v>114</v>
      </c>
      <c r="G19" s="2" t="s">
        <v>21</v>
      </c>
      <c r="H19" s="2" t="s">
        <v>115</v>
      </c>
      <c r="I19" s="4" t="s">
        <v>116</v>
      </c>
      <c r="J19" s="4" t="s">
        <v>117</v>
      </c>
      <c r="K19" s="5" t="s">
        <v>118</v>
      </c>
      <c r="L19" s="6" t="s">
        <v>119</v>
      </c>
      <c r="M19" s="9" t="s">
        <v>269</v>
      </c>
    </row>
    <row r="20" spans="1:13" ht="33.75" customHeight="1">
      <c r="A20" s="2">
        <f t="shared" si="0"/>
        <v>16</v>
      </c>
      <c r="B20" s="3">
        <v>46114.686712962961</v>
      </c>
      <c r="C20" s="2" t="s">
        <v>120</v>
      </c>
      <c r="D20" s="2" t="s">
        <v>72</v>
      </c>
      <c r="E20" s="9" t="s">
        <v>121</v>
      </c>
      <c r="F20" s="2" t="s">
        <v>122</v>
      </c>
      <c r="G20" s="2" t="s">
        <v>29</v>
      </c>
      <c r="H20" s="2" t="s">
        <v>123</v>
      </c>
      <c r="I20" s="4" t="s">
        <v>23</v>
      </c>
      <c r="J20" s="4" t="s">
        <v>32</v>
      </c>
      <c r="K20" s="5" t="s">
        <v>124</v>
      </c>
      <c r="L20" s="6" t="s">
        <v>125</v>
      </c>
      <c r="M20" s="9" t="s">
        <v>273</v>
      </c>
    </row>
    <row r="21" spans="1:13" ht="33.75" customHeight="1">
      <c r="A21" s="2">
        <f t="shared" si="0"/>
        <v>17</v>
      </c>
      <c r="B21" s="3">
        <v>46127.495034722226</v>
      </c>
      <c r="C21" s="2" t="s">
        <v>126</v>
      </c>
      <c r="D21" s="2"/>
      <c r="E21" s="11" t="s">
        <v>127</v>
      </c>
      <c r="F21" s="2" t="s">
        <v>128</v>
      </c>
      <c r="G21" s="2" t="s">
        <v>129</v>
      </c>
      <c r="H21" s="2" t="s">
        <v>130</v>
      </c>
      <c r="I21" s="4" t="s">
        <v>131</v>
      </c>
      <c r="J21" s="4" t="s">
        <v>32</v>
      </c>
      <c r="K21" s="5" t="s">
        <v>132</v>
      </c>
      <c r="L21" s="6" t="s">
        <v>133</v>
      </c>
      <c r="M21" s="9" t="s">
        <v>269</v>
      </c>
    </row>
    <row r="22" spans="1:13" ht="33.75" customHeight="1">
      <c r="A22" s="2">
        <f t="shared" si="0"/>
        <v>18</v>
      </c>
      <c r="B22" s="3">
        <v>46128.640555555554</v>
      </c>
      <c r="C22" s="2" t="s">
        <v>134</v>
      </c>
      <c r="D22" s="2"/>
      <c r="E22" s="9" t="s">
        <v>135</v>
      </c>
      <c r="F22" s="2" t="s">
        <v>136</v>
      </c>
      <c r="G22" s="2" t="s">
        <v>29</v>
      </c>
      <c r="H22" s="2" t="s">
        <v>137</v>
      </c>
      <c r="I22" s="4" t="s">
        <v>131</v>
      </c>
      <c r="J22" s="4" t="s">
        <v>32</v>
      </c>
      <c r="K22" s="5" t="s">
        <v>138</v>
      </c>
      <c r="L22" s="6" t="s">
        <v>139</v>
      </c>
      <c r="M22" s="9" t="s">
        <v>274</v>
      </c>
    </row>
    <row r="23" spans="1:13" ht="33.75" customHeight="1">
      <c r="A23" s="2">
        <f t="shared" si="0"/>
        <v>19</v>
      </c>
      <c r="B23" s="3">
        <v>46128.695023148146</v>
      </c>
      <c r="C23" s="2" t="s">
        <v>140</v>
      </c>
      <c r="D23" s="2"/>
      <c r="E23" s="9" t="s">
        <v>141</v>
      </c>
      <c r="F23" s="2" t="s">
        <v>142</v>
      </c>
      <c r="G23" s="2" t="s">
        <v>29</v>
      </c>
      <c r="H23" s="2" t="s">
        <v>143</v>
      </c>
      <c r="I23" s="4" t="s">
        <v>144</v>
      </c>
      <c r="J23" s="4" t="s">
        <v>145</v>
      </c>
      <c r="K23" s="5" t="s">
        <v>146</v>
      </c>
      <c r="L23" s="6" t="s">
        <v>147</v>
      </c>
      <c r="M23" s="9" t="s">
        <v>269</v>
      </c>
    </row>
    <row r="24" spans="1:13" ht="33.75" customHeight="1">
      <c r="A24" s="2">
        <f t="shared" si="0"/>
        <v>20</v>
      </c>
      <c r="B24" s="3">
        <v>46083.704467592594</v>
      </c>
      <c r="C24" s="2" t="s">
        <v>148</v>
      </c>
      <c r="D24" s="2" t="s">
        <v>18</v>
      </c>
      <c r="E24" s="9" t="s">
        <v>149</v>
      </c>
      <c r="F24" s="2" t="s">
        <v>150</v>
      </c>
      <c r="G24" s="2" t="s">
        <v>29</v>
      </c>
      <c r="H24" s="2" t="s">
        <v>83</v>
      </c>
      <c r="I24" s="4" t="s">
        <v>31</v>
      </c>
      <c r="J24" s="4" t="s">
        <v>24</v>
      </c>
      <c r="K24" s="5" t="s">
        <v>151</v>
      </c>
      <c r="L24" s="6" t="s">
        <v>152</v>
      </c>
      <c r="M24" s="9" t="s">
        <v>18</v>
      </c>
    </row>
    <row r="25" spans="1:13" ht="33.75" customHeight="1">
      <c r="A25" s="2">
        <f t="shared" si="0"/>
        <v>21</v>
      </c>
      <c r="B25" s="3">
        <v>46083.69872685185</v>
      </c>
      <c r="C25" s="2" t="s">
        <v>153</v>
      </c>
      <c r="D25" s="2" t="s">
        <v>18</v>
      </c>
      <c r="E25" s="9" t="s">
        <v>154</v>
      </c>
      <c r="F25" s="2" t="s">
        <v>150</v>
      </c>
      <c r="G25" s="2" t="s">
        <v>29</v>
      </c>
      <c r="H25" s="2" t="s">
        <v>83</v>
      </c>
      <c r="I25" s="4" t="s">
        <v>155</v>
      </c>
      <c r="J25" s="4" t="s">
        <v>24</v>
      </c>
      <c r="K25" s="5" t="s">
        <v>151</v>
      </c>
      <c r="L25" s="6" t="s">
        <v>152</v>
      </c>
      <c r="M25" s="9" t="s">
        <v>18</v>
      </c>
    </row>
    <row r="26" spans="1:13" ht="33.75" customHeight="1">
      <c r="A26" s="2">
        <f t="shared" si="0"/>
        <v>22</v>
      </c>
      <c r="B26" s="3">
        <v>46127.687465277777</v>
      </c>
      <c r="C26" s="2" t="s">
        <v>156</v>
      </c>
      <c r="D26" s="2" t="s">
        <v>18</v>
      </c>
      <c r="E26" s="9" t="s">
        <v>157</v>
      </c>
      <c r="F26" s="2" t="s">
        <v>150</v>
      </c>
      <c r="G26" s="2" t="s">
        <v>21</v>
      </c>
      <c r="H26" s="2" t="s">
        <v>158</v>
      </c>
      <c r="I26" s="4" t="s">
        <v>159</v>
      </c>
      <c r="J26" s="4" t="s">
        <v>92</v>
      </c>
      <c r="K26" s="5" t="s">
        <v>160</v>
      </c>
      <c r="L26" s="6" t="s">
        <v>152</v>
      </c>
      <c r="M26" s="9" t="s">
        <v>271</v>
      </c>
    </row>
    <row r="27" spans="1:13" ht="33.75" customHeight="1">
      <c r="A27" s="2">
        <f t="shared" si="0"/>
        <v>23</v>
      </c>
      <c r="B27" s="3">
        <v>46127.573379629626</v>
      </c>
      <c r="C27" s="2" t="s">
        <v>161</v>
      </c>
      <c r="D27" s="2" t="s">
        <v>72</v>
      </c>
      <c r="E27" s="9" t="s">
        <v>162</v>
      </c>
      <c r="F27" s="2" t="s">
        <v>163</v>
      </c>
      <c r="G27" s="2" t="s">
        <v>29</v>
      </c>
      <c r="H27" s="2" t="s">
        <v>164</v>
      </c>
      <c r="I27" s="4" t="s">
        <v>165</v>
      </c>
      <c r="J27" s="4" t="s">
        <v>24</v>
      </c>
      <c r="K27" s="5" t="s">
        <v>100</v>
      </c>
      <c r="L27" s="6" t="s">
        <v>101</v>
      </c>
      <c r="M27" s="9" t="s">
        <v>275</v>
      </c>
    </row>
    <row r="28" spans="1:13" ht="33.75" customHeight="1">
      <c r="A28" s="2">
        <f t="shared" si="0"/>
        <v>24</v>
      </c>
      <c r="B28" s="3">
        <v>46128.533009259256</v>
      </c>
      <c r="C28" s="2" t="s">
        <v>166</v>
      </c>
      <c r="D28" s="2"/>
      <c r="E28" s="9" t="s">
        <v>167</v>
      </c>
      <c r="F28" s="2" t="s">
        <v>168</v>
      </c>
      <c r="G28" s="2" t="s">
        <v>29</v>
      </c>
      <c r="H28" s="2" t="s">
        <v>169</v>
      </c>
      <c r="I28" s="4" t="s">
        <v>31</v>
      </c>
      <c r="J28" s="4" t="s">
        <v>85</v>
      </c>
      <c r="K28" s="5" t="s">
        <v>170</v>
      </c>
      <c r="L28" s="6" t="s">
        <v>171</v>
      </c>
      <c r="M28" s="9" t="s">
        <v>269</v>
      </c>
    </row>
    <row r="29" spans="1:13" ht="33.75" customHeight="1">
      <c r="A29" s="2">
        <f t="shared" si="0"/>
        <v>25</v>
      </c>
      <c r="B29" s="3">
        <v>46128.549537037034</v>
      </c>
      <c r="C29" s="2" t="s">
        <v>175</v>
      </c>
      <c r="D29" s="2"/>
      <c r="E29" s="9" t="s">
        <v>176</v>
      </c>
      <c r="F29" s="2" t="s">
        <v>172</v>
      </c>
      <c r="G29" s="2" t="s">
        <v>29</v>
      </c>
      <c r="H29" s="2" t="s">
        <v>177</v>
      </c>
      <c r="I29" s="4" t="s">
        <v>31</v>
      </c>
      <c r="J29" s="4" t="s">
        <v>85</v>
      </c>
      <c r="K29" s="5" t="s">
        <v>173</v>
      </c>
      <c r="L29" s="6" t="s">
        <v>174</v>
      </c>
      <c r="M29" s="9" t="s">
        <v>274</v>
      </c>
    </row>
    <row r="30" spans="1:13" ht="33.75" customHeight="1">
      <c r="A30" s="2">
        <f t="shared" si="0"/>
        <v>26</v>
      </c>
      <c r="B30" s="3">
        <v>46123.359305555554</v>
      </c>
      <c r="C30" s="2" t="s">
        <v>178</v>
      </c>
      <c r="D30" s="2" t="s">
        <v>18</v>
      </c>
      <c r="E30" s="9" t="s">
        <v>179</v>
      </c>
      <c r="F30" s="2" t="s">
        <v>180</v>
      </c>
      <c r="G30" s="2" t="s">
        <v>29</v>
      </c>
      <c r="H30" s="2" t="s">
        <v>181</v>
      </c>
      <c r="I30" s="4" t="s">
        <v>67</v>
      </c>
      <c r="J30" s="4" t="s">
        <v>182</v>
      </c>
      <c r="K30" s="5" t="s">
        <v>183</v>
      </c>
      <c r="L30" s="6" t="s">
        <v>184</v>
      </c>
      <c r="M30" s="9" t="s">
        <v>18</v>
      </c>
    </row>
    <row r="31" spans="1:13" ht="33.75" customHeight="1">
      <c r="A31" s="2">
        <f t="shared" si="0"/>
        <v>27</v>
      </c>
      <c r="B31" s="3">
        <v>46123.357719907406</v>
      </c>
      <c r="C31" s="2" t="s">
        <v>185</v>
      </c>
      <c r="D31" s="2" t="s">
        <v>18</v>
      </c>
      <c r="E31" s="9" t="s">
        <v>186</v>
      </c>
      <c r="F31" s="2" t="s">
        <v>180</v>
      </c>
      <c r="G31" s="2" t="s">
        <v>29</v>
      </c>
      <c r="H31" s="2" t="s">
        <v>181</v>
      </c>
      <c r="I31" s="4" t="s">
        <v>67</v>
      </c>
      <c r="J31" s="4" t="s">
        <v>182</v>
      </c>
      <c r="K31" s="5" t="s">
        <v>183</v>
      </c>
      <c r="L31" s="6" t="s">
        <v>184</v>
      </c>
      <c r="M31" s="9" t="s">
        <v>18</v>
      </c>
    </row>
    <row r="32" spans="1:13" ht="33.75" customHeight="1">
      <c r="A32" s="2">
        <f t="shared" si="0"/>
        <v>28</v>
      </c>
      <c r="B32" s="3">
        <v>46128.618136574078</v>
      </c>
      <c r="C32" s="2" t="s">
        <v>187</v>
      </c>
      <c r="D32" s="2"/>
      <c r="E32" s="9" t="s">
        <v>188</v>
      </c>
      <c r="F32" s="2" t="s">
        <v>189</v>
      </c>
      <c r="G32" s="2" t="s">
        <v>29</v>
      </c>
      <c r="H32" s="2" t="s">
        <v>190</v>
      </c>
      <c r="I32" s="4" t="s">
        <v>31</v>
      </c>
      <c r="J32" s="4" t="s">
        <v>85</v>
      </c>
      <c r="K32" s="5" t="s">
        <v>191</v>
      </c>
      <c r="L32" s="6" t="s">
        <v>192</v>
      </c>
      <c r="M32" s="9" t="s">
        <v>269</v>
      </c>
    </row>
    <row r="33" spans="1:13" ht="33.75" customHeight="1">
      <c r="A33" s="2">
        <f t="shared" si="0"/>
        <v>29</v>
      </c>
      <c r="B33" s="3">
        <v>46122.562511574077</v>
      </c>
      <c r="C33" s="2" t="s">
        <v>193</v>
      </c>
      <c r="D33" s="2" t="s">
        <v>72</v>
      </c>
      <c r="E33" s="9" t="s">
        <v>194</v>
      </c>
      <c r="F33" s="2" t="s">
        <v>195</v>
      </c>
      <c r="G33" s="2" t="s">
        <v>29</v>
      </c>
      <c r="H33" s="2" t="s">
        <v>196</v>
      </c>
      <c r="I33" s="4" t="s">
        <v>197</v>
      </c>
      <c r="J33" s="4" t="s">
        <v>32</v>
      </c>
      <c r="K33" s="5" t="s">
        <v>198</v>
      </c>
      <c r="L33" s="6" t="s">
        <v>199</v>
      </c>
      <c r="M33" s="9" t="s">
        <v>274</v>
      </c>
    </row>
    <row r="34" spans="1:13" ht="33.75" customHeight="1">
      <c r="A34" s="2">
        <f t="shared" si="0"/>
        <v>30</v>
      </c>
      <c r="B34" s="3">
        <v>46128.656006944446</v>
      </c>
      <c r="C34" s="2" t="s">
        <v>200</v>
      </c>
      <c r="D34" s="2"/>
      <c r="E34" s="9" t="s">
        <v>201</v>
      </c>
      <c r="F34" s="2" t="s">
        <v>195</v>
      </c>
      <c r="G34" s="2" t="s">
        <v>29</v>
      </c>
      <c r="H34" s="2" t="s">
        <v>202</v>
      </c>
      <c r="I34" s="4" t="s">
        <v>131</v>
      </c>
      <c r="J34" s="4" t="s">
        <v>85</v>
      </c>
      <c r="K34" s="5" t="s">
        <v>198</v>
      </c>
      <c r="L34" s="6" t="s">
        <v>199</v>
      </c>
      <c r="M34" s="9" t="s">
        <v>274</v>
      </c>
    </row>
    <row r="35" spans="1:13" ht="33.75" customHeight="1">
      <c r="A35" s="2">
        <f t="shared" si="0"/>
        <v>31</v>
      </c>
      <c r="B35" s="3">
        <v>46128.425162037034</v>
      </c>
      <c r="C35" s="2" t="s">
        <v>203</v>
      </c>
      <c r="D35" s="2"/>
      <c r="E35" s="9" t="s">
        <v>204</v>
      </c>
      <c r="F35" s="2" t="s">
        <v>205</v>
      </c>
      <c r="G35" s="2" t="s">
        <v>29</v>
      </c>
      <c r="H35" s="2" t="s">
        <v>206</v>
      </c>
      <c r="I35" s="4" t="s">
        <v>131</v>
      </c>
      <c r="J35" s="4" t="s">
        <v>85</v>
      </c>
      <c r="K35" s="5" t="s">
        <v>207</v>
      </c>
      <c r="L35" s="6" t="s">
        <v>208</v>
      </c>
      <c r="M35" s="9" t="s">
        <v>274</v>
      </c>
    </row>
    <row r="36" spans="1:13" ht="33.75" customHeight="1">
      <c r="A36" s="2">
        <f t="shared" si="0"/>
        <v>32</v>
      </c>
      <c r="B36" s="3">
        <v>46128.539733796293</v>
      </c>
      <c r="C36" s="2" t="s">
        <v>209</v>
      </c>
      <c r="D36" s="2"/>
      <c r="E36" s="9" t="s">
        <v>210</v>
      </c>
      <c r="F36" s="2" t="s">
        <v>211</v>
      </c>
      <c r="G36" s="2" t="s">
        <v>212</v>
      </c>
      <c r="H36" s="2" t="s">
        <v>213</v>
      </c>
      <c r="I36" s="4" t="s">
        <v>131</v>
      </c>
      <c r="J36" s="4" t="s">
        <v>85</v>
      </c>
      <c r="K36" s="5" t="s">
        <v>214</v>
      </c>
      <c r="L36" s="6" t="s">
        <v>215</v>
      </c>
      <c r="M36" s="9" t="s">
        <v>268</v>
      </c>
    </row>
    <row r="37" spans="1:13" ht="33.75" customHeight="1">
      <c r="A37" s="2">
        <f t="shared" si="0"/>
        <v>33</v>
      </c>
      <c r="B37" s="3">
        <v>46126.637708333335</v>
      </c>
      <c r="C37" s="2" t="s">
        <v>216</v>
      </c>
      <c r="D37" s="2" t="s">
        <v>18</v>
      </c>
      <c r="E37" s="9" t="s">
        <v>217</v>
      </c>
      <c r="F37" s="2" t="s">
        <v>218</v>
      </c>
      <c r="G37" s="2" t="s">
        <v>29</v>
      </c>
      <c r="H37" s="2" t="s">
        <v>219</v>
      </c>
      <c r="I37" s="4" t="s">
        <v>84</v>
      </c>
      <c r="J37" s="4" t="s">
        <v>220</v>
      </c>
      <c r="K37" s="5" t="s">
        <v>221</v>
      </c>
      <c r="L37" s="6" t="s">
        <v>222</v>
      </c>
      <c r="M37" s="9" t="s">
        <v>278</v>
      </c>
    </row>
    <row r="38" spans="1:13" ht="33.75" customHeight="1">
      <c r="A38" s="2">
        <f t="shared" si="0"/>
        <v>34</v>
      </c>
      <c r="B38" s="3">
        <v>46118.497673611113</v>
      </c>
      <c r="C38" s="2" t="s">
        <v>223</v>
      </c>
      <c r="D38" s="2" t="s">
        <v>72</v>
      </c>
      <c r="E38" s="9" t="s">
        <v>224</v>
      </c>
      <c r="F38" s="2" t="s">
        <v>218</v>
      </c>
      <c r="G38" s="2" t="s">
        <v>29</v>
      </c>
      <c r="H38" s="2" t="s">
        <v>225</v>
      </c>
      <c r="I38" s="4" t="s">
        <v>226</v>
      </c>
      <c r="J38" s="4" t="s">
        <v>182</v>
      </c>
      <c r="K38" s="5" t="s">
        <v>221</v>
      </c>
      <c r="L38" s="6" t="s">
        <v>222</v>
      </c>
      <c r="M38" s="9" t="s">
        <v>269</v>
      </c>
    </row>
    <row r="39" spans="1:13" ht="33.75" customHeight="1">
      <c r="A39" s="2">
        <f t="shared" si="0"/>
        <v>35</v>
      </c>
      <c r="B39" s="3">
        <v>46123.698136574072</v>
      </c>
      <c r="C39" s="2" t="s">
        <v>227</v>
      </c>
      <c r="D39" s="2" t="s">
        <v>72</v>
      </c>
      <c r="E39" s="9" t="s">
        <v>228</v>
      </c>
      <c r="F39" s="2" t="s">
        <v>229</v>
      </c>
      <c r="G39" s="2" t="s">
        <v>29</v>
      </c>
      <c r="H39" s="2" t="s">
        <v>230</v>
      </c>
      <c r="I39" s="4" t="s">
        <v>231</v>
      </c>
      <c r="J39" s="4" t="s">
        <v>232</v>
      </c>
      <c r="K39" s="5" t="s">
        <v>233</v>
      </c>
      <c r="L39" s="6" t="s">
        <v>234</v>
      </c>
      <c r="M39" s="9" t="s">
        <v>278</v>
      </c>
    </row>
    <row r="40" spans="1:13" ht="33.75" customHeight="1">
      <c r="A40" s="2">
        <f t="shared" si="0"/>
        <v>36</v>
      </c>
      <c r="B40" s="3">
        <v>46126.641643518517</v>
      </c>
      <c r="C40" s="2" t="s">
        <v>235</v>
      </c>
      <c r="D40" s="2" t="s">
        <v>72</v>
      </c>
      <c r="E40" s="9" t="s">
        <v>236</v>
      </c>
      <c r="F40" s="2" t="s">
        <v>237</v>
      </c>
      <c r="G40" s="2" t="s">
        <v>29</v>
      </c>
      <c r="H40" s="2" t="s">
        <v>238</v>
      </c>
      <c r="I40" s="4" t="s">
        <v>239</v>
      </c>
      <c r="J40" s="4" t="s">
        <v>32</v>
      </c>
      <c r="K40" s="5" t="s">
        <v>198</v>
      </c>
      <c r="L40" s="6" t="s">
        <v>199</v>
      </c>
      <c r="M40" s="9" t="s">
        <v>274</v>
      </c>
    </row>
    <row r="41" spans="1:13" ht="33.75" customHeight="1">
      <c r="A41" s="2">
        <f t="shared" si="0"/>
        <v>37</v>
      </c>
      <c r="B41" s="3">
        <v>46128.647222222222</v>
      </c>
      <c r="C41" s="2" t="s">
        <v>240</v>
      </c>
      <c r="D41" s="2"/>
      <c r="E41" s="9" t="s">
        <v>241</v>
      </c>
      <c r="F41" s="2" t="s">
        <v>242</v>
      </c>
      <c r="G41" s="2" t="s">
        <v>29</v>
      </c>
      <c r="H41" s="2" t="s">
        <v>243</v>
      </c>
      <c r="I41" s="4" t="s">
        <v>244</v>
      </c>
      <c r="J41" s="4" t="s">
        <v>85</v>
      </c>
      <c r="K41" s="5" t="s">
        <v>245</v>
      </c>
      <c r="L41" s="6" t="s">
        <v>246</v>
      </c>
      <c r="M41" s="9" t="s">
        <v>269</v>
      </c>
    </row>
    <row r="42" spans="1:13" ht="33.75" customHeight="1">
      <c r="A42" s="2">
        <f t="shared" si="0"/>
        <v>38</v>
      </c>
      <c r="B42" s="3">
        <v>46128.585613425923</v>
      </c>
      <c r="C42" s="2" t="s">
        <v>247</v>
      </c>
      <c r="D42" s="2"/>
      <c r="E42" s="9" t="s">
        <v>248</v>
      </c>
      <c r="F42" s="2" t="s">
        <v>249</v>
      </c>
      <c r="G42" s="2" t="s">
        <v>29</v>
      </c>
      <c r="H42" s="2" t="s">
        <v>250</v>
      </c>
      <c r="I42" s="4" t="s">
        <v>131</v>
      </c>
      <c r="J42" s="4" t="s">
        <v>32</v>
      </c>
      <c r="K42" s="5" t="s">
        <v>251</v>
      </c>
      <c r="L42" s="6" t="s">
        <v>252</v>
      </c>
      <c r="M42" s="9" t="s">
        <v>274</v>
      </c>
    </row>
    <row r="43" spans="1:13" ht="33.75" customHeight="1">
      <c r="A43" s="2">
        <f t="shared" si="0"/>
        <v>39</v>
      </c>
      <c r="B43" s="3">
        <v>46127.659780092596</v>
      </c>
      <c r="C43" s="2" t="s">
        <v>253</v>
      </c>
      <c r="D43" s="2" t="s">
        <v>18</v>
      </c>
      <c r="E43" s="9" t="s">
        <v>254</v>
      </c>
      <c r="F43" s="2" t="s">
        <v>255</v>
      </c>
      <c r="G43" s="2" t="s">
        <v>29</v>
      </c>
      <c r="H43" s="2" t="s">
        <v>256</v>
      </c>
      <c r="I43" s="4" t="s">
        <v>257</v>
      </c>
      <c r="J43" s="4" t="s">
        <v>32</v>
      </c>
      <c r="K43" s="5" t="s">
        <v>258</v>
      </c>
      <c r="L43" s="6" t="s">
        <v>259</v>
      </c>
      <c r="M43" s="9" t="s">
        <v>274</v>
      </c>
    </row>
    <row r="44" spans="1:13" ht="33.75" customHeight="1">
      <c r="A44" s="2">
        <f t="shared" si="0"/>
        <v>40</v>
      </c>
      <c r="B44" s="3">
        <v>46111.697233796294</v>
      </c>
      <c r="C44" s="2" t="s">
        <v>260</v>
      </c>
      <c r="D44" s="2" t="s">
        <v>72</v>
      </c>
      <c r="E44" s="9" t="s">
        <v>261</v>
      </c>
      <c r="F44" s="2" t="s">
        <v>262</v>
      </c>
      <c r="G44" s="2" t="s">
        <v>29</v>
      </c>
      <c r="H44" s="2" t="s">
        <v>263</v>
      </c>
      <c r="I44" s="4" t="s">
        <v>264</v>
      </c>
      <c r="J44" s="4" t="s">
        <v>265</v>
      </c>
      <c r="K44" s="5" t="s">
        <v>266</v>
      </c>
      <c r="L44" s="6" t="s">
        <v>267</v>
      </c>
      <c r="M44" s="9" t="s">
        <v>276</v>
      </c>
    </row>
    <row r="45" spans="1:13" ht="30" customHeight="1">
      <c r="A45" s="2">
        <f t="shared" si="0"/>
        <v>41</v>
      </c>
      <c r="B45" s="3">
        <v>46127.659780092596</v>
      </c>
      <c r="C45" s="2"/>
      <c r="D45" s="2"/>
      <c r="E45" s="9" t="s">
        <v>280</v>
      </c>
      <c r="F45" s="2"/>
      <c r="G45" s="13" t="s">
        <v>212</v>
      </c>
      <c r="H45" s="9" t="s">
        <v>290</v>
      </c>
      <c r="I45" s="4" t="s">
        <v>295</v>
      </c>
      <c r="J45" s="4" t="s">
        <v>296</v>
      </c>
      <c r="K45" s="5" t="s">
        <v>295</v>
      </c>
      <c r="L45" s="6" t="s">
        <v>297</v>
      </c>
      <c r="M45" s="9" t="s">
        <v>269</v>
      </c>
    </row>
    <row r="46" spans="1:13" ht="63.75">
      <c r="A46" s="2">
        <f t="shared" si="0"/>
        <v>42</v>
      </c>
      <c r="B46" s="3">
        <v>46127.659780092596</v>
      </c>
      <c r="C46" s="2"/>
      <c r="D46" s="2"/>
      <c r="E46" s="9" t="s">
        <v>281</v>
      </c>
      <c r="F46" s="2"/>
      <c r="G46" s="13" t="s">
        <v>212</v>
      </c>
      <c r="H46" s="9" t="s">
        <v>291</v>
      </c>
      <c r="I46" s="4" t="s">
        <v>295</v>
      </c>
      <c r="J46" s="4" t="s">
        <v>296</v>
      </c>
      <c r="K46" s="5" t="s">
        <v>295</v>
      </c>
      <c r="L46" s="6" t="s">
        <v>297</v>
      </c>
      <c r="M46" s="9" t="s">
        <v>269</v>
      </c>
    </row>
    <row r="47" spans="1:13" ht="38.25">
      <c r="A47" s="2">
        <f t="shared" si="0"/>
        <v>43</v>
      </c>
      <c r="B47" s="3">
        <v>46127.659780092596</v>
      </c>
      <c r="C47" s="2"/>
      <c r="D47" s="2"/>
      <c r="E47" s="9" t="s">
        <v>282</v>
      </c>
      <c r="F47" s="2"/>
      <c r="G47" s="13" t="s">
        <v>212</v>
      </c>
      <c r="H47" s="9" t="s">
        <v>292</v>
      </c>
      <c r="I47" s="4" t="s">
        <v>295</v>
      </c>
      <c r="J47" s="4" t="s">
        <v>298</v>
      </c>
      <c r="K47" s="5" t="s">
        <v>299</v>
      </c>
      <c r="L47" s="6" t="s">
        <v>297</v>
      </c>
      <c r="M47" s="9" t="s">
        <v>268</v>
      </c>
    </row>
    <row r="48" spans="1:13" ht="63.75">
      <c r="A48" s="2">
        <f t="shared" si="0"/>
        <v>44</v>
      </c>
      <c r="B48" s="3">
        <v>46127.659780092596</v>
      </c>
      <c r="C48" s="2"/>
      <c r="D48" s="2"/>
      <c r="E48" s="9" t="s">
        <v>283</v>
      </c>
      <c r="F48" s="2"/>
      <c r="G48" s="13" t="s">
        <v>212</v>
      </c>
      <c r="H48" s="9" t="s">
        <v>291</v>
      </c>
      <c r="I48" s="4" t="s">
        <v>295</v>
      </c>
      <c r="J48" s="4" t="s">
        <v>296</v>
      </c>
      <c r="K48" s="5" t="s">
        <v>295</v>
      </c>
      <c r="L48" s="6" t="s">
        <v>300</v>
      </c>
      <c r="M48" s="9" t="s">
        <v>277</v>
      </c>
    </row>
    <row r="49" spans="1:13" ht="63.75">
      <c r="A49" s="2">
        <f t="shared" si="0"/>
        <v>45</v>
      </c>
      <c r="B49" s="3">
        <v>46127.659780092596</v>
      </c>
      <c r="C49" s="2"/>
      <c r="D49" s="2"/>
      <c r="E49" s="9" t="s">
        <v>284</v>
      </c>
      <c r="F49" s="2"/>
      <c r="G49" s="13" t="s">
        <v>212</v>
      </c>
      <c r="H49" s="9" t="s">
        <v>291</v>
      </c>
      <c r="I49" s="4" t="s">
        <v>295</v>
      </c>
      <c r="J49" s="4" t="s">
        <v>298</v>
      </c>
      <c r="K49" s="5" t="s">
        <v>295</v>
      </c>
      <c r="L49" s="6" t="s">
        <v>297</v>
      </c>
      <c r="M49" s="9" t="s">
        <v>268</v>
      </c>
    </row>
    <row r="50" spans="1:13" ht="63.75">
      <c r="A50" s="2">
        <f t="shared" si="0"/>
        <v>46</v>
      </c>
      <c r="B50" s="3">
        <v>46127.659780092596</v>
      </c>
      <c r="C50" s="2"/>
      <c r="D50" s="2"/>
      <c r="E50" s="9" t="s">
        <v>285</v>
      </c>
      <c r="F50" s="2"/>
      <c r="G50" s="13" t="s">
        <v>212</v>
      </c>
      <c r="H50" s="9" t="s">
        <v>291</v>
      </c>
      <c r="I50" s="4" t="s">
        <v>295</v>
      </c>
      <c r="J50" s="4" t="s">
        <v>296</v>
      </c>
      <c r="K50" s="5" t="s">
        <v>295</v>
      </c>
      <c r="L50" s="6" t="s">
        <v>300</v>
      </c>
      <c r="M50" s="9" t="s">
        <v>268</v>
      </c>
    </row>
    <row r="51" spans="1:13" ht="25.5">
      <c r="A51" s="2">
        <f t="shared" si="0"/>
        <v>47</v>
      </c>
      <c r="B51" s="3">
        <v>46127.659780092596</v>
      </c>
      <c r="C51" s="2"/>
      <c r="D51" s="2"/>
      <c r="E51" s="9" t="s">
        <v>286</v>
      </c>
      <c r="F51" s="2"/>
      <c r="G51" s="13" t="s">
        <v>212</v>
      </c>
      <c r="H51" s="9" t="s">
        <v>293</v>
      </c>
      <c r="I51" s="4" t="s">
        <v>295</v>
      </c>
      <c r="J51" s="4" t="s">
        <v>298</v>
      </c>
      <c r="K51" s="5" t="s">
        <v>295</v>
      </c>
      <c r="L51" s="6" t="s">
        <v>297</v>
      </c>
      <c r="M51" s="9" t="s">
        <v>277</v>
      </c>
    </row>
    <row r="52" spans="1:13" ht="25.5">
      <c r="A52" s="2">
        <f t="shared" si="0"/>
        <v>48</v>
      </c>
      <c r="B52" s="3">
        <v>46127.659780092596</v>
      </c>
      <c r="C52" s="2"/>
      <c r="D52" s="2"/>
      <c r="E52" s="9" t="s">
        <v>287</v>
      </c>
      <c r="F52" s="2"/>
      <c r="G52" s="13" t="s">
        <v>212</v>
      </c>
      <c r="H52" s="9" t="s">
        <v>294</v>
      </c>
      <c r="I52" s="4" t="s">
        <v>295</v>
      </c>
      <c r="J52" s="4" t="s">
        <v>301</v>
      </c>
      <c r="K52" s="5" t="s">
        <v>295</v>
      </c>
      <c r="L52" s="6" t="s">
        <v>302</v>
      </c>
      <c r="M52" s="9" t="s">
        <v>269</v>
      </c>
    </row>
    <row r="53" spans="1:13" ht="38.25">
      <c r="A53" s="2">
        <f t="shared" si="0"/>
        <v>49</v>
      </c>
      <c r="B53" s="3">
        <v>46127.659780092596</v>
      </c>
      <c r="C53" s="2"/>
      <c r="D53" s="2"/>
      <c r="E53" s="9" t="s">
        <v>288</v>
      </c>
      <c r="F53" s="2"/>
      <c r="G53" s="13" t="s">
        <v>212</v>
      </c>
      <c r="H53" s="9" t="s">
        <v>292</v>
      </c>
      <c r="I53" s="4" t="s">
        <v>295</v>
      </c>
      <c r="J53" s="4" t="s">
        <v>298</v>
      </c>
      <c r="K53" s="5" t="s">
        <v>299</v>
      </c>
      <c r="L53" s="6" t="s">
        <v>297</v>
      </c>
      <c r="M53" s="9" t="s">
        <v>268</v>
      </c>
    </row>
    <row r="54" spans="1:13" ht="25.5">
      <c r="A54" s="2">
        <f t="shared" si="0"/>
        <v>50</v>
      </c>
      <c r="B54" s="3">
        <v>46127.659780092596</v>
      </c>
      <c r="C54" s="2"/>
      <c r="D54" s="2"/>
      <c r="E54" s="9" t="s">
        <v>289</v>
      </c>
      <c r="F54" s="2"/>
      <c r="G54" s="13" t="s">
        <v>212</v>
      </c>
      <c r="H54" s="9" t="s">
        <v>293</v>
      </c>
      <c r="I54" s="4" t="s">
        <v>295</v>
      </c>
      <c r="J54" s="4" t="s">
        <v>298</v>
      </c>
      <c r="K54" s="5" t="s">
        <v>295</v>
      </c>
      <c r="L54" s="6" t="s">
        <v>297</v>
      </c>
      <c r="M54" s="9" t="s">
        <v>268</v>
      </c>
    </row>
    <row r="55" spans="1:13">
      <c r="A55" s="2">
        <f t="shared" si="0"/>
        <v>51</v>
      </c>
      <c r="B55" s="3">
        <v>46127.659780092596</v>
      </c>
      <c r="C55" s="2"/>
      <c r="D55" s="2"/>
      <c r="E55" s="9" t="s">
        <v>303</v>
      </c>
      <c r="F55" s="2"/>
      <c r="G55" s="13" t="s">
        <v>212</v>
      </c>
      <c r="H55" s="9" t="s">
        <v>304</v>
      </c>
      <c r="I55" s="4" t="s">
        <v>295</v>
      </c>
      <c r="J55" s="4" t="s">
        <v>298</v>
      </c>
      <c r="K55" s="5" t="s">
        <v>295</v>
      </c>
      <c r="L55" s="6" t="s">
        <v>297</v>
      </c>
      <c r="M55" s="9" t="s">
        <v>268</v>
      </c>
    </row>
    <row r="56" spans="1:13" ht="18.75">
      <c r="M56" s="12" t="s">
        <v>305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scale="4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2026-04-16T11:23:37Z</dcterms:created>
  <dcterms:modified xsi:type="dcterms:W3CDTF">2026-04-16T13:41:27Z</dcterms:modified>
</cp:coreProperties>
</file>
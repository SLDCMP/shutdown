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0730" windowHeight="11160"/>
  </bookViews>
  <sheets>
    <sheet name="Sheet0" sheetId="1" r:id="rId1"/>
  </sheets>
  <definedNames>
    <definedName name="__bookmark_1">Sheet0!$A$1:$M$31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2" i="1" l="1"/>
  <c r="A33" i="1"/>
  <c r="A34" i="1" s="1"/>
  <c r="A35" i="1" s="1"/>
  <c r="A36" i="1" s="1"/>
  <c r="A7" i="1" l="1"/>
  <c r="A8" i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6" i="1"/>
</calcChain>
</file>

<file path=xl/sharedStrings.xml><?xml version="1.0" encoding="utf-8"?>
<sst xmlns="http://schemas.openxmlformats.org/spreadsheetml/2006/main" count="338" uniqueCount="225">
  <si>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</si>
  <si>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</si>
  <si>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</si>
  <si>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</si>
  <si>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</si>
  <si>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</si>
  <si>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</si>
  <si>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</si>
  <si>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</si>
  <si>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</si>
  <si>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</si>
  <si>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</si>
  <si>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</si>
  <si>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</si>
  <si>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</si>
  <si>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</si>
  <si>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</si>
  <si>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MR2603/0672</t>
  </si>
  <si>
    <t>Continuous</t>
  </si>
  <si>
    <t>400KV_315 MVA XMER NO. 3</t>
  </si>
  <si>
    <t>400KV_ASHTA4</t>
  </si>
  <si>
    <t>NON-OCCM-MP</t>
  </si>
  <si>
    <t>For pre monsoon maintenance and testing work</t>
  </si>
  <si>
    <t>30-03-2026 09:00:00</t>
  </si>
  <si>
    <t>31-03-2026 18:00:00</t>
  </si>
  <si>
    <t>Jitendra Lohana</t>
  </si>
  <si>
    <t>9425804978</t>
  </si>
  <si>
    <t>MR2603/0668</t>
  </si>
  <si>
    <t>132KV_40MVA ECE Transformer</t>
  </si>
  <si>
    <t>132KV_BEOHARI</t>
  </si>
  <si>
    <t>Pre-monsoon maintenance and testing work</t>
  </si>
  <si>
    <t>30-03-2026 10:00:00</t>
  </si>
  <si>
    <t>30-03-2026 18:00:00</t>
  </si>
  <si>
    <t>Vijay Kumar Sahu</t>
  </si>
  <si>
    <t>9425814035</t>
  </si>
  <si>
    <t>MR2603/0663</t>
  </si>
  <si>
    <t>220KV_Opp. S/D of 220 KV Bhanpura - Nipaniya line</t>
  </si>
  <si>
    <t>220KV_BHANPURA</t>
  </si>
  <si>
    <t>Bird Guard Installation &amp; Other Work</t>
  </si>
  <si>
    <t>30-03-2026 10:30:00</t>
  </si>
  <si>
    <t>30-03-2026 16:30:00</t>
  </si>
  <si>
    <t>Ravindra Kumar Marskole</t>
  </si>
  <si>
    <t>9425814080</t>
  </si>
  <si>
    <t>MR2603/0658</t>
  </si>
  <si>
    <t>Daily</t>
  </si>
  <si>
    <t>220KV_220 KV Bina-Pichhore Ckt &amp; 220 KV Bina-Datia Ckt</t>
  </si>
  <si>
    <t>400KV_BINA4</t>
  </si>
  <si>
    <t>For  Re-sagging of Conductor at crossing</t>
  </si>
  <si>
    <t>30-03-2026 07:00:00</t>
  </si>
  <si>
    <t>31-03-2026 19:00:00</t>
  </si>
  <si>
    <t>Dilip Singh Walkey</t>
  </si>
  <si>
    <t>9425804578</t>
  </si>
  <si>
    <t>132KV_HATTA</t>
  </si>
  <si>
    <t>9425805067</t>
  </si>
  <si>
    <t>MR2601/0438</t>
  </si>
  <si>
    <t>132KV_132KV HATTA-BIJAWAR</t>
  </si>
  <si>
    <t>Replacement of ACSR Panther Conductor with HTLS</t>
  </si>
  <si>
    <t>29-01-2026 09:00:00</t>
  </si>
  <si>
    <t>25-04-2026 18:00:00</t>
  </si>
  <si>
    <t>M.M. Baig</t>
  </si>
  <si>
    <t>MR2603/0282</t>
  </si>
  <si>
    <t>400KV_UNIT#08</t>
  </si>
  <si>
    <t>400KV_INDIRASAGAR</t>
  </si>
  <si>
    <t>NON-OCCM-WR</t>
  </si>
  <si>
    <t>ANNUAL MAINTENANCE</t>
  </si>
  <si>
    <t>16-03-2026 06:00:00</t>
  </si>
  <si>
    <t>SANJAY PATEL</t>
  </si>
  <si>
    <t>9575074321</t>
  </si>
  <si>
    <t>MR2603/0586</t>
  </si>
  <si>
    <t>220KV_220 kV Jabalpur-Narsinghpur ckt-II</t>
  </si>
  <si>
    <t>220KV_JABALPUR</t>
  </si>
  <si>
    <t>Tower errection at Loc. No. 27R, 27R1, 28R, 29R</t>
  </si>
  <si>
    <t>26-03-2026 08:00:00</t>
  </si>
  <si>
    <t>Jitendra Tiwari</t>
  </si>
  <si>
    <t>9425805298</t>
  </si>
  <si>
    <t>MR2603/0582</t>
  </si>
  <si>
    <t>220KV_220 kV Jabalpur - Narsinghpur ckt-I</t>
  </si>
  <si>
    <t>Tower erection at Loc. No. 27R, 27R1, 28R, 29R</t>
  </si>
  <si>
    <t>26-03-2026 10:00:00</t>
  </si>
  <si>
    <t>400KV_400KV JP BINA -MP BINA LINE</t>
  </si>
  <si>
    <t>400KV_JP BINA</t>
  </si>
  <si>
    <t>PRIVENTIVE MAINTANCE</t>
  </si>
  <si>
    <t>23-03-2026 07:00:00</t>
  </si>
  <si>
    <t>Krishna SinghThakur</t>
  </si>
  <si>
    <t>7987976012</t>
  </si>
  <si>
    <t>MR2602/0134</t>
  </si>
  <si>
    <t>MR2603/0316</t>
  </si>
  <si>
    <t>220KV_220  kv Satna (PGCIL)  â¿¿  Maihar line</t>
  </si>
  <si>
    <t>220KV_MAIHAR</t>
  </si>
  <si>
    <t>Double  fitting work</t>
  </si>
  <si>
    <t>17-03-2026 08:00:00</t>
  </si>
  <si>
    <t>Mr. R.K.Prajapati</t>
  </si>
  <si>
    <t>9407070182</t>
  </si>
  <si>
    <t>MR2603/0676</t>
  </si>
  <si>
    <t>315MVA_400/220KV_CGL_Xmer_1</t>
  </si>
  <si>
    <t>400KV_MANDSOUR4</t>
  </si>
  <si>
    <t>OCCM-MP</t>
  </si>
  <si>
    <t>400 KV side R-ph. centre break line Isolator  jaw</t>
  </si>
  <si>
    <t>30-03-2026 17:00:00</t>
  </si>
  <si>
    <t>SH. C.P. DHAKAD</t>
  </si>
  <si>
    <t>7587951067</t>
  </si>
  <si>
    <t>MR2603/0667</t>
  </si>
  <si>
    <t>220KV_160 MVA BBL TRANSFORMER</t>
  </si>
  <si>
    <t>220KV_NAGDA</t>
  </si>
  <si>
    <t>PRE MANSOON MAINTENANCE WORK</t>
  </si>
  <si>
    <t>30-03-2026 09:30:00</t>
  </si>
  <si>
    <t>VIKRAM DEHARIYA</t>
  </si>
  <si>
    <t>7000276050</t>
  </si>
  <si>
    <t>132KV_132 KV Narsinghpur-Interconnector Line Ckt-II</t>
  </si>
  <si>
    <t>220KV_NARSINGHPUR</t>
  </si>
  <si>
    <t>Uprating the capacity of 132 KV Transmission Lines</t>
  </si>
  <si>
    <t>31-03-2026 17:00:00</t>
  </si>
  <si>
    <t>Ashish Kumar</t>
  </si>
  <si>
    <t>9425805935</t>
  </si>
  <si>
    <t>MR2603/0256</t>
  </si>
  <si>
    <t>18-03-2026 08:00:00</t>
  </si>
  <si>
    <t>MR2603/0659</t>
  </si>
  <si>
    <t>132KV_132/33 KV 63 MVA BBL X-MER NO.1</t>
  </si>
  <si>
    <t>DINESH KUMAR KUSHWAHA</t>
  </si>
  <si>
    <t>9425182413</t>
  </si>
  <si>
    <t>MR2603/0655</t>
  </si>
  <si>
    <t>220KV_BHANPURA-NIPANIYA_Ckt</t>
  </si>
  <si>
    <t>220KV_NIPANIYA</t>
  </si>
  <si>
    <t>for Pre Monsoon Maintenance &amp; Testing work both en</t>
  </si>
  <si>
    <t>KAILASH PANWAR</t>
  </si>
  <si>
    <t>9907702072</t>
  </si>
  <si>
    <t>MR2603/0230</t>
  </si>
  <si>
    <t>220KV_Generating Unit No.08</t>
  </si>
  <si>
    <t>220KV_OMKARESHWAR</t>
  </si>
  <si>
    <t>Annual maintenance</t>
  </si>
  <si>
    <t>16-03-2026 10:00:00</t>
  </si>
  <si>
    <t>Sh. M. S. Karunakar</t>
  </si>
  <si>
    <t>7898703187</t>
  </si>
  <si>
    <t>MR2603/0656</t>
  </si>
  <si>
    <t>220KV_220 KV Pipariya-Chichli</t>
  </si>
  <si>
    <t>220KV_PIPARIYA</t>
  </si>
  <si>
    <t>Jumper cone tightening work</t>
  </si>
  <si>
    <t>Ashutosh Rai</t>
  </si>
  <si>
    <t>9425806902</t>
  </si>
  <si>
    <t>MR2603/0314</t>
  </si>
  <si>
    <t>400KV_400KV SSTPH Pithampur ckt-2</t>
  </si>
  <si>
    <t>400KV_PITHAMPUR4</t>
  </si>
  <si>
    <t>Tower Restrengthening work on cross arm.</t>
  </si>
  <si>
    <t>Naresh Pandre</t>
  </si>
  <si>
    <t>9425806905</t>
  </si>
  <si>
    <t>MR2603/0313</t>
  </si>
  <si>
    <t>400KV_400KV SSTPH Pithampur ckt 1</t>
  </si>
  <si>
    <t>MR2603/0671</t>
  </si>
  <si>
    <t>220KV_220KV MAIN BUS-II</t>
  </si>
  <si>
    <t>220KV_RAJGARH DHAR</t>
  </si>
  <si>
    <t>FOR DISC REPLACEMENT WORK AGAINST R&amp;R</t>
  </si>
  <si>
    <t>01-04-2026 18:00:00</t>
  </si>
  <si>
    <t>MANOJ RANDA</t>
  </si>
  <si>
    <t>9425820034</t>
  </si>
  <si>
    <t>MR2603/0675</t>
  </si>
  <si>
    <t>132KV_132KV Interconnector-II</t>
  </si>
  <si>
    <t>132KV_RATLAM1</t>
  </si>
  <si>
    <t>Replacement of 03 No Bay C.T.</t>
  </si>
  <si>
    <t>Nikhil Dunge</t>
  </si>
  <si>
    <t>9425801487</t>
  </si>
  <si>
    <t>MR2603/0662</t>
  </si>
  <si>
    <t>220KV_220kv Sabalgarh Sheopur Ckt Ist</t>
  </si>
  <si>
    <t>220KV_SABALGARH</t>
  </si>
  <si>
    <t>Line Maintenance work</t>
  </si>
  <si>
    <t>Suraj pawar</t>
  </si>
  <si>
    <t>9425814079</t>
  </si>
  <si>
    <t>MR2603/0669</t>
  </si>
  <si>
    <t>132KV_132/33Kv 63 MVA BBL X-MER</t>
  </si>
  <si>
    <t>132KV_SALEEMNABAD</t>
  </si>
  <si>
    <t>Pre monsoon maintenance</t>
  </si>
  <si>
    <t>Abhishek Mishra</t>
  </si>
  <si>
    <t>9425801440</t>
  </si>
  <si>
    <t>MR2603/0317</t>
  </si>
  <si>
    <t>220KV_220  kv Satna (MPPTCL)  â¿¿  Katni line</t>
  </si>
  <si>
    <t>220KV_SATNA</t>
  </si>
  <si>
    <t>Mr.R.K.Prajapati</t>
  </si>
  <si>
    <t>MR2603/0601</t>
  </si>
  <si>
    <t>220KV_Bay no 4 Brs- Pali I/c 2</t>
  </si>
  <si>
    <t>400KV_SGTPS</t>
  </si>
  <si>
    <t>For O/h of 220 kv bkr &amp; hot point attending</t>
  </si>
  <si>
    <t>01-04-2026 16:00:00</t>
  </si>
  <si>
    <t>S Banerjee</t>
  </si>
  <si>
    <t>9424352880</t>
  </si>
  <si>
    <t>MR2603/0673</t>
  </si>
  <si>
    <t>220KV_160 MVA X-MER 1st EMCO</t>
  </si>
  <si>
    <t>220KV_SHIVPURI</t>
  </si>
  <si>
    <t>for 132 KV SIDE BREAKER REPLACEMENT WORK</t>
  </si>
  <si>
    <t>30-03-2026 19:00:00</t>
  </si>
  <si>
    <t>ROHIT KUMAR YADAV</t>
  </si>
  <si>
    <t>942580492</t>
  </si>
  <si>
    <t>MR2603/0670</t>
  </si>
  <si>
    <t>132KV_40 MVA X-Mer no 2 Make TELK</t>
  </si>
  <si>
    <t>132KV_SULTANPUR</t>
  </si>
  <si>
    <t>For Y&amp; B Phase CT Oil leakage attending work</t>
  </si>
  <si>
    <t>30-03-2026 12:00:00</t>
  </si>
  <si>
    <t>30-03-2026 15:00:00</t>
  </si>
  <si>
    <t>B.L.Lakhore</t>
  </si>
  <si>
    <t>7587951074</t>
  </si>
  <si>
    <t>ok, through sub ld</t>
  </si>
  <si>
    <t>ok</t>
  </si>
  <si>
    <t>as per system availability</t>
  </si>
  <si>
    <t>ok, after 11 hrs</t>
  </si>
  <si>
    <t>deferred</t>
  </si>
  <si>
    <t>o&amp;m consent required</t>
  </si>
  <si>
    <t>work completed</t>
  </si>
  <si>
    <t>sub ld</t>
  </si>
  <si>
    <t>as opportunity s/d</t>
  </si>
  <si>
    <t>deferred due to multiple element s/d in narsinghpur area</t>
  </si>
  <si>
    <t>ITARSI - 400KV - BUS 1</t>
  </si>
  <si>
    <t>220KV-DAMOH-TIKAMGAD-1</t>
  </si>
  <si>
    <t>220KV-PANDURNA-KALMESHWAR-1</t>
  </si>
  <si>
    <t>400KV-SSP-RAJGARH-2</t>
  </si>
  <si>
    <t>400KV-SSP-RAJGARH-1</t>
  </si>
  <si>
    <t>POWERGRID_WR2</t>
  </si>
  <si>
    <t>MP_SLDC</t>
  </si>
  <si>
    <t>COE Compliance and Relay Testing works and AMP works</t>
  </si>
  <si>
    <t>FOR LINE MAINTENANCE WORK i.e. CLEANING OF DISC INSULATORS DURING LINE PATROLLING , REPLACEMENT OF FLASHOVERED DISC INSULATORS, TREE BRANCH CUTTING ETC AT VARIOUS TOWER LOCATIONS</t>
  </si>
  <si>
    <t>A/R OFF IS REQUIRED FOR OUTAGE ON 400KV-SSP-RAJGARH-2</t>
  </si>
  <si>
    <t>WR</t>
  </si>
  <si>
    <t>real time</t>
  </si>
  <si>
    <t>ok, line to be in service</t>
  </si>
  <si>
    <t>09:00</t>
  </si>
  <si>
    <t>08:00</t>
  </si>
  <si>
    <t>18:00</t>
  </si>
  <si>
    <t>17:59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</si>
</sst>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6" x14ac:knownFonts="1">
    <font>
      <sz val="11"/>
      <color indexed="8"/>
      <name val="Calibri"/>
      <family val="2"/>
      <scheme val="minor"/>
    </font>
    <font>
      <b/>
      <sz val="10"/>
      <color rgb="FF000000"/>
      <name val="Arial"/>
      <family val="2"/>
    </font>
    <font>
      <b/>
      <sz val="12"/>
      <color rgb="FF000000"/>
      <name val="Arial"/>
      <family val="2"/>
    </font>
    <font>
      <sz val="11"/>
      <name val="Calibri"/>
      <family val="2"/>
    </font>
    <font>
      <sz val="10"/>
      <color rgb="FF000000"/>
      <name val="Arial"/>
      <family val="2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2" borderId="2" xfId="0" applyFont="1" applyFill="1" applyBorder="1"/>
    <xf numFmtId="0" fontId="3" fillId="2" borderId="3" xfId="0" applyFont="1" applyFill="1" applyBorder="1"/>
    <xf numFmtId="0" fontId="0" fillId="2" borderId="0" xfId="0" applyFill="1"/>
    <xf numFmtId="164" fontId="1" fillId="2" borderId="1" xfId="0" applyNumberFormat="1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65" fontId="4" fillId="2" borderId="1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164" fontId="4" fillId="2" borderId="6" xfId="0" applyNumberFormat="1" applyFont="1" applyFill="1" applyBorder="1" applyAlignment="1">
      <alignment horizontal="center" vertical="center"/>
    </xf>
    <xf numFmtId="165" fontId="4" fillId="2" borderId="6" xfId="0" applyNumberFormat="1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64" fontId="4" fillId="2" borderId="5" xfId="0" applyNumberFormat="1" applyFont="1" applyFill="1" applyBorder="1" applyAlignment="1">
      <alignment horizontal="center" vertical="center"/>
    </xf>
    <xf numFmtId="165" fontId="4" fillId="2" borderId="5" xfId="0" applyNumberFormat="1" applyFont="1" applyFill="1" applyBorder="1" applyAlignment="1">
      <alignment horizontal="center" vertical="center"/>
    </xf>
    <xf numFmtId="0" fontId="0" fillId="2" borderId="5" xfId="0" applyFill="1" applyBorder="1"/>
    <xf numFmtId="0" fontId="5" fillId="2" borderId="5" xfId="0" applyFont="1" applyFill="1" applyBorder="1" applyAlignment="1">
      <alignment horizontal="center" vertical="center" wrapText="1"/>
    </xf>
    <xf numFmtId="0" fontId="0" fillId="2" borderId="5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 sqref="A1:XFD1048576"/>
    </sheetView>
  </sheetViews>
  <sheetFormatPr defaultRowHeight="15" x14ac:dyDescent="0.25"/>
  <cols>
    <col min="1" max="1" width="9.140625" style="5"/>
    <col min="2" max="2" width="11.140625" style="5" customWidth="1"/>
    <col min="3" max="3" width="13.42578125" style="5" customWidth="1"/>
    <col min="4" max="4" width="11" style="5" customWidth="1"/>
    <col min="5" max="5" width="53.7109375" style="5" customWidth="1"/>
    <col min="6" max="6" width="21.85546875" style="5" customWidth="1"/>
    <col min="7" max="7" width="16.140625" style="5" customWidth="1"/>
    <col min="8" max="8" width="64.85546875" style="5" customWidth="1"/>
    <col min="9" max="10" width="19.5703125" style="5" customWidth="1"/>
    <col min="11" max="11" width="24" style="5" customWidth="1"/>
    <col min="12" max="12" width="12" style="5" customWidth="1"/>
    <col min="13" max="13" width="45.5703125" style="5" customWidth="1"/>
    <col min="14" max="16384" width="9.140625" style="5"/>
  </cols>
  <sheetData>
    <row r="1" spans="1:13" ht="43.7" customHeight="1" x14ac:dyDescent="0.25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4"/>
    </row>
    <row r="2" spans="1:13" ht="42" customHeight="1" x14ac:dyDescent="0.25">
      <c r="A2" s="1" t="s">
        <v>1</v>
      </c>
      <c r="B2" s="6">
        <v>46111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</row>
    <row r="3" spans="1:13" ht="42" customHeight="1" x14ac:dyDescent="0.25">
      <c r="A3" s="1" t="s">
        <v>2</v>
      </c>
      <c r="B3" s="1" t="s">
        <v>3</v>
      </c>
      <c r="C3" s="1" t="s">
        <v>4</v>
      </c>
      <c r="D3" s="1" t="s">
        <v>3</v>
      </c>
      <c r="E3" s="1"/>
      <c r="F3" s="1"/>
      <c r="G3" s="1"/>
      <c r="H3" s="1"/>
      <c r="I3" s="1"/>
      <c r="J3" s="1"/>
      <c r="K3" s="1"/>
      <c r="L3" s="1"/>
      <c r="M3" s="1"/>
    </row>
    <row r="4" spans="1:13" ht="42" customHeight="1" x14ac:dyDescent="0.25">
      <c r="A4" s="1" t="s">
        <v>5</v>
      </c>
      <c r="B4" s="1" t="s">
        <v>6</v>
      </c>
      <c r="C4" s="1" t="s">
        <v>7</v>
      </c>
      <c r="D4" s="1" t="s">
        <v>8</v>
      </c>
      <c r="E4" s="1" t="s">
        <v>9</v>
      </c>
      <c r="F4" s="1" t="s">
        <v>10</v>
      </c>
      <c r="G4" s="1" t="s">
        <v>11</v>
      </c>
      <c r="H4" s="1" t="s">
        <v>12</v>
      </c>
      <c r="I4" s="1" t="s">
        <v>13</v>
      </c>
      <c r="J4" s="1" t="s">
        <v>14</v>
      </c>
      <c r="K4" s="7" t="s">
        <v>15</v>
      </c>
      <c r="L4" s="4"/>
      <c r="M4" s="1" t="s">
        <v>16</v>
      </c>
    </row>
    <row r="5" spans="1:13" ht="33.75" customHeight="1" x14ac:dyDescent="0.25">
      <c r="A5" s="8">
        <v>1</v>
      </c>
      <c r="B5" s="9">
        <v>46110.472858796296</v>
      </c>
      <c r="C5" s="8" t="s">
        <v>17</v>
      </c>
      <c r="D5" s="8" t="s">
        <v>18</v>
      </c>
      <c r="E5" s="8" t="s">
        <v>19</v>
      </c>
      <c r="F5" s="8" t="s">
        <v>20</v>
      </c>
      <c r="G5" s="8" t="s">
        <v>21</v>
      </c>
      <c r="H5" s="8" t="s">
        <v>22</v>
      </c>
      <c r="I5" s="10" t="s">
        <v>23</v>
      </c>
      <c r="J5" s="10" t="s">
        <v>24</v>
      </c>
      <c r="K5" s="11" t="s">
        <v>25</v>
      </c>
      <c r="L5" s="12" t="s">
        <v>26</v>
      </c>
      <c r="M5" s="8" t="s">
        <v>198</v>
      </c>
    </row>
    <row r="6" spans="1:13" ht="33.75" customHeight="1" x14ac:dyDescent="0.25">
      <c r="A6" s="8">
        <f>A5+1</f>
        <v>2</v>
      </c>
      <c r="B6" s="9">
        <v>46110.385138888887</v>
      </c>
      <c r="C6" s="8" t="s">
        <v>27</v>
      </c>
      <c r="D6" s="8"/>
      <c r="E6" s="8" t="s">
        <v>28</v>
      </c>
      <c r="F6" s="8" t="s">
        <v>29</v>
      </c>
      <c r="G6" s="8" t="s">
        <v>21</v>
      </c>
      <c r="H6" s="8" t="s">
        <v>30</v>
      </c>
      <c r="I6" s="10" t="s">
        <v>31</v>
      </c>
      <c r="J6" s="10" t="s">
        <v>32</v>
      </c>
      <c r="K6" s="11" t="s">
        <v>33</v>
      </c>
      <c r="L6" s="12" t="s">
        <v>34</v>
      </c>
      <c r="M6" s="8" t="s">
        <v>203</v>
      </c>
    </row>
    <row r="7" spans="1:13" ht="33.75" customHeight="1" x14ac:dyDescent="0.25">
      <c r="A7" s="8">
        <f t="shared" ref="A7:A36" si="0">A6+1</f>
        <v>3</v>
      </c>
      <c r="B7" s="9">
        <v>46109.569606481484</v>
      </c>
      <c r="C7" s="8" t="s">
        <v>35</v>
      </c>
      <c r="D7" s="8"/>
      <c r="E7" s="8" t="s">
        <v>36</v>
      </c>
      <c r="F7" s="8" t="s">
        <v>37</v>
      </c>
      <c r="G7" s="8" t="s">
        <v>21</v>
      </c>
      <c r="H7" s="8" t="s">
        <v>38</v>
      </c>
      <c r="I7" s="10" t="s">
        <v>39</v>
      </c>
      <c r="J7" s="10" t="s">
        <v>40</v>
      </c>
      <c r="K7" s="11" t="s">
        <v>41</v>
      </c>
      <c r="L7" s="12" t="s">
        <v>42</v>
      </c>
      <c r="M7" s="8" t="s">
        <v>206</v>
      </c>
    </row>
    <row r="8" spans="1:13" ht="33.75" customHeight="1" x14ac:dyDescent="0.25">
      <c r="A8" s="8">
        <f t="shared" si="0"/>
        <v>4</v>
      </c>
      <c r="B8" s="9">
        <v>46109.507025462961</v>
      </c>
      <c r="C8" s="8" t="s">
        <v>43</v>
      </c>
      <c r="D8" s="8" t="s">
        <v>44</v>
      </c>
      <c r="E8" s="8" t="s">
        <v>45</v>
      </c>
      <c r="F8" s="8" t="s">
        <v>46</v>
      </c>
      <c r="G8" s="8" t="s">
        <v>21</v>
      </c>
      <c r="H8" s="8" t="s">
        <v>47</v>
      </c>
      <c r="I8" s="10" t="s">
        <v>48</v>
      </c>
      <c r="J8" s="10" t="s">
        <v>49</v>
      </c>
      <c r="K8" s="11" t="s">
        <v>50</v>
      </c>
      <c r="L8" s="12" t="s">
        <v>51</v>
      </c>
      <c r="M8" s="8" t="s">
        <v>198</v>
      </c>
    </row>
    <row r="9" spans="1:13" ht="33.75" customHeight="1" x14ac:dyDescent="0.25">
      <c r="A9" s="8">
        <f t="shared" si="0"/>
        <v>5</v>
      </c>
      <c r="B9" s="9">
        <v>46050.577592592592</v>
      </c>
      <c r="C9" s="8" t="s">
        <v>54</v>
      </c>
      <c r="D9" s="8" t="s">
        <v>44</v>
      </c>
      <c r="E9" s="8" t="s">
        <v>55</v>
      </c>
      <c r="F9" s="8" t="s">
        <v>52</v>
      </c>
      <c r="G9" s="8" t="s">
        <v>21</v>
      </c>
      <c r="H9" s="8" t="s">
        <v>56</v>
      </c>
      <c r="I9" s="10" t="s">
        <v>57</v>
      </c>
      <c r="J9" s="10" t="s">
        <v>58</v>
      </c>
      <c r="K9" s="11" t="s">
        <v>59</v>
      </c>
      <c r="L9" s="12" t="s">
        <v>53</v>
      </c>
      <c r="M9" s="8" t="s">
        <v>199</v>
      </c>
    </row>
    <row r="10" spans="1:13" ht="33.75" customHeight="1" x14ac:dyDescent="0.25">
      <c r="A10" s="8">
        <f t="shared" si="0"/>
        <v>6</v>
      </c>
      <c r="B10" s="9">
        <v>46095.523935185185</v>
      </c>
      <c r="C10" s="8" t="s">
        <v>60</v>
      </c>
      <c r="D10" s="8" t="s">
        <v>18</v>
      </c>
      <c r="E10" s="8" t="s">
        <v>61</v>
      </c>
      <c r="F10" s="8" t="s">
        <v>62</v>
      </c>
      <c r="G10" s="8" t="s">
        <v>63</v>
      </c>
      <c r="H10" s="8" t="s">
        <v>64</v>
      </c>
      <c r="I10" s="10" t="s">
        <v>65</v>
      </c>
      <c r="J10" s="10" t="s">
        <v>24</v>
      </c>
      <c r="K10" s="11" t="s">
        <v>66</v>
      </c>
      <c r="L10" s="12" t="s">
        <v>67</v>
      </c>
      <c r="M10" s="8" t="s">
        <v>200</v>
      </c>
    </row>
    <row r="11" spans="1:13" ht="33.75" customHeight="1" x14ac:dyDescent="0.25">
      <c r="A11" s="8">
        <f t="shared" si="0"/>
        <v>7</v>
      </c>
      <c r="B11" s="9">
        <v>46105.622858796298</v>
      </c>
      <c r="C11" s="8" t="s">
        <v>68</v>
      </c>
      <c r="D11" s="8" t="s">
        <v>44</v>
      </c>
      <c r="E11" s="8" t="s">
        <v>69</v>
      </c>
      <c r="F11" s="8" t="s">
        <v>70</v>
      </c>
      <c r="G11" s="8" t="s">
        <v>21</v>
      </c>
      <c r="H11" s="8" t="s">
        <v>71</v>
      </c>
      <c r="I11" s="10" t="s">
        <v>72</v>
      </c>
      <c r="J11" s="10" t="s">
        <v>49</v>
      </c>
      <c r="K11" s="11" t="s">
        <v>73</v>
      </c>
      <c r="L11" s="12" t="s">
        <v>74</v>
      </c>
      <c r="M11" s="8" t="s">
        <v>201</v>
      </c>
    </row>
    <row r="12" spans="1:13" ht="33.75" customHeight="1" x14ac:dyDescent="0.25">
      <c r="A12" s="8">
        <f t="shared" si="0"/>
        <v>8</v>
      </c>
      <c r="B12" s="9">
        <v>46105.620185185187</v>
      </c>
      <c r="C12" s="8" t="s">
        <v>75</v>
      </c>
      <c r="D12" s="8" t="s">
        <v>18</v>
      </c>
      <c r="E12" s="8" t="s">
        <v>76</v>
      </c>
      <c r="F12" s="8" t="s">
        <v>70</v>
      </c>
      <c r="G12" s="8" t="s">
        <v>21</v>
      </c>
      <c r="H12" s="8" t="s">
        <v>77</v>
      </c>
      <c r="I12" s="10" t="s">
        <v>78</v>
      </c>
      <c r="J12" s="10" t="s">
        <v>49</v>
      </c>
      <c r="K12" s="11" t="s">
        <v>73</v>
      </c>
      <c r="L12" s="12" t="s">
        <v>74</v>
      </c>
      <c r="M12" s="8" t="s">
        <v>18</v>
      </c>
    </row>
    <row r="13" spans="1:13" ht="33.75" customHeight="1" x14ac:dyDescent="0.25">
      <c r="A13" s="8">
        <f t="shared" si="0"/>
        <v>9</v>
      </c>
      <c r="B13" s="9">
        <v>46063.508946759262</v>
      </c>
      <c r="C13" s="8" t="s">
        <v>85</v>
      </c>
      <c r="D13" s="8" t="s">
        <v>44</v>
      </c>
      <c r="E13" s="8" t="s">
        <v>79</v>
      </c>
      <c r="F13" s="8" t="s">
        <v>80</v>
      </c>
      <c r="G13" s="8" t="s">
        <v>63</v>
      </c>
      <c r="H13" s="8" t="s">
        <v>81</v>
      </c>
      <c r="I13" s="10" t="s">
        <v>82</v>
      </c>
      <c r="J13" s="10" t="s">
        <v>49</v>
      </c>
      <c r="K13" s="11" t="s">
        <v>83</v>
      </c>
      <c r="L13" s="12" t="s">
        <v>84</v>
      </c>
      <c r="M13" s="8" t="s">
        <v>199</v>
      </c>
    </row>
    <row r="14" spans="1:13" ht="33.75" customHeight="1" x14ac:dyDescent="0.25">
      <c r="A14" s="8">
        <f t="shared" si="0"/>
        <v>10</v>
      </c>
      <c r="B14" s="9">
        <v>46097.470451388886</v>
      </c>
      <c r="C14" s="8" t="s">
        <v>86</v>
      </c>
      <c r="D14" s="8" t="s">
        <v>44</v>
      </c>
      <c r="E14" s="8" t="s">
        <v>87</v>
      </c>
      <c r="F14" s="8" t="s">
        <v>88</v>
      </c>
      <c r="G14" s="8" t="s">
        <v>21</v>
      </c>
      <c r="H14" s="8" t="s">
        <v>89</v>
      </c>
      <c r="I14" s="10" t="s">
        <v>90</v>
      </c>
      <c r="J14" s="10" t="s">
        <v>24</v>
      </c>
      <c r="K14" s="11" t="s">
        <v>91</v>
      </c>
      <c r="L14" s="12" t="s">
        <v>92</v>
      </c>
      <c r="M14" s="8" t="s">
        <v>202</v>
      </c>
    </row>
    <row r="15" spans="1:13" ht="33.75" customHeight="1" x14ac:dyDescent="0.25">
      <c r="A15" s="8">
        <f t="shared" si="0"/>
        <v>11</v>
      </c>
      <c r="B15" s="9">
        <v>46110.525266203702</v>
      </c>
      <c r="C15" s="8" t="s">
        <v>93</v>
      </c>
      <c r="D15" s="8"/>
      <c r="E15" s="8" t="s">
        <v>94</v>
      </c>
      <c r="F15" s="8" t="s">
        <v>95</v>
      </c>
      <c r="G15" s="8" t="s">
        <v>96</v>
      </c>
      <c r="H15" s="8" t="s">
        <v>97</v>
      </c>
      <c r="I15" s="10" t="s">
        <v>23</v>
      </c>
      <c r="J15" s="10" t="s">
        <v>98</v>
      </c>
      <c r="K15" s="11" t="s">
        <v>99</v>
      </c>
      <c r="L15" s="12" t="s">
        <v>100</v>
      </c>
      <c r="M15" s="8" t="s">
        <v>198</v>
      </c>
    </row>
    <row r="16" spans="1:13" ht="33.75" customHeight="1" x14ac:dyDescent="0.25">
      <c r="A16" s="8">
        <f t="shared" si="0"/>
        <v>12</v>
      </c>
      <c r="B16" s="9">
        <v>46110.345775462964</v>
      </c>
      <c r="C16" s="8" t="s">
        <v>101</v>
      </c>
      <c r="D16" s="8"/>
      <c r="E16" s="8" t="s">
        <v>102</v>
      </c>
      <c r="F16" s="8" t="s">
        <v>103</v>
      </c>
      <c r="G16" s="8" t="s">
        <v>21</v>
      </c>
      <c r="H16" s="8" t="s">
        <v>104</v>
      </c>
      <c r="I16" s="10" t="s">
        <v>105</v>
      </c>
      <c r="J16" s="10" t="s">
        <v>98</v>
      </c>
      <c r="K16" s="11" t="s">
        <v>106</v>
      </c>
      <c r="L16" s="12" t="s">
        <v>107</v>
      </c>
      <c r="M16" s="8" t="s">
        <v>198</v>
      </c>
    </row>
    <row r="17" spans="1:13" ht="33.75" customHeight="1" x14ac:dyDescent="0.25">
      <c r="A17" s="8">
        <f t="shared" si="0"/>
        <v>13</v>
      </c>
      <c r="B17" s="9">
        <v>46094.592499999999</v>
      </c>
      <c r="C17" s="8" t="s">
        <v>114</v>
      </c>
      <c r="D17" s="8" t="s">
        <v>18</v>
      </c>
      <c r="E17" s="8" t="s">
        <v>108</v>
      </c>
      <c r="F17" s="8" t="s">
        <v>109</v>
      </c>
      <c r="G17" s="8" t="s">
        <v>21</v>
      </c>
      <c r="H17" s="8" t="s">
        <v>110</v>
      </c>
      <c r="I17" s="10" t="s">
        <v>115</v>
      </c>
      <c r="J17" s="10" t="s">
        <v>111</v>
      </c>
      <c r="K17" s="11" t="s">
        <v>112</v>
      </c>
      <c r="L17" s="12" t="s">
        <v>113</v>
      </c>
      <c r="M17" s="8" t="s">
        <v>18</v>
      </c>
    </row>
    <row r="18" spans="1:13" ht="33.75" customHeight="1" x14ac:dyDescent="0.25">
      <c r="A18" s="8">
        <f t="shared" si="0"/>
        <v>14</v>
      </c>
      <c r="B18" s="9">
        <v>46109.523495370369</v>
      </c>
      <c r="C18" s="8" t="s">
        <v>116</v>
      </c>
      <c r="D18" s="8"/>
      <c r="E18" s="8" t="s">
        <v>117</v>
      </c>
      <c r="F18" s="8" t="s">
        <v>109</v>
      </c>
      <c r="G18" s="8" t="s">
        <v>21</v>
      </c>
      <c r="H18" s="8" t="s">
        <v>104</v>
      </c>
      <c r="I18" s="10" t="s">
        <v>31</v>
      </c>
      <c r="J18" s="10" t="s">
        <v>32</v>
      </c>
      <c r="K18" s="11" t="s">
        <v>118</v>
      </c>
      <c r="L18" s="12" t="s">
        <v>119</v>
      </c>
      <c r="M18" s="8" t="s">
        <v>203</v>
      </c>
    </row>
    <row r="19" spans="1:13" ht="33.75" customHeight="1" x14ac:dyDescent="0.25">
      <c r="A19" s="8">
        <f t="shared" si="0"/>
        <v>15</v>
      </c>
      <c r="B19" s="9">
        <v>46108.836423611108</v>
      </c>
      <c r="C19" s="8" t="s">
        <v>120</v>
      </c>
      <c r="D19" s="8"/>
      <c r="E19" s="8" t="s">
        <v>121</v>
      </c>
      <c r="F19" s="8" t="s">
        <v>122</v>
      </c>
      <c r="G19" s="8" t="s">
        <v>96</v>
      </c>
      <c r="H19" s="8" t="s">
        <v>123</v>
      </c>
      <c r="I19" s="10" t="s">
        <v>31</v>
      </c>
      <c r="J19" s="10" t="s">
        <v>98</v>
      </c>
      <c r="K19" s="11" t="s">
        <v>124</v>
      </c>
      <c r="L19" s="12" t="s">
        <v>125</v>
      </c>
      <c r="M19" s="8" t="s">
        <v>198</v>
      </c>
    </row>
    <row r="20" spans="1:13" ht="33.75" customHeight="1" x14ac:dyDescent="0.25">
      <c r="A20" s="8">
        <f t="shared" si="0"/>
        <v>16</v>
      </c>
      <c r="B20" s="9">
        <v>46093.757233796299</v>
      </c>
      <c r="C20" s="8" t="s">
        <v>126</v>
      </c>
      <c r="D20" s="8" t="s">
        <v>18</v>
      </c>
      <c r="E20" s="8" t="s">
        <v>127</v>
      </c>
      <c r="F20" s="8" t="s">
        <v>128</v>
      </c>
      <c r="G20" s="8" t="s">
        <v>63</v>
      </c>
      <c r="H20" s="8" t="s">
        <v>129</v>
      </c>
      <c r="I20" s="10" t="s">
        <v>130</v>
      </c>
      <c r="J20" s="10" t="s">
        <v>32</v>
      </c>
      <c r="K20" s="11" t="s">
        <v>131</v>
      </c>
      <c r="L20" s="12" t="s">
        <v>132</v>
      </c>
      <c r="M20" s="8" t="s">
        <v>200</v>
      </c>
    </row>
    <row r="21" spans="1:13" ht="33.75" customHeight="1" x14ac:dyDescent="0.25">
      <c r="A21" s="8">
        <f t="shared" si="0"/>
        <v>17</v>
      </c>
      <c r="B21" s="9">
        <v>46109.452037037037</v>
      </c>
      <c r="C21" s="8" t="s">
        <v>133</v>
      </c>
      <c r="D21" s="8"/>
      <c r="E21" s="8" t="s">
        <v>134</v>
      </c>
      <c r="F21" s="8" t="s">
        <v>135</v>
      </c>
      <c r="G21" s="8" t="s">
        <v>21</v>
      </c>
      <c r="H21" s="8" t="s">
        <v>136</v>
      </c>
      <c r="I21" s="10" t="s">
        <v>31</v>
      </c>
      <c r="J21" s="10" t="s">
        <v>98</v>
      </c>
      <c r="K21" s="11" t="s">
        <v>137</v>
      </c>
      <c r="L21" s="12" t="s">
        <v>138</v>
      </c>
      <c r="M21" s="8" t="s">
        <v>207</v>
      </c>
    </row>
    <row r="22" spans="1:13" ht="33.75" customHeight="1" x14ac:dyDescent="0.25">
      <c r="A22" s="8">
        <f t="shared" si="0"/>
        <v>18</v>
      </c>
      <c r="B22" s="9">
        <v>46096.847037037034</v>
      </c>
      <c r="C22" s="8" t="s">
        <v>139</v>
      </c>
      <c r="D22" s="8" t="s">
        <v>18</v>
      </c>
      <c r="E22" s="8" t="s">
        <v>140</v>
      </c>
      <c r="F22" s="8" t="s">
        <v>141</v>
      </c>
      <c r="G22" s="8" t="s">
        <v>21</v>
      </c>
      <c r="H22" s="8" t="s">
        <v>142</v>
      </c>
      <c r="I22" s="10" t="s">
        <v>90</v>
      </c>
      <c r="J22" s="10" t="s">
        <v>24</v>
      </c>
      <c r="K22" s="11" t="s">
        <v>143</v>
      </c>
      <c r="L22" s="12" t="s">
        <v>144</v>
      </c>
      <c r="M22" s="8" t="s">
        <v>204</v>
      </c>
    </row>
    <row r="23" spans="1:13" ht="33.75" customHeight="1" x14ac:dyDescent="0.25">
      <c r="A23" s="8">
        <f t="shared" si="0"/>
        <v>19</v>
      </c>
      <c r="B23" s="9">
        <v>46096.845358796294</v>
      </c>
      <c r="C23" s="8" t="s">
        <v>145</v>
      </c>
      <c r="D23" s="8" t="s">
        <v>18</v>
      </c>
      <c r="E23" s="8" t="s">
        <v>146</v>
      </c>
      <c r="F23" s="8" t="s">
        <v>141</v>
      </c>
      <c r="G23" s="8" t="s">
        <v>21</v>
      </c>
      <c r="H23" s="8" t="s">
        <v>142</v>
      </c>
      <c r="I23" s="10" t="s">
        <v>90</v>
      </c>
      <c r="J23" s="10" t="s">
        <v>24</v>
      </c>
      <c r="K23" s="11" t="s">
        <v>143</v>
      </c>
      <c r="L23" s="12" t="s">
        <v>144</v>
      </c>
      <c r="M23" s="8" t="s">
        <v>204</v>
      </c>
    </row>
    <row r="24" spans="1:13" ht="33.75" customHeight="1" x14ac:dyDescent="0.25">
      <c r="A24" s="8">
        <f t="shared" si="0"/>
        <v>20</v>
      </c>
      <c r="B24" s="9">
        <v>46110.45884259259</v>
      </c>
      <c r="C24" s="8" t="s">
        <v>147</v>
      </c>
      <c r="D24" s="8" t="s">
        <v>18</v>
      </c>
      <c r="E24" s="8" t="s">
        <v>148</v>
      </c>
      <c r="F24" s="8" t="s">
        <v>149</v>
      </c>
      <c r="G24" s="8" t="s">
        <v>21</v>
      </c>
      <c r="H24" s="8" t="s">
        <v>150</v>
      </c>
      <c r="I24" s="10" t="s">
        <v>31</v>
      </c>
      <c r="J24" s="10" t="s">
        <v>151</v>
      </c>
      <c r="K24" s="11" t="s">
        <v>152</v>
      </c>
      <c r="L24" s="12" t="s">
        <v>153</v>
      </c>
      <c r="M24" s="8" t="s">
        <v>198</v>
      </c>
    </row>
    <row r="25" spans="1:13" ht="33.75" customHeight="1" x14ac:dyDescent="0.25">
      <c r="A25" s="8">
        <f t="shared" si="0"/>
        <v>21</v>
      </c>
      <c r="B25" s="9">
        <v>46110.515821759262</v>
      </c>
      <c r="C25" s="8" t="s">
        <v>154</v>
      </c>
      <c r="D25" s="8"/>
      <c r="E25" s="8" t="s">
        <v>155</v>
      </c>
      <c r="F25" s="8" t="s">
        <v>156</v>
      </c>
      <c r="G25" s="8" t="s">
        <v>21</v>
      </c>
      <c r="H25" s="8" t="s">
        <v>157</v>
      </c>
      <c r="I25" s="10" t="s">
        <v>23</v>
      </c>
      <c r="J25" s="10" t="s">
        <v>98</v>
      </c>
      <c r="K25" s="11" t="s">
        <v>158</v>
      </c>
      <c r="L25" s="12" t="s">
        <v>159</v>
      </c>
      <c r="M25" s="8" t="s">
        <v>205</v>
      </c>
    </row>
    <row r="26" spans="1:13" ht="33.75" customHeight="1" x14ac:dyDescent="0.25">
      <c r="A26" s="8">
        <f t="shared" si="0"/>
        <v>22</v>
      </c>
      <c r="B26" s="9">
        <v>46109.558749999997</v>
      </c>
      <c r="C26" s="8" t="s">
        <v>160</v>
      </c>
      <c r="D26" s="8"/>
      <c r="E26" s="8" t="s">
        <v>161</v>
      </c>
      <c r="F26" s="8" t="s">
        <v>162</v>
      </c>
      <c r="G26" s="8" t="s">
        <v>21</v>
      </c>
      <c r="H26" s="8" t="s">
        <v>163</v>
      </c>
      <c r="I26" s="10" t="s">
        <v>31</v>
      </c>
      <c r="J26" s="10" t="s">
        <v>98</v>
      </c>
      <c r="K26" s="11" t="s">
        <v>164</v>
      </c>
      <c r="L26" s="12" t="s">
        <v>165</v>
      </c>
      <c r="M26" s="8" t="s">
        <v>198</v>
      </c>
    </row>
    <row r="27" spans="1:13" ht="33.75" customHeight="1" x14ac:dyDescent="0.25">
      <c r="A27" s="8">
        <f t="shared" si="0"/>
        <v>23</v>
      </c>
      <c r="B27" s="9">
        <v>46110.394699074073</v>
      </c>
      <c r="C27" s="8" t="s">
        <v>166</v>
      </c>
      <c r="D27" s="8"/>
      <c r="E27" s="8" t="s">
        <v>167</v>
      </c>
      <c r="F27" s="8" t="s">
        <v>168</v>
      </c>
      <c r="G27" s="8" t="s">
        <v>21</v>
      </c>
      <c r="H27" s="8" t="s">
        <v>169</v>
      </c>
      <c r="I27" s="10" t="s">
        <v>31</v>
      </c>
      <c r="J27" s="10" t="s">
        <v>98</v>
      </c>
      <c r="K27" s="11" t="s">
        <v>170</v>
      </c>
      <c r="L27" s="12" t="s">
        <v>171</v>
      </c>
      <c r="M27" s="8" t="s">
        <v>203</v>
      </c>
    </row>
    <row r="28" spans="1:13" ht="33.75" customHeight="1" x14ac:dyDescent="0.25">
      <c r="A28" s="8">
        <f t="shared" si="0"/>
        <v>24</v>
      </c>
      <c r="B28" s="9">
        <v>46097.474606481483</v>
      </c>
      <c r="C28" s="8" t="s">
        <v>172</v>
      </c>
      <c r="D28" s="8" t="s">
        <v>44</v>
      </c>
      <c r="E28" s="8" t="s">
        <v>173</v>
      </c>
      <c r="F28" s="8" t="s">
        <v>174</v>
      </c>
      <c r="G28" s="8" t="s">
        <v>21</v>
      </c>
      <c r="H28" s="8" t="s">
        <v>89</v>
      </c>
      <c r="I28" s="10" t="s">
        <v>90</v>
      </c>
      <c r="J28" s="10" t="s">
        <v>24</v>
      </c>
      <c r="K28" s="11" t="s">
        <v>175</v>
      </c>
      <c r="L28" s="12" t="s">
        <v>92</v>
      </c>
      <c r="M28" s="8" t="s">
        <v>199</v>
      </c>
    </row>
    <row r="29" spans="1:13" ht="33.75" customHeight="1" x14ac:dyDescent="0.25">
      <c r="A29" s="13">
        <f t="shared" si="0"/>
        <v>25</v>
      </c>
      <c r="B29" s="14">
        <v>46106.433657407404</v>
      </c>
      <c r="C29" s="13" t="s">
        <v>176</v>
      </c>
      <c r="D29" s="13" t="s">
        <v>18</v>
      </c>
      <c r="E29" s="13" t="s">
        <v>177</v>
      </c>
      <c r="F29" s="13" t="s">
        <v>178</v>
      </c>
      <c r="G29" s="13" t="s">
        <v>21</v>
      </c>
      <c r="H29" s="13" t="s">
        <v>179</v>
      </c>
      <c r="I29" s="15" t="s">
        <v>48</v>
      </c>
      <c r="J29" s="15" t="s">
        <v>180</v>
      </c>
      <c r="K29" s="16" t="s">
        <v>181</v>
      </c>
      <c r="L29" s="17" t="s">
        <v>182</v>
      </c>
      <c r="M29" s="13" t="s">
        <v>199</v>
      </c>
    </row>
    <row r="30" spans="1:13" ht="33.75" customHeight="1" x14ac:dyDescent="0.25">
      <c r="A30" s="18">
        <f t="shared" si="0"/>
        <v>26</v>
      </c>
      <c r="B30" s="19">
        <v>46110.479675925926</v>
      </c>
      <c r="C30" s="18" t="s">
        <v>183</v>
      </c>
      <c r="D30" s="18"/>
      <c r="E30" s="18" t="s">
        <v>184</v>
      </c>
      <c r="F30" s="18" t="s">
        <v>185</v>
      </c>
      <c r="G30" s="18" t="s">
        <v>21</v>
      </c>
      <c r="H30" s="18" t="s">
        <v>186</v>
      </c>
      <c r="I30" s="20" t="s">
        <v>48</v>
      </c>
      <c r="J30" s="20" t="s">
        <v>187</v>
      </c>
      <c r="K30" s="18" t="s">
        <v>188</v>
      </c>
      <c r="L30" s="18" t="s">
        <v>189</v>
      </c>
      <c r="M30" s="18" t="s">
        <v>198</v>
      </c>
    </row>
    <row r="31" spans="1:13" ht="33.75" customHeight="1" x14ac:dyDescent="0.25">
      <c r="A31" s="18">
        <f t="shared" si="0"/>
        <v>27</v>
      </c>
      <c r="B31" s="19">
        <v>46110.449247685188</v>
      </c>
      <c r="C31" s="18" t="s">
        <v>190</v>
      </c>
      <c r="D31" s="18"/>
      <c r="E31" s="18" t="s">
        <v>191</v>
      </c>
      <c r="F31" s="18" t="s">
        <v>192</v>
      </c>
      <c r="G31" s="18" t="s">
        <v>21</v>
      </c>
      <c r="H31" s="18" t="s">
        <v>193</v>
      </c>
      <c r="I31" s="20" t="s">
        <v>194</v>
      </c>
      <c r="J31" s="20" t="s">
        <v>195</v>
      </c>
      <c r="K31" s="18" t="s">
        <v>196</v>
      </c>
      <c r="L31" s="18" t="s">
        <v>197</v>
      </c>
      <c r="M31" s="18" t="s">
        <v>205</v>
      </c>
    </row>
    <row r="32" spans="1:13" ht="33.950000000000003" customHeight="1" x14ac:dyDescent="0.25">
      <c r="A32" s="18">
        <f t="shared" si="0"/>
        <v>28</v>
      </c>
      <c r="B32" s="21"/>
      <c r="C32" s="22">
        <v>295499</v>
      </c>
      <c r="D32" s="21"/>
      <c r="E32" s="22" t="s">
        <v>208</v>
      </c>
      <c r="F32" s="22" t="s">
        <v>213</v>
      </c>
      <c r="G32" s="18" t="s">
        <v>218</v>
      </c>
      <c r="H32" s="22" t="s">
        <v>215</v>
      </c>
      <c r="I32" s="22" t="s">
        <v>221</v>
      </c>
      <c r="J32" s="22" t="s">
        <v>223</v>
      </c>
      <c r="K32" s="21"/>
      <c r="L32" s="21"/>
      <c r="M32" s="23" t="s">
        <v>199</v>
      </c>
    </row>
    <row r="33" spans="1:13" ht="60" x14ac:dyDescent="0.25">
      <c r="A33" s="18">
        <f t="shared" si="0"/>
        <v>29</v>
      </c>
      <c r="B33" s="21"/>
      <c r="C33" s="22">
        <v>292930</v>
      </c>
      <c r="D33" s="21"/>
      <c r="E33" s="22" t="s">
        <v>209</v>
      </c>
      <c r="F33" s="22" t="s">
        <v>214</v>
      </c>
      <c r="G33" s="18" t="s">
        <v>218</v>
      </c>
      <c r="H33" s="22" t="s">
        <v>216</v>
      </c>
      <c r="I33" s="22" t="s">
        <v>221</v>
      </c>
      <c r="J33" s="22" t="s">
        <v>223</v>
      </c>
      <c r="K33" s="21"/>
      <c r="L33" s="21"/>
      <c r="M33" s="23" t="s">
        <v>219</v>
      </c>
    </row>
    <row r="34" spans="1:13" ht="60" x14ac:dyDescent="0.25">
      <c r="A34" s="18">
        <f t="shared" si="0"/>
        <v>30</v>
      </c>
      <c r="B34" s="21"/>
      <c r="C34" s="22">
        <v>292931</v>
      </c>
      <c r="D34" s="21"/>
      <c r="E34" s="22" t="s">
        <v>210</v>
      </c>
      <c r="F34" s="22" t="s">
        <v>214</v>
      </c>
      <c r="G34" s="18" t="s">
        <v>218</v>
      </c>
      <c r="H34" s="22" t="s">
        <v>216</v>
      </c>
      <c r="I34" s="22" t="s">
        <v>221</v>
      </c>
      <c r="J34" s="22" t="s">
        <v>223</v>
      </c>
      <c r="K34" s="21"/>
      <c r="L34" s="21"/>
      <c r="M34" s="23" t="s">
        <v>219</v>
      </c>
    </row>
    <row r="35" spans="1:13" ht="60" x14ac:dyDescent="0.25">
      <c r="A35" s="18">
        <f t="shared" si="0"/>
        <v>31</v>
      </c>
      <c r="B35" s="21"/>
      <c r="C35" s="22">
        <v>296250</v>
      </c>
      <c r="D35" s="21"/>
      <c r="E35" s="22" t="s">
        <v>211</v>
      </c>
      <c r="F35" s="22" t="s">
        <v>214</v>
      </c>
      <c r="G35" s="18" t="s">
        <v>218</v>
      </c>
      <c r="H35" s="22" t="s">
        <v>216</v>
      </c>
      <c r="I35" s="22" t="s">
        <v>222</v>
      </c>
      <c r="J35" s="22" t="s">
        <v>224</v>
      </c>
      <c r="K35" s="21"/>
      <c r="L35" s="21"/>
      <c r="M35" s="23" t="s">
        <v>198</v>
      </c>
    </row>
    <row r="36" spans="1:13" ht="33.950000000000003" customHeight="1" x14ac:dyDescent="0.25">
      <c r="A36" s="18">
        <f t="shared" si="0"/>
        <v>32</v>
      </c>
      <c r="B36" s="21"/>
      <c r="C36" s="22">
        <v>296261</v>
      </c>
      <c r="D36" s="21"/>
      <c r="E36" s="22" t="s">
        <v>212</v>
      </c>
      <c r="F36" s="22" t="s">
        <v>214</v>
      </c>
      <c r="G36" s="18" t="s">
        <v>218</v>
      </c>
      <c r="H36" s="22" t="s">
        <v>217</v>
      </c>
      <c r="I36" s="22" t="s">
        <v>222</v>
      </c>
      <c r="J36" s="22" t="s">
        <v>224</v>
      </c>
      <c r="K36" s="21"/>
      <c r="L36" s="21"/>
      <c r="M36" s="23" t="s">
        <v>220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2026-03-29T13:35:11Z</dcterms:created>
  <dcterms:modified xsi:type="dcterms:W3CDTF">2026-03-29T15:15:52Z</dcterms:modified>
</cp:coreProperties>
</file>
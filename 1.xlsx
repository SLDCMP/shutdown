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Sheet0!$A$1:$M$23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" i="1" l="1"/>
  <c r="A25" i="1" s="1"/>
  <c r="A26" i="1" s="1"/>
  <c r="A27" i="1" s="1"/>
  <c r="A28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</calcChain>
</file>

<file path=xl/sharedStrings.xml><?xml version="1.0" encoding="utf-8"?>
<sst xmlns="http://schemas.openxmlformats.org/spreadsheetml/2006/main" count="253" uniqueCount="172">
  <si>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</si>
  <si>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</si>
  <si>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</si>
  <si>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</si>
  <si>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</si>
  <si>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</si>
  <si>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</si>
  <si>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</si>
  <si>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</si>
  <si>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</si>
  <si>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</si>
  <si>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</si>
  <si>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</si>
  <si>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</si>
  <si>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</si>
  <si>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</si>
  <si>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</si>
  <si>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MR2606/0252</t>
  </si>
  <si>
    <t>Daily</t>
  </si>
  <si>
    <t>220KV_220 kV Anuppur-Kotmikala Circuit I</t>
  </si>
  <si>
    <t>220KV_ANUPPUR</t>
  </si>
  <si>
    <t>NON-OCCM-MP</t>
  </si>
  <si>
    <t>For work of conductor re sagging in various loc.</t>
  </si>
  <si>
    <t>09-07-2026 08:00:00</t>
  </si>
  <si>
    <t>23-07-2026 18:00:00</t>
  </si>
  <si>
    <t>Jagdish Prasad Asati</t>
  </si>
  <si>
    <t>9424445533</t>
  </si>
  <si>
    <t>MR2606/0434</t>
  </si>
  <si>
    <t>220KV_BADNAWAR KANWAN  BOTH CKT HOTLINE PERMIT</t>
  </si>
  <si>
    <t>400KV_BADNAWAR</t>
  </si>
  <si>
    <t>HOTLINE ONLINE PERMIT FOR OPGW STRINGING ,</t>
  </si>
  <si>
    <t>23-06-2026 07:00:00</t>
  </si>
  <si>
    <t>15-07-2026 19:00:00</t>
  </si>
  <si>
    <t>K SACHINDRA</t>
  </si>
  <si>
    <t>9425805295</t>
  </si>
  <si>
    <t>MR2607/0166</t>
  </si>
  <si>
    <t>220KV_220kv Barwaha-Indore-l</t>
  </si>
  <si>
    <t>220KV_BARWAHA</t>
  </si>
  <si>
    <t>Bus bar protection wiring</t>
  </si>
  <si>
    <t>13-07-2026 00:00:00</t>
  </si>
  <si>
    <t>13-07-2026 07:00:00</t>
  </si>
  <si>
    <t>er. imran beg</t>
  </si>
  <si>
    <t>9425805200</t>
  </si>
  <si>
    <t>MR2607/0161</t>
  </si>
  <si>
    <t>132KV_Betul Amla</t>
  </si>
  <si>
    <t>220KV_BETUL</t>
  </si>
  <si>
    <t>F/O disc replacement &amp; other line maint. work</t>
  </si>
  <si>
    <t>13-07-2026 13:30:00</t>
  </si>
  <si>
    <t>13-07-2026 17:00:00</t>
  </si>
  <si>
    <t>SHIV KUMAR</t>
  </si>
  <si>
    <t>9425806917</t>
  </si>
  <si>
    <t>MR2607/0160</t>
  </si>
  <si>
    <t>132KV_Betul Multai</t>
  </si>
  <si>
    <t>13-07-2026 09:00:00</t>
  </si>
  <si>
    <t>13-07-2026 13:00:00</t>
  </si>
  <si>
    <t>MR2607/0158</t>
  </si>
  <si>
    <t>220KV_220KV Dhar-Pithampur ckt</t>
  </si>
  <si>
    <t>220KV_DHAR</t>
  </si>
  <si>
    <t>Bay Mainten.&amp; Adii.Relay  (DPR-2) Installation wor</t>
  </si>
  <si>
    <t>13-07-2026 10:00:00</t>
  </si>
  <si>
    <t>13-07-2026 18:00:00</t>
  </si>
  <si>
    <t>Er. Nirmal Patel</t>
  </si>
  <si>
    <t>9826854560</t>
  </si>
  <si>
    <t>MR2607/0159</t>
  </si>
  <si>
    <t>220KV_220kv 160MVA Xmer-ll CGL</t>
  </si>
  <si>
    <t>220KV_MALANPUR</t>
  </si>
  <si>
    <t>oil topping work</t>
  </si>
  <si>
    <t>13-07-2026 14:00:00</t>
  </si>
  <si>
    <t>13-07-2026 16:00:00</t>
  </si>
  <si>
    <t>VIKRAM AHIRWAR</t>
  </si>
  <si>
    <t>9425805415</t>
  </si>
  <si>
    <t>MR2607/0163</t>
  </si>
  <si>
    <t>132KV_132 KV PANAGAR - MANSAKRA LINE</t>
  </si>
  <si>
    <t>220KV_PANAGAR</t>
  </si>
  <si>
    <t>F/o Disc Replacement and Other Line Maintenance</t>
  </si>
  <si>
    <t>MANOJ KUMAR TIWARI</t>
  </si>
  <si>
    <t>9425804993</t>
  </si>
  <si>
    <t>MR2607/0152</t>
  </si>
  <si>
    <t>220KV_220 KV ITARSI-PIPARIYA I</t>
  </si>
  <si>
    <t>220KV_PIPARIYA</t>
  </si>
  <si>
    <t>Replacement of Single to Double Disc Insulator</t>
  </si>
  <si>
    <t>17-07-2026 18:00:00</t>
  </si>
  <si>
    <t>ASHUTOSH RAI</t>
  </si>
  <si>
    <t>9425806902</t>
  </si>
  <si>
    <t>MR2607/0124</t>
  </si>
  <si>
    <t>220KV_220KV PITHAMPUR IC CKT-2</t>
  </si>
  <si>
    <t>400KV_PITHAMPUR4</t>
  </si>
  <si>
    <t>replacement of single insulator fitting with Doubl</t>
  </si>
  <si>
    <t>10-07-2026 07:00:00</t>
  </si>
  <si>
    <t>14-07-2026 19:00:00</t>
  </si>
  <si>
    <t>RAJENDRA KANOJE</t>
  </si>
  <si>
    <t>9425801348</t>
  </si>
  <si>
    <t>MR2607/0154</t>
  </si>
  <si>
    <t>132KV_132kv Sabalgarh Jora Ckt</t>
  </si>
  <si>
    <t>220KV_SABALGARH</t>
  </si>
  <si>
    <t>Line Maintenance work</t>
  </si>
  <si>
    <t>Suraj Pawar</t>
  </si>
  <si>
    <t>9425814079</t>
  </si>
  <si>
    <t>MR2607/0164</t>
  </si>
  <si>
    <t>132KV_132 kv Satna  â¿¿  Nagod ckt â¿¿Ist line</t>
  </si>
  <si>
    <t>220KV_SATNA</t>
  </si>
  <si>
    <t>line maintenance work of 132 kv Satna  â¿¿  Nagod ck</t>
  </si>
  <si>
    <t>R.K.Prajapati</t>
  </si>
  <si>
    <t>9407070182</t>
  </si>
  <si>
    <t>MR2607/0127</t>
  </si>
  <si>
    <t>132KV_132kV Seoni Lalbarra Line</t>
  </si>
  <si>
    <t>132KV_SEONI1</t>
  </si>
  <si>
    <t>Re-sagging of section Loc no. 141 to 158</t>
  </si>
  <si>
    <t>10-07-2026 08:00:00</t>
  </si>
  <si>
    <t>Amol Shende</t>
  </si>
  <si>
    <t>7587951136</t>
  </si>
  <si>
    <t>MR2607/0098</t>
  </si>
  <si>
    <t>Continuous</t>
  </si>
  <si>
    <t>220KV_220 KV ATPS-Shahdol Line</t>
  </si>
  <si>
    <t>220KV_SHAHDOL</t>
  </si>
  <si>
    <t>Tower Erection,Stringing &amp; De-stringing work</t>
  </si>
  <si>
    <t>09-07-2026 09:00:00</t>
  </si>
  <si>
    <t>15-07-2026 18:00:00</t>
  </si>
  <si>
    <t>Dharmendra Dwivedi</t>
  </si>
  <si>
    <t>9425805311</t>
  </si>
  <si>
    <t>MR2607/0099</t>
  </si>
  <si>
    <t>220KV_220 KV ATPS -Sidhi Line</t>
  </si>
  <si>
    <t>220KV_SIDHI</t>
  </si>
  <si>
    <t>Tower Erection, Stringing &amp; De-Stringing work</t>
  </si>
  <si>
    <t>MR2607/0165</t>
  </si>
  <si>
    <t>132KV_132kv Tikamgarh-Digoda 1st line</t>
  </si>
  <si>
    <t>220KV_TIKAMGARH</t>
  </si>
  <si>
    <t>Y-phase Pole of CB replacement work</t>
  </si>
  <si>
    <t>Pushpendra kumar soni</t>
  </si>
  <si>
    <t>9425806398</t>
  </si>
  <si>
    <t>MR2607/0167</t>
  </si>
  <si>
    <t>132KV_132 kv Tikamgrah digoda 1</t>
  </si>
  <si>
    <t>For maintenance in opportunity SD</t>
  </si>
  <si>
    <t>Pankaj Yadav</t>
  </si>
  <si>
    <t>9406713326</t>
  </si>
  <si>
    <t>MR2607/0101</t>
  </si>
  <si>
    <t>220KV_220 kv Tikamgrah Chhatarpur ckt-1</t>
  </si>
  <si>
    <t>For modification &amp; shifting work</t>
  </si>
  <si>
    <t>09-07-2026 18:00:00</t>
  </si>
  <si>
    <t>MR2607/0147</t>
  </si>
  <si>
    <t>220KV_220 KV Ujjain-PGCIL-I (Hathunia)</t>
  </si>
  <si>
    <t>220KV_UJJAIN</t>
  </si>
  <si>
    <t>OCCM-MP</t>
  </si>
  <si>
    <t>Premonsoon Maintanance work</t>
  </si>
  <si>
    <t>B.C JOSHI</t>
  </si>
  <si>
    <t>7587951137</t>
  </si>
  <si>
    <t>ok</t>
  </si>
  <si>
    <t>ok, line to be in service</t>
  </si>
  <si>
    <t>ok, through sub ld</t>
  </si>
  <si>
    <t>sub ld</t>
  </si>
  <si>
    <t>real time</t>
  </si>
  <si>
    <t>as opportunity s/d</t>
  </si>
  <si>
    <t>deferred, not in WR list</t>
  </si>
  <si>
    <t>deferred, due to s/d on 220KV PITHAMPUR IC CKT-2</t>
  </si>
  <si>
    <t>APPROVED OUTAGE LIST FOR DATED 13.07.2026</t>
  </si>
  <si>
    <t>400KV/132KV VINDHYACHAL-ICT-3</t>
  </si>
  <si>
    <t>13-Jul-2026</t>
  </si>
  <si>
    <t>08:00</t>
  </si>
  <si>
    <t>18-Jul-2026</t>
  </si>
  <si>
    <t>19:00</t>
  </si>
  <si>
    <t>Annual Bay Maintenance and Testing / CRP Replacement</t>
  </si>
  <si>
    <t>220KV-MALANPUR-AURIYA-1</t>
  </si>
  <si>
    <t>09:00</t>
  </si>
  <si>
    <t>17:00</t>
  </si>
  <si>
    <t xml:space="preserve">FOR REPLACEMENT OF DEFECTIVE DICS INSULATOR STRING AT VARIOUS LOCATIONS </t>
  </si>
  <si>
    <t>220KV-GWALIOR-GWALIOR-II-1</t>
  </si>
  <si>
    <t>FOR BAY MAINTENANCE &amp; TESTING WORK AT SUBSTASTION, REPLACEMENT OF DAMAGED CLAMPS/JUMPERS ETC.</t>
  </si>
  <si>
    <t>220KV-ITARSI-MP-ITARSI-1</t>
  </si>
  <si>
    <t>220KV-ANNUPUR-KOTMIKALA-1</t>
  </si>
  <si>
    <t>18:00</t>
  </si>
  <si>
    <t xml:space="preserve">	FOR CONDUCTOR RE-SAGGING WORK AT VARIOUS SECTION OF LINE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</si>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</sst>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8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15" fontId="6" fillId="4" borderId="5" xfId="0" applyNumberFormat="1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0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C26" sqref="C26"/>
    </sheetView>
  </sheetViews>
  <sheetFormatPr defaultRowHeight="15" x14ac:dyDescent="0.25"/>
  <cols>
    <col min="2" max="2" width="11.140625" customWidth="1"/>
    <col min="3" max="3" width="13.42578125" customWidth="1"/>
    <col min="5" max="5" width="57.5703125" customWidth="1"/>
    <col min="6" max="6" width="21" customWidth="1"/>
    <col min="7" max="7" width="15.7109375" customWidth="1"/>
    <col min="8" max="8" width="50.140625" customWidth="1"/>
    <col min="9" max="10" width="19.5703125" customWidth="1"/>
    <col min="11" max="11" width="23.140625" customWidth="1"/>
    <col min="12" max="12" width="12" customWidth="1"/>
    <col min="13" max="13" width="44.5703125" customWidth="1"/>
  </cols>
  <sheetData>
    <row r="1" spans="1:13" ht="43.7" customHeight="1" x14ac:dyDescent="0.25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 x14ac:dyDescent="0.25">
      <c r="A2" s="1" t="s">
        <v>1</v>
      </c>
      <c r="B2" s="2">
        <v>46216</v>
      </c>
      <c r="C2" s="1"/>
      <c r="D2" s="1"/>
      <c r="E2" s="13" t="s">
        <v>154</v>
      </c>
      <c r="F2" s="14"/>
      <c r="G2" s="14"/>
      <c r="H2" s="14"/>
      <c r="I2" s="14"/>
      <c r="J2" s="14"/>
      <c r="K2" s="15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ht="33.75" customHeight="1" x14ac:dyDescent="0.25">
      <c r="A5" s="4">
        <v>1</v>
      </c>
      <c r="B5" s="5">
        <v>46184.683831018519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4" t="s">
        <v>146</v>
      </c>
    </row>
    <row r="6" spans="1:13" ht="33.75" customHeight="1" x14ac:dyDescent="0.25">
      <c r="A6" s="4">
        <f>A5+1</f>
        <v>2</v>
      </c>
      <c r="B6" s="5">
        <v>46195.607777777775</v>
      </c>
      <c r="C6" s="4" t="s">
        <v>27</v>
      </c>
      <c r="D6" s="4" t="s">
        <v>18</v>
      </c>
      <c r="E6" s="4" t="s">
        <v>28</v>
      </c>
      <c r="F6" s="4" t="s">
        <v>29</v>
      </c>
      <c r="G6" s="4" t="s">
        <v>21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4" t="s">
        <v>147</v>
      </c>
    </row>
    <row r="7" spans="1:13" ht="33.75" customHeight="1" x14ac:dyDescent="0.25">
      <c r="A7" s="4">
        <f t="shared" ref="A7:A28" si="0">A6+1</f>
        <v>3</v>
      </c>
      <c r="B7" s="5">
        <v>46215.701689814814</v>
      </c>
      <c r="C7" s="4" t="s">
        <v>35</v>
      </c>
      <c r="D7" s="4"/>
      <c r="E7" s="4" t="s">
        <v>36</v>
      </c>
      <c r="F7" s="4" t="s">
        <v>37</v>
      </c>
      <c r="G7" s="4" t="s">
        <v>21</v>
      </c>
      <c r="H7" s="4" t="s">
        <v>38</v>
      </c>
      <c r="I7" s="6" t="s">
        <v>39</v>
      </c>
      <c r="J7" s="6" t="s">
        <v>40</v>
      </c>
      <c r="K7" s="7" t="s">
        <v>41</v>
      </c>
      <c r="L7" s="8" t="s">
        <v>42</v>
      </c>
      <c r="M7" s="4" t="s">
        <v>148</v>
      </c>
    </row>
    <row r="8" spans="1:13" ht="33.75" customHeight="1" x14ac:dyDescent="0.25">
      <c r="A8" s="4">
        <f t="shared" si="0"/>
        <v>4</v>
      </c>
      <c r="B8" s="5">
        <v>46215.515451388892</v>
      </c>
      <c r="C8" s="4" t="s">
        <v>43</v>
      </c>
      <c r="D8" s="4"/>
      <c r="E8" s="4" t="s">
        <v>44</v>
      </c>
      <c r="F8" s="4" t="s">
        <v>45</v>
      </c>
      <c r="G8" s="4" t="s">
        <v>21</v>
      </c>
      <c r="H8" s="4" t="s">
        <v>46</v>
      </c>
      <c r="I8" s="6" t="s">
        <v>47</v>
      </c>
      <c r="J8" s="6" t="s">
        <v>48</v>
      </c>
      <c r="K8" s="7" t="s">
        <v>49</v>
      </c>
      <c r="L8" s="8" t="s">
        <v>50</v>
      </c>
      <c r="M8" s="4" t="s">
        <v>149</v>
      </c>
    </row>
    <row r="9" spans="1:13" ht="33.75" customHeight="1" x14ac:dyDescent="0.25">
      <c r="A9" s="4">
        <f t="shared" si="0"/>
        <v>5</v>
      </c>
      <c r="B9" s="5">
        <v>46215.513877314814</v>
      </c>
      <c r="C9" s="4" t="s">
        <v>51</v>
      </c>
      <c r="D9" s="4"/>
      <c r="E9" s="4" t="s">
        <v>52</v>
      </c>
      <c r="F9" s="4" t="s">
        <v>45</v>
      </c>
      <c r="G9" s="4" t="s">
        <v>21</v>
      </c>
      <c r="H9" s="4" t="s">
        <v>46</v>
      </c>
      <c r="I9" s="6" t="s">
        <v>53</v>
      </c>
      <c r="J9" s="6" t="s">
        <v>54</v>
      </c>
      <c r="K9" s="7" t="s">
        <v>49</v>
      </c>
      <c r="L9" s="8" t="s">
        <v>50</v>
      </c>
      <c r="M9" s="4" t="s">
        <v>149</v>
      </c>
    </row>
    <row r="10" spans="1:13" ht="33.75" customHeight="1" x14ac:dyDescent="0.25">
      <c r="A10" s="4">
        <f t="shared" si="0"/>
        <v>6</v>
      </c>
      <c r="B10" s="5">
        <v>46215.421944444446</v>
      </c>
      <c r="C10" s="4" t="s">
        <v>55</v>
      </c>
      <c r="D10" s="4"/>
      <c r="E10" s="4" t="s">
        <v>56</v>
      </c>
      <c r="F10" s="4" t="s">
        <v>57</v>
      </c>
      <c r="G10" s="4" t="s">
        <v>21</v>
      </c>
      <c r="H10" s="4" t="s">
        <v>58</v>
      </c>
      <c r="I10" s="6" t="s">
        <v>59</v>
      </c>
      <c r="J10" s="6" t="s">
        <v>60</v>
      </c>
      <c r="K10" s="7" t="s">
        <v>61</v>
      </c>
      <c r="L10" s="8" t="s">
        <v>62</v>
      </c>
      <c r="M10" s="4" t="s">
        <v>153</v>
      </c>
    </row>
    <row r="11" spans="1:13" ht="33.75" customHeight="1" x14ac:dyDescent="0.25">
      <c r="A11" s="4">
        <f t="shared" si="0"/>
        <v>7</v>
      </c>
      <c r="B11" s="5">
        <v>46215.458402777775</v>
      </c>
      <c r="C11" s="4" t="s">
        <v>63</v>
      </c>
      <c r="D11" s="4"/>
      <c r="E11" s="4" t="s">
        <v>64</v>
      </c>
      <c r="F11" s="4" t="s">
        <v>65</v>
      </c>
      <c r="G11" s="4" t="s">
        <v>21</v>
      </c>
      <c r="H11" s="4" t="s">
        <v>66</v>
      </c>
      <c r="I11" s="6" t="s">
        <v>67</v>
      </c>
      <c r="J11" s="6" t="s">
        <v>68</v>
      </c>
      <c r="K11" s="7" t="s">
        <v>69</v>
      </c>
      <c r="L11" s="8" t="s">
        <v>70</v>
      </c>
      <c r="M11" s="4" t="s">
        <v>148</v>
      </c>
    </row>
    <row r="12" spans="1:13" ht="33.75" customHeight="1" x14ac:dyDescent="0.25">
      <c r="A12" s="4">
        <f t="shared" si="0"/>
        <v>8</v>
      </c>
      <c r="B12" s="5">
        <v>46215.515902777777</v>
      </c>
      <c r="C12" s="4" t="s">
        <v>71</v>
      </c>
      <c r="D12" s="4"/>
      <c r="E12" s="4" t="s">
        <v>72</v>
      </c>
      <c r="F12" s="4" t="s">
        <v>73</v>
      </c>
      <c r="G12" s="4" t="s">
        <v>21</v>
      </c>
      <c r="H12" s="4" t="s">
        <v>74</v>
      </c>
      <c r="I12" s="6" t="s">
        <v>59</v>
      </c>
      <c r="J12" s="6" t="s">
        <v>48</v>
      </c>
      <c r="K12" s="7" t="s">
        <v>75</v>
      </c>
      <c r="L12" s="8" t="s">
        <v>76</v>
      </c>
      <c r="M12" s="4" t="s">
        <v>146</v>
      </c>
    </row>
    <row r="13" spans="1:13" ht="33.75" customHeight="1" x14ac:dyDescent="0.25">
      <c r="A13" s="4">
        <f t="shared" si="0"/>
        <v>9</v>
      </c>
      <c r="B13" s="5">
        <v>46214.488229166665</v>
      </c>
      <c r="C13" s="4" t="s">
        <v>77</v>
      </c>
      <c r="D13" s="4" t="s">
        <v>18</v>
      </c>
      <c r="E13" s="4" t="s">
        <v>78</v>
      </c>
      <c r="F13" s="4" t="s">
        <v>79</v>
      </c>
      <c r="G13" s="4" t="s">
        <v>21</v>
      </c>
      <c r="H13" s="4" t="s">
        <v>80</v>
      </c>
      <c r="I13" s="6" t="s">
        <v>53</v>
      </c>
      <c r="J13" s="6" t="s">
        <v>81</v>
      </c>
      <c r="K13" s="7" t="s">
        <v>82</v>
      </c>
      <c r="L13" s="8" t="s">
        <v>83</v>
      </c>
      <c r="M13" s="4" t="s">
        <v>148</v>
      </c>
    </row>
    <row r="14" spans="1:13" ht="33.75" customHeight="1" x14ac:dyDescent="0.25">
      <c r="A14" s="4">
        <f t="shared" si="0"/>
        <v>10</v>
      </c>
      <c r="B14" s="5">
        <v>46212.574641203704</v>
      </c>
      <c r="C14" s="4" t="s">
        <v>84</v>
      </c>
      <c r="D14" s="4" t="s">
        <v>18</v>
      </c>
      <c r="E14" s="4" t="s">
        <v>85</v>
      </c>
      <c r="F14" s="4" t="s">
        <v>86</v>
      </c>
      <c r="G14" s="4" t="s">
        <v>21</v>
      </c>
      <c r="H14" s="4" t="s">
        <v>87</v>
      </c>
      <c r="I14" s="6" t="s">
        <v>88</v>
      </c>
      <c r="J14" s="6" t="s">
        <v>89</v>
      </c>
      <c r="K14" s="7" t="s">
        <v>90</v>
      </c>
      <c r="L14" s="8" t="s">
        <v>91</v>
      </c>
      <c r="M14" s="4" t="s">
        <v>150</v>
      </c>
    </row>
    <row r="15" spans="1:13" ht="33.75" customHeight="1" x14ac:dyDescent="0.25">
      <c r="A15" s="4">
        <f t="shared" si="0"/>
        <v>11</v>
      </c>
      <c r="B15" s="5">
        <v>46214.53800925926</v>
      </c>
      <c r="C15" s="4" t="s">
        <v>92</v>
      </c>
      <c r="D15" s="4"/>
      <c r="E15" s="4" t="s">
        <v>93</v>
      </c>
      <c r="F15" s="4" t="s">
        <v>94</v>
      </c>
      <c r="G15" s="4" t="s">
        <v>21</v>
      </c>
      <c r="H15" s="4" t="s">
        <v>95</v>
      </c>
      <c r="I15" s="6" t="s">
        <v>59</v>
      </c>
      <c r="J15" s="6" t="s">
        <v>60</v>
      </c>
      <c r="K15" s="7" t="s">
        <v>96</v>
      </c>
      <c r="L15" s="8" t="s">
        <v>97</v>
      </c>
      <c r="M15" s="4" t="s">
        <v>149</v>
      </c>
    </row>
    <row r="16" spans="1:13" ht="33.75" customHeight="1" x14ac:dyDescent="0.25">
      <c r="A16" s="4">
        <f t="shared" si="0"/>
        <v>12</v>
      </c>
      <c r="B16" s="5">
        <v>46215.545312499999</v>
      </c>
      <c r="C16" s="4" t="s">
        <v>98</v>
      </c>
      <c r="D16" s="4"/>
      <c r="E16" s="4" t="s">
        <v>99</v>
      </c>
      <c r="F16" s="4" t="s">
        <v>100</v>
      </c>
      <c r="G16" s="4" t="s">
        <v>21</v>
      </c>
      <c r="H16" s="4" t="s">
        <v>101</v>
      </c>
      <c r="I16" s="6" t="s">
        <v>59</v>
      </c>
      <c r="J16" s="6" t="s">
        <v>60</v>
      </c>
      <c r="K16" s="7" t="s">
        <v>102</v>
      </c>
      <c r="L16" s="8" t="s">
        <v>103</v>
      </c>
      <c r="M16" s="4" t="s">
        <v>146</v>
      </c>
    </row>
    <row r="17" spans="1:13" ht="33.75" customHeight="1" x14ac:dyDescent="0.25">
      <c r="A17" s="4">
        <f t="shared" si="0"/>
        <v>13</v>
      </c>
      <c r="B17" s="5">
        <v>46212.624918981484</v>
      </c>
      <c r="C17" s="4" t="s">
        <v>104</v>
      </c>
      <c r="D17" s="4" t="s">
        <v>18</v>
      </c>
      <c r="E17" s="4" t="s">
        <v>105</v>
      </c>
      <c r="F17" s="4" t="s">
        <v>106</v>
      </c>
      <c r="G17" s="4" t="s">
        <v>21</v>
      </c>
      <c r="H17" s="4" t="s">
        <v>107</v>
      </c>
      <c r="I17" s="6" t="s">
        <v>108</v>
      </c>
      <c r="J17" s="6" t="s">
        <v>60</v>
      </c>
      <c r="K17" s="7" t="s">
        <v>109</v>
      </c>
      <c r="L17" s="8" t="s">
        <v>110</v>
      </c>
      <c r="M17" s="4" t="s">
        <v>146</v>
      </c>
    </row>
    <row r="18" spans="1:13" ht="33.75" customHeight="1" x14ac:dyDescent="0.25">
      <c r="A18" s="4">
        <f t="shared" si="0"/>
        <v>14</v>
      </c>
      <c r="B18" s="5">
        <v>46210.751759259256</v>
      </c>
      <c r="C18" s="4" t="s">
        <v>111</v>
      </c>
      <c r="D18" s="4" t="s">
        <v>112</v>
      </c>
      <c r="E18" s="4" t="s">
        <v>113</v>
      </c>
      <c r="F18" s="4" t="s">
        <v>114</v>
      </c>
      <c r="G18" s="4" t="s">
        <v>21</v>
      </c>
      <c r="H18" s="4" t="s">
        <v>115</v>
      </c>
      <c r="I18" s="6" t="s">
        <v>116</v>
      </c>
      <c r="J18" s="6" t="s">
        <v>117</v>
      </c>
      <c r="K18" s="7" t="s">
        <v>118</v>
      </c>
      <c r="L18" s="8" t="s">
        <v>119</v>
      </c>
      <c r="M18" s="4" t="s">
        <v>112</v>
      </c>
    </row>
    <row r="19" spans="1:13" ht="33.75" customHeight="1" x14ac:dyDescent="0.25">
      <c r="A19" s="4">
        <f t="shared" si="0"/>
        <v>15</v>
      </c>
      <c r="B19" s="5">
        <v>46210.755798611113</v>
      </c>
      <c r="C19" s="4" t="s">
        <v>120</v>
      </c>
      <c r="D19" s="4" t="s">
        <v>112</v>
      </c>
      <c r="E19" s="4" t="s">
        <v>121</v>
      </c>
      <c r="F19" s="4" t="s">
        <v>122</v>
      </c>
      <c r="G19" s="4" t="s">
        <v>21</v>
      </c>
      <c r="H19" s="4" t="s">
        <v>123</v>
      </c>
      <c r="I19" s="6" t="s">
        <v>116</v>
      </c>
      <c r="J19" s="6" t="s">
        <v>117</v>
      </c>
      <c r="K19" s="7" t="s">
        <v>118</v>
      </c>
      <c r="L19" s="8" t="s">
        <v>119</v>
      </c>
      <c r="M19" s="4" t="s">
        <v>112</v>
      </c>
    </row>
    <row r="20" spans="1:13" ht="33.75" customHeight="1" x14ac:dyDescent="0.25">
      <c r="A20" s="4">
        <f t="shared" si="0"/>
        <v>16</v>
      </c>
      <c r="B20" s="5">
        <v>46215.553425925929</v>
      </c>
      <c r="C20" s="4" t="s">
        <v>124</v>
      </c>
      <c r="D20" s="4"/>
      <c r="E20" s="4" t="s">
        <v>125</v>
      </c>
      <c r="F20" s="4" t="s">
        <v>126</v>
      </c>
      <c r="G20" s="4" t="s">
        <v>21</v>
      </c>
      <c r="H20" s="4" t="s">
        <v>127</v>
      </c>
      <c r="I20" s="6" t="s">
        <v>59</v>
      </c>
      <c r="J20" s="6" t="s">
        <v>48</v>
      </c>
      <c r="K20" s="7" t="s">
        <v>128</v>
      </c>
      <c r="L20" s="8" t="s">
        <v>129</v>
      </c>
      <c r="M20" s="4" t="s">
        <v>146</v>
      </c>
    </row>
    <row r="21" spans="1:13" ht="33.75" customHeight="1" x14ac:dyDescent="0.25">
      <c r="A21" s="4">
        <f t="shared" si="0"/>
        <v>17</v>
      </c>
      <c r="B21" s="5">
        <v>46215.763043981482</v>
      </c>
      <c r="C21" s="4" t="s">
        <v>130</v>
      </c>
      <c r="D21" s="4"/>
      <c r="E21" s="4" t="s">
        <v>131</v>
      </c>
      <c r="F21" s="4" t="s">
        <v>126</v>
      </c>
      <c r="G21" s="4" t="s">
        <v>21</v>
      </c>
      <c r="H21" s="4" t="s">
        <v>132</v>
      </c>
      <c r="I21" s="6" t="s">
        <v>59</v>
      </c>
      <c r="J21" s="6" t="s">
        <v>48</v>
      </c>
      <c r="K21" s="7" t="s">
        <v>133</v>
      </c>
      <c r="L21" s="8" t="s">
        <v>134</v>
      </c>
      <c r="M21" s="4" t="s">
        <v>151</v>
      </c>
    </row>
    <row r="22" spans="1:13" ht="33.75" customHeight="1" x14ac:dyDescent="0.25">
      <c r="A22" s="4">
        <f t="shared" si="0"/>
        <v>18</v>
      </c>
      <c r="B22" s="5">
        <v>46211.51048611111</v>
      </c>
      <c r="C22" s="4" t="s">
        <v>135</v>
      </c>
      <c r="D22" s="4" t="s">
        <v>112</v>
      </c>
      <c r="E22" s="4" t="s">
        <v>136</v>
      </c>
      <c r="F22" s="4" t="s">
        <v>126</v>
      </c>
      <c r="G22" s="4" t="s">
        <v>21</v>
      </c>
      <c r="H22" s="4" t="s">
        <v>137</v>
      </c>
      <c r="I22" s="6" t="s">
        <v>138</v>
      </c>
      <c r="J22" s="6" t="s">
        <v>81</v>
      </c>
      <c r="K22" s="7" t="s">
        <v>133</v>
      </c>
      <c r="L22" s="8" t="s">
        <v>134</v>
      </c>
      <c r="M22" s="4" t="s">
        <v>112</v>
      </c>
    </row>
    <row r="23" spans="1:13" ht="33.75" customHeight="1" x14ac:dyDescent="0.25">
      <c r="A23" s="16">
        <f t="shared" si="0"/>
        <v>19</v>
      </c>
      <c r="B23" s="17">
        <v>46213.761307870373</v>
      </c>
      <c r="C23" s="16" t="s">
        <v>139</v>
      </c>
      <c r="D23" s="16"/>
      <c r="E23" s="16" t="s">
        <v>140</v>
      </c>
      <c r="F23" s="16" t="s">
        <v>141</v>
      </c>
      <c r="G23" s="16" t="s">
        <v>142</v>
      </c>
      <c r="H23" s="16" t="s">
        <v>143</v>
      </c>
      <c r="I23" s="18" t="s">
        <v>59</v>
      </c>
      <c r="J23" s="18" t="s">
        <v>48</v>
      </c>
      <c r="K23" s="19" t="s">
        <v>144</v>
      </c>
      <c r="L23" s="20" t="s">
        <v>145</v>
      </c>
      <c r="M23" s="16" t="s">
        <v>152</v>
      </c>
    </row>
    <row r="24" spans="1:13" ht="30" x14ac:dyDescent="0.25">
      <c r="A24" s="4">
        <f t="shared" si="0"/>
        <v>20</v>
      </c>
      <c r="B24" s="21"/>
      <c r="C24" s="21"/>
      <c r="D24" s="21"/>
      <c r="E24" s="22" t="s">
        <v>155</v>
      </c>
      <c r="F24" s="21"/>
      <c r="G24" s="21"/>
      <c r="H24" s="22" t="s">
        <v>160</v>
      </c>
      <c r="I24" s="23" t="s">
        <v>156</v>
      </c>
      <c r="J24" s="22" t="s">
        <v>157</v>
      </c>
      <c r="K24" s="22" t="s">
        <v>158</v>
      </c>
      <c r="L24" s="22" t="s">
        <v>159</v>
      </c>
      <c r="M24" s="21" t="s">
        <v>146</v>
      </c>
    </row>
    <row r="25" spans="1:13" ht="30" x14ac:dyDescent="0.25">
      <c r="A25" s="16">
        <f t="shared" si="0"/>
        <v>21</v>
      </c>
      <c r="B25" s="21"/>
      <c r="C25" s="21"/>
      <c r="D25" s="21"/>
      <c r="E25" s="22" t="s">
        <v>161</v>
      </c>
      <c r="F25" s="21"/>
      <c r="G25" s="21"/>
      <c r="H25" s="22" t="s">
        <v>164</v>
      </c>
      <c r="I25" s="22" t="s">
        <v>156</v>
      </c>
      <c r="J25" s="22" t="s">
        <v>162</v>
      </c>
      <c r="K25" s="22" t="s">
        <v>156</v>
      </c>
      <c r="L25" s="22" t="s">
        <v>163</v>
      </c>
      <c r="M25" s="21" t="s">
        <v>148</v>
      </c>
    </row>
    <row r="26" spans="1:13" ht="45" x14ac:dyDescent="0.25">
      <c r="A26" s="4">
        <f t="shared" si="0"/>
        <v>22</v>
      </c>
      <c r="B26" s="21"/>
      <c r="C26" s="21"/>
      <c r="D26" s="21"/>
      <c r="E26" s="22" t="s">
        <v>165</v>
      </c>
      <c r="F26" s="21"/>
      <c r="G26" s="21"/>
      <c r="H26" s="22" t="s">
        <v>166</v>
      </c>
      <c r="I26" s="22" t="s">
        <v>156</v>
      </c>
      <c r="J26" s="22" t="s">
        <v>162</v>
      </c>
      <c r="K26" s="22" t="s">
        <v>156</v>
      </c>
      <c r="L26" s="22" t="s">
        <v>163</v>
      </c>
      <c r="M26" s="21" t="s">
        <v>150</v>
      </c>
    </row>
    <row r="27" spans="1:13" ht="45" x14ac:dyDescent="0.25">
      <c r="A27" s="16">
        <f t="shared" si="0"/>
        <v>23</v>
      </c>
      <c r="B27" s="21"/>
      <c r="C27" s="21"/>
      <c r="D27" s="21"/>
      <c r="E27" s="22" t="s">
        <v>167</v>
      </c>
      <c r="F27" s="21"/>
      <c r="G27" s="21"/>
      <c r="H27" s="22" t="s">
        <v>166</v>
      </c>
      <c r="I27" s="22" t="s">
        <v>156</v>
      </c>
      <c r="J27" s="22" t="s">
        <v>157</v>
      </c>
      <c r="K27" s="22" t="s">
        <v>156</v>
      </c>
      <c r="L27" s="22" t="s">
        <v>163</v>
      </c>
      <c r="M27" s="21" t="s">
        <v>150</v>
      </c>
    </row>
    <row r="28" spans="1:13" ht="30" x14ac:dyDescent="0.25">
      <c r="A28" s="4">
        <f t="shared" si="0"/>
        <v>24</v>
      </c>
      <c r="B28" s="21"/>
      <c r="C28" s="21"/>
      <c r="D28" s="21"/>
      <c r="E28" s="22" t="s">
        <v>168</v>
      </c>
      <c r="F28" s="21"/>
      <c r="G28" s="21"/>
      <c r="H28" s="22" t="s">
        <v>170</v>
      </c>
      <c r="I28" s="22" t="s">
        <v>156</v>
      </c>
      <c r="J28" s="22" t="s">
        <v>157</v>
      </c>
      <c r="K28" s="22" t="s">
        <v>156</v>
      </c>
      <c r="L28" s="22" t="s">
        <v>169</v>
      </c>
      <c r="M28" s="21" t="s">
        <v>146</v>
      </c>
    </row>
    <row r="29" spans="1:13" x14ac:dyDescent="0.25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4" t="s">
        <v>171</v>
      </c>
    </row>
    <row r="30" spans="1:13" x14ac:dyDescent="0.25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2026-07-12T14:30:05Z</dcterms:created>
  <dcterms:modified xsi:type="dcterms:W3CDTF">2026-07-12T14:57:24Z</dcterms:modified>
</cp:coreProperties>
</file>
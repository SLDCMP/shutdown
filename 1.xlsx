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Sheet0!$A$1:$M$40</definedName>
    <definedName name="_xlnm.Print_Area" localSheetId="0">Sheet0!$A$1:$M$40</definedName>
    <definedName name="_xlnm.Print_Titles" localSheetId="0">Sheet0!$4:$4</definedName>
  </definedNames>
  <calcPr calcId="162913" fullCalcOnLoad="1"/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39" i="1" s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</calcChain>
</file>

<file path=xl/sharedStrings.xml><?xml version="1.0" encoding="utf-8"?>
<sst xmlns="http://schemas.openxmlformats.org/spreadsheetml/2006/main" count="357" uniqueCount="224">
  <si>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</si>
  <si>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</si>
  <si>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</si>
  <si>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</si>
  <si>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</si>
  <si>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</si>
  <si>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</si>
  <si>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</si>
  <si>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</si>
  <si>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</si>
  <si>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</si>
  <si>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</si>
  <si>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</si>
  <si>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</si>
  <si>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</si>
  <si>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</si>
  <si>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</si>
  <si>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MR2512/0436</t>
  </si>
  <si>
    <t>400KV_315MVA X-mer No-1 Make CGL</t>
  </si>
  <si>
    <t>400KV_ASHTA4</t>
  </si>
  <si>
    <t>NON-OCCM-MP</t>
  </si>
  <si>
    <t>220 KV Side 03 no CTâ¿¿s Replacement work due to hig</t>
  </si>
  <si>
    <t>23-12-2025 09:00:00</t>
  </si>
  <si>
    <t>23-12-2025 18:00:00</t>
  </si>
  <si>
    <t>Jitendra Lohana</t>
  </si>
  <si>
    <t>9425804978</t>
  </si>
  <si>
    <t>MR2512/0444</t>
  </si>
  <si>
    <t>Continuous</t>
  </si>
  <si>
    <t>400KV_400kv bus bar protection</t>
  </si>
  <si>
    <t>400KV_BADNAWAR</t>
  </si>
  <si>
    <t>Connecting of new 500MVA ICT T&amp;R Wiring &amp; TestIing</t>
  </si>
  <si>
    <t>23-12-2025 10:00:00</t>
  </si>
  <si>
    <t>24-12-2025 18:00:00</t>
  </si>
  <si>
    <t>Abhishek Verma</t>
  </si>
  <si>
    <t>9340855901</t>
  </si>
  <si>
    <t>MR2512/0440</t>
  </si>
  <si>
    <t>400KV_400KV Auxiliary Bus</t>
  </si>
  <si>
    <t>Connecting OF 400kv New Auxiliary bus</t>
  </si>
  <si>
    <t>23-12-2025 15:00:00</t>
  </si>
  <si>
    <t>MR2512/0437</t>
  </si>
  <si>
    <t>400KV_400kV Bus Tie</t>
  </si>
  <si>
    <t>For Safety purpose</t>
  </si>
  <si>
    <t>22-12-2025 09:00:00</t>
  </si>
  <si>
    <t>MR2512/0428</t>
  </si>
  <si>
    <t>220KV_220KV Interconnector 2 on Bus Transfer Bay</t>
  </si>
  <si>
    <t>220KV_BHOPAL</t>
  </si>
  <si>
    <t>Main CB is not reliable so keep it on Bus Transfer</t>
  </si>
  <si>
    <t>22-12-2025 17:00:00</t>
  </si>
  <si>
    <t>29-12-2025 17:00:00</t>
  </si>
  <si>
    <t>A K Jain</t>
  </si>
  <si>
    <t>9425806899</t>
  </si>
  <si>
    <t>TOWER STRENGTHENING WORK</t>
  </si>
  <si>
    <t>9425805067</t>
  </si>
  <si>
    <t>Daily</t>
  </si>
  <si>
    <t>DAMAGE CONDUCTOR REPLACEMENT</t>
  </si>
  <si>
    <t>18-12-2025 07:00:00</t>
  </si>
  <si>
    <t>8305612190</t>
  </si>
  <si>
    <t>23-12-2025 19:00:00</t>
  </si>
  <si>
    <t>MR2512/0344</t>
  </si>
  <si>
    <t>132KV_NORTHZONE (INDORE) â¿¿ CHAMBAL  CKT-1 LINE.</t>
  </si>
  <si>
    <t>220KV_INDORE NORTH</t>
  </si>
  <si>
    <t>Ravindra Patil</t>
  </si>
  <si>
    <t>MR2512/0346</t>
  </si>
  <si>
    <t>132KV_132 KV NORTHZONE (INDORE) â¿¿ CHAMBAL CKT-2 LINE.</t>
  </si>
  <si>
    <t>Ravindra patil</t>
  </si>
  <si>
    <t>220KV_220 KV SARNI-ITARSI IV LINE</t>
  </si>
  <si>
    <t>220KV_ITARSI</t>
  </si>
  <si>
    <t>RESAGGING WORK LOC.NO. 199-218</t>
  </si>
  <si>
    <t>26-12-2025 18:00:00</t>
  </si>
  <si>
    <t>Ashutosh Rai</t>
  </si>
  <si>
    <t>9425806902</t>
  </si>
  <si>
    <t>MR2512/0404</t>
  </si>
  <si>
    <t>MR2512/0443</t>
  </si>
  <si>
    <t>220KV_220 KV Jabalpur-Narsinghpur Line Ckt-II</t>
  </si>
  <si>
    <t>220KV_JABALPUR</t>
  </si>
  <si>
    <t>Flashover disc replacement Work at Loc.No. 135/R-P</t>
  </si>
  <si>
    <t>Ashish Kumar</t>
  </si>
  <si>
    <t>9425805935</t>
  </si>
  <si>
    <t>400KV_KATNI4</t>
  </si>
  <si>
    <t>OCCM-MP</t>
  </si>
  <si>
    <t>01-12-2025 09:00:00</t>
  </si>
  <si>
    <t>31-12-2025 18:00:00</t>
  </si>
  <si>
    <t>M.M. BAIG</t>
  </si>
  <si>
    <t>MR2510/0557</t>
  </si>
  <si>
    <t>220KV_220KV KATNI - DAMOH LINE</t>
  </si>
  <si>
    <t>MR2509/0449</t>
  </si>
  <si>
    <t>400KV_400KV DAMOH - KATNI LINE</t>
  </si>
  <si>
    <t>SHRI M.M. BAIG</t>
  </si>
  <si>
    <t>MR2512/0446</t>
  </si>
  <si>
    <t>220KV_160MVA BHEL X-MER</t>
  </si>
  <si>
    <t>For postmonsoon maintenance</t>
  </si>
  <si>
    <t>SK chaturvedi</t>
  </si>
  <si>
    <t>9425806938</t>
  </si>
  <si>
    <t>MR2512/0433</t>
  </si>
  <si>
    <t>400KV_400kV Kirnapur Seoni Line</t>
  </si>
  <si>
    <t>400KV_KIRNAPUR</t>
  </si>
  <si>
    <t>Work For Suspension Clamp &amp; Corona Ring Arking Hor</t>
  </si>
  <si>
    <t>S.K. Bhaladhare</t>
  </si>
  <si>
    <t>9425448642</t>
  </si>
  <si>
    <t>220KV_220  kv Satna (PGCIL)  â¿¿  Kotar  line</t>
  </si>
  <si>
    <t>220KV_KOTAR</t>
  </si>
  <si>
    <t>Double  fitting work</t>
  </si>
  <si>
    <t>16-12-2025 09:00:00</t>
  </si>
  <si>
    <t>23-12-2025 17:00:00</t>
  </si>
  <si>
    <t>Mr. R.K.Prajapati</t>
  </si>
  <si>
    <t>9407070182</t>
  </si>
  <si>
    <t>MR2512/0176</t>
  </si>
  <si>
    <t>MR2512/0442</t>
  </si>
  <si>
    <t>220KV_220 KV Nagra -Kshema Amba-II</t>
  </si>
  <si>
    <t>220KV_NAGRA</t>
  </si>
  <si>
    <t>Bay maintenance &amp; Tan delta measurement work Nagra</t>
  </si>
  <si>
    <t>Shailandra Borasi</t>
  </si>
  <si>
    <t>9907246485</t>
  </si>
  <si>
    <t>MR2512/0407</t>
  </si>
  <si>
    <t>220KV_220KV Main Bus-I</t>
  </si>
  <si>
    <t>220KV_PITHAMPUR (SEC-III)</t>
  </si>
  <si>
    <t>220KV Rajgarh fdr Main Bus-1 Isolators. Replace</t>
  </si>
  <si>
    <t>22-12-2025 10:00:00</t>
  </si>
  <si>
    <t>Sh Mukesh Patil</t>
  </si>
  <si>
    <t>8120562072</t>
  </si>
  <si>
    <t>MR2510/0691</t>
  </si>
  <si>
    <t>400KV_Rajgarh (PGCIL) â¿¿ SSP Ckt-2</t>
  </si>
  <si>
    <t>400KV_RAJGARH-PG</t>
  </si>
  <si>
    <t>for old disc replacement work</t>
  </si>
  <si>
    <t>16-12-2025 08:00:00</t>
  </si>
  <si>
    <t>V.R. Panadia</t>
  </si>
  <si>
    <t>9425802330</t>
  </si>
  <si>
    <t>MR2512/0447</t>
  </si>
  <si>
    <t>132KV_132KV Rampur Naikin-Beohari ckt</t>
  </si>
  <si>
    <t>132KV_RAMPUR NAIKEN</t>
  </si>
  <si>
    <t>Disc replacement work</t>
  </si>
  <si>
    <t>G.L SAHU</t>
  </si>
  <si>
    <t>9425805102</t>
  </si>
  <si>
    <t>MR2512/0434</t>
  </si>
  <si>
    <t>220KV_220Kv Damoh-Sagar 2nd Ckt. Line (PGCIL)</t>
  </si>
  <si>
    <t>400KV_SAGAR</t>
  </si>
  <si>
    <t>Line maintenance Work</t>
  </si>
  <si>
    <t>J.P. Asati</t>
  </si>
  <si>
    <t>9424445533</t>
  </si>
  <si>
    <t>MR2512/0302</t>
  </si>
  <si>
    <t>400KV_400 KV main -I</t>
  </si>
  <si>
    <t>for jumpering of main bus -I for bus extension</t>
  </si>
  <si>
    <t>Anil mahor</t>
  </si>
  <si>
    <t>9425805149</t>
  </si>
  <si>
    <t>MR2512/0306</t>
  </si>
  <si>
    <t>400KV_40o KV Sagar- Satna PG ckt</t>
  </si>
  <si>
    <t>for erection work of new 50 MVAR reactor beneath l</t>
  </si>
  <si>
    <t>MR2512/0431</t>
  </si>
  <si>
    <t>132KV_40MVA BHEL XMER</t>
  </si>
  <si>
    <t>132KV_SALEEMNABAD</t>
  </si>
  <si>
    <t>POST MONSOON MAINTENANCE AND TESTING WORK</t>
  </si>
  <si>
    <t>ABHISHEK MISHRA</t>
  </si>
  <si>
    <t>9425801440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</si>
  <si>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</si>
  <si>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</si>
  <si>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</si>
  <si>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</si>
  <si>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</si>
  <si>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</si>
  <si>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</si>
  <si>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</si>
  <si>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MR2512/0448</t>
  </si>
  <si>
    <t>220KV_220KV PGCIL Ckt-2</t>
  </si>
  <si>
    <t>220KV_SEONI</t>
  </si>
  <si>
    <t>New Isolator Jumpering work</t>
  </si>
  <si>
    <t>23-12-2025 13:00:00</t>
  </si>
  <si>
    <t>Er Sandeep Damahe</t>
  </si>
  <si>
    <t>9425805009</t>
  </si>
  <si>
    <t>MR2512/0445</t>
  </si>
  <si>
    <t>400KV_400/220 KV, 3Ã¿167 MVA ICT</t>
  </si>
  <si>
    <t>400KV_SGTPS</t>
  </si>
  <si>
    <t>ICT Y Phase CT oil filling</t>
  </si>
  <si>
    <t>PRAMOD MISHRA</t>
  </si>
  <si>
    <t>8989973149</t>
  </si>
  <si>
    <t>MR2512/0438</t>
  </si>
  <si>
    <t>220KV_160 MVA-III CGL</t>
  </si>
  <si>
    <t>220KV_SHUJALPUR</t>
  </si>
  <si>
    <t>AGT Earth wire removal work.</t>
  </si>
  <si>
    <t>Er. VIJAY OJHA</t>
  </si>
  <si>
    <t>9755836908</t>
  </si>
  <si>
    <t>MR2512/0439</t>
  </si>
  <si>
    <t>220KV_220 KV BHOPAL-II</t>
  </si>
  <si>
    <t>AGT Earth wire removal work</t>
  </si>
  <si>
    <t>220KV_220 KV SHUJALPUR-BHOPAL-I CKT</t>
  </si>
  <si>
    <t>220 KV BHOPAL BAY SHIFTING FOR NEW ADD. 200 MVA</t>
  </si>
  <si>
    <t>13-12-2025 09:00:00</t>
  </si>
  <si>
    <t>12-01-2026 18:00:00</t>
  </si>
  <si>
    <t>Er VIJAY OJHA</t>
  </si>
  <si>
    <t>MR2512/0233</t>
  </si>
  <si>
    <t>MR2512/0266</t>
  </si>
  <si>
    <t>220KV_220kV Vidisha-Bina ckt</t>
  </si>
  <si>
    <t>220KV_VIDISHA</t>
  </si>
  <si>
    <t>For Modification/shifting work of line.</t>
  </si>
  <si>
    <t>14-12-2025 09:00:00</t>
  </si>
  <si>
    <t>Rajkumar Bhusare</t>
  </si>
  <si>
    <t>9425820042</t>
  </si>
  <si>
    <t>ok</t>
  </si>
  <si>
    <t>deferred</t>
  </si>
  <si>
    <t>ok, through sub ld</t>
  </si>
  <si>
    <t>ok, line to be in service</t>
  </si>
  <si>
    <t>real time</t>
  </si>
  <si>
    <t>o&amp;m consent required</t>
  </si>
  <si>
    <t>wrldc consent for approval required, pench machine to be on bar, shall be given after load management</t>
  </si>
  <si>
    <t>deferred due to s/d on Sagar bus</t>
  </si>
  <si>
    <t>sub ld</t>
  </si>
  <si>
    <t>ok, shall be given from 12 hrs</t>
  </si>
  <si>
    <t>400KV-SEONI-KIRNAPUR-1</t>
  </si>
  <si>
    <t>220KV-REWA-REWA-MP-1</t>
  </si>
  <si>
    <t>220KV-KHANDWA-CHHEGAON-1</t>
  </si>
  <si>
    <t>220KV-DAMOH-SAGAR-2</t>
  </si>
  <si>
    <t>SAGAR - 400KV - BUS 1</t>
  </si>
  <si>
    <t>400KV-SAGAR-SATNA-1</t>
  </si>
  <si>
    <t>FOR LINE MAINTENANCE WORK i.e. CLEANING OF DISC INSULATORS DURING LINE PATROLLING , REPLACEMENT OF FLASHOVERED DISC INSULATORS, TREE BRANCH CUTTING ETC AT VARIOUS TOWER LOCATIONS</t>
  </si>
  <si>
    <t>STRINGING &amp; EXTENSION WORK OF MAIN BUS</t>
  </si>
  <si>
    <t>for erection work of 50 MVAR reactor, s/d required for safety purpose</t>
  </si>
  <si>
    <t>OK
Bhilai-Kirnapur to be in service with AR enabled. WR1/SLDC CG to be informed. Load to be managed by SLDC MP in case of contingency.</t>
  </si>
  <si>
    <t>REAL TIME
All other lines at Rewa MP to be in service. Load to be managed by MPSLDC.</t>
  </si>
  <si>
    <t>REAL TIME
All other lines at Chhegaon to be in service with AR enabled. WR2 to be informed. Load to be managed by SLDC MP</t>
  </si>
  <si>
    <t>DEFERRED DUE TO S/D ON SAGAR BUS
All other lines at 220 kV Sagar to be in service with AR enabled. Load to be managed by SLDC MP</t>
  </si>
  <si>
    <t>OK
400KV-SAGAR-SATNA-1 shutdown is also planned. All Elements to be in service with Bus-2. In case of N-1 all elements will be out. WR-2 to be informed. In case of contingency load to be managed by SLDC MP</t>
  </si>
  <si>
    <t>OK
400 kV Bina-Sagar to be in service with AR enabled. All ICTs at Katni to be in service. SLDC MP to be informed. Load to be managed by SLDC MP</t>
  </si>
  <si>
    <t>23-12-2025 08:00:00</t>
  </si>
  <si>
    <t>23-12-2025 16:59:00</t>
  </si>
  <si>
    <t>WR-OCCM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</si>
</sst>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2" formatCode="[$-1010809]dd\-mm\-yyyy"/>
  </numFmts>
  <fonts count="8">
    <font>
      <sz val="10"/>
      <name val="Arial"/>
    </font>
    <font>
      <b/>
      <sz val="10"/>
      <color indexed="8"/>
      <name val="Arial"/>
    </font>
    <font>
      <b/>
      <sz val="12"/>
      <color indexed="8"/>
      <name val="Arial"/>
    </font>
    <font>
      <sz val="11"/>
      <name val="Calibri"/>
    </font>
    <font>
      <sz val="10"/>
      <color indexed="8"/>
      <name val="Arial"/>
    </font>
    <font>
      <b/>
      <sz val="10"/>
      <color indexed="8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72" fontId="1" fillId="2" borderId="1" xfId="0" applyNumberFormat="1" applyFont="1" applyFill="1" applyBorder="1" applyAlignment="1">
      <alignment horizontal="center" vertical="center"/>
    </xf>
    <xf numFmtId="172" fontId="4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0" fontId="5" fillId="2" borderId="1" xfId="0" quotePrefix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209550</xdr:colOff>
      <xdr:row>1</xdr:row>
      <xdr:rowOff>0</xdr:rowOff>
    </xdr:to>
    <xdr:pic>
      <xdr:nvPicPr>
        <xdr:cNvPr id="1048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6"/>
  <sheetViews>
    <sheetView tabSelected="1" workbookViewId="0">
      <selection activeCell="F34" sqref="F34"/>
    </sheetView>
  </sheetViews>
  <sheetFormatPr defaultRowHeight="12.75"/>
  <cols>
    <col min="1" max="1" width="6" customWidth="1"/>
    <col min="2" max="2" width="11.140625" customWidth="1"/>
    <col min="3" max="3" width="8.5703125" customWidth="1"/>
    <col min="4" max="4" width="6.28515625" customWidth="1"/>
    <col min="5" max="5" width="29.85546875" style="5" customWidth="1"/>
    <col min="6" max="6" width="22.28515625" customWidth="1"/>
    <col min="7" max="7" width="9.85546875" customWidth="1"/>
    <col min="8" max="8" width="29.140625" customWidth="1"/>
    <col min="9" max="9" width="11" customWidth="1"/>
    <col min="10" max="10" width="10.42578125" customWidth="1"/>
    <col min="11" max="11" width="8" customWidth="1"/>
    <col min="12" max="12" width="6.85546875" customWidth="1"/>
    <col min="13" max="13" width="40.140625" style="5" customWidth="1"/>
  </cols>
  <sheetData>
    <row r="1" spans="1:13" ht="43.7" customHeight="1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ht="42" customHeight="1">
      <c r="A2" s="4" t="s">
        <v>1</v>
      </c>
      <c r="B2" s="2">
        <v>46014</v>
      </c>
      <c r="C2" s="1"/>
      <c r="D2" s="1"/>
      <c r="E2" s="4"/>
      <c r="F2" s="1"/>
      <c r="G2" s="1"/>
      <c r="H2" s="1"/>
      <c r="I2" s="1"/>
      <c r="J2" s="1"/>
      <c r="K2" s="1"/>
      <c r="L2" s="1"/>
      <c r="M2" s="4"/>
    </row>
    <row r="3" spans="1:13" ht="42" customHeight="1">
      <c r="A3" s="4" t="s">
        <v>2</v>
      </c>
      <c r="B3" s="4" t="s">
        <v>3</v>
      </c>
      <c r="C3" s="4" t="s">
        <v>4</v>
      </c>
      <c r="D3" s="4" t="s">
        <v>3</v>
      </c>
      <c r="E3" s="4"/>
      <c r="F3" s="1"/>
      <c r="G3" s="1"/>
      <c r="H3" s="1"/>
      <c r="I3" s="1"/>
      <c r="J3" s="1"/>
      <c r="K3" s="1"/>
      <c r="L3" s="1"/>
      <c r="M3" s="4"/>
    </row>
    <row r="4" spans="1:13" ht="42" customHeight="1">
      <c r="A4" s="4" t="s">
        <v>5</v>
      </c>
      <c r="B4" s="4" t="s">
        <v>6</v>
      </c>
      <c r="C4" s="4" t="s">
        <v>7</v>
      </c>
      <c r="D4" s="4" t="s">
        <v>8</v>
      </c>
      <c r="E4" s="4" t="s">
        <v>9</v>
      </c>
      <c r="F4" s="4" t="s">
        <v>10</v>
      </c>
      <c r="G4" s="4" t="s">
        <v>11</v>
      </c>
      <c r="H4" s="4" t="s">
        <v>12</v>
      </c>
      <c r="I4" s="4" t="s">
        <v>13</v>
      </c>
      <c r="J4" s="4" t="s">
        <v>14</v>
      </c>
      <c r="K4" s="4" t="s">
        <v>15</v>
      </c>
      <c r="L4" s="4"/>
      <c r="M4" s="4" t="s">
        <v>16</v>
      </c>
    </row>
    <row r="5" spans="1:13" ht="35.25" customHeight="1">
      <c r="A5" s="4">
        <v>1</v>
      </c>
      <c r="B5" s="3">
        <v>46013.560856481483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4" t="s">
        <v>22</v>
      </c>
      <c r="J5" s="4" t="s">
        <v>23</v>
      </c>
      <c r="K5" s="4" t="s">
        <v>24</v>
      </c>
      <c r="L5" s="4" t="s">
        <v>25</v>
      </c>
      <c r="M5" s="4" t="s">
        <v>198</v>
      </c>
    </row>
    <row r="6" spans="1:13" ht="35.25" customHeight="1">
      <c r="A6" s="4">
        <f>A5+1</f>
        <v>2</v>
      </c>
      <c r="B6" s="3">
        <v>46013.643310185187</v>
      </c>
      <c r="C6" s="4" t="s">
        <v>26</v>
      </c>
      <c r="D6" s="4" t="s">
        <v>27</v>
      </c>
      <c r="E6" s="4" t="s">
        <v>28</v>
      </c>
      <c r="F6" s="4" t="s">
        <v>29</v>
      </c>
      <c r="G6" s="4" t="s">
        <v>20</v>
      </c>
      <c r="H6" s="4" t="s">
        <v>30</v>
      </c>
      <c r="I6" s="4" t="s">
        <v>31</v>
      </c>
      <c r="J6" s="4" t="s">
        <v>32</v>
      </c>
      <c r="K6" s="4" t="s">
        <v>33</v>
      </c>
      <c r="L6" s="4" t="s">
        <v>34</v>
      </c>
      <c r="M6" s="4" t="s">
        <v>198</v>
      </c>
    </row>
    <row r="7" spans="1:13" ht="35.25" customHeight="1">
      <c r="A7" s="4">
        <f t="shared" ref="A7:A32" si="0">A6+1</f>
        <v>3</v>
      </c>
      <c r="B7" s="3">
        <v>46013.596458333333</v>
      </c>
      <c r="C7" s="4" t="s">
        <v>35</v>
      </c>
      <c r="D7" s="4"/>
      <c r="E7" s="4" t="s">
        <v>36</v>
      </c>
      <c r="F7" s="4" t="s">
        <v>29</v>
      </c>
      <c r="G7" s="4" t="s">
        <v>20</v>
      </c>
      <c r="H7" s="4" t="s">
        <v>37</v>
      </c>
      <c r="I7" s="4" t="s">
        <v>31</v>
      </c>
      <c r="J7" s="4" t="s">
        <v>38</v>
      </c>
      <c r="K7" s="4" t="s">
        <v>33</v>
      </c>
      <c r="L7" s="4" t="s">
        <v>34</v>
      </c>
      <c r="M7" s="4" t="s">
        <v>198</v>
      </c>
    </row>
    <row r="8" spans="1:13" ht="35.25" customHeight="1">
      <c r="A8" s="4">
        <f t="shared" si="0"/>
        <v>4</v>
      </c>
      <c r="B8" s="3">
        <v>46013.589756944442</v>
      </c>
      <c r="C8" s="4" t="s">
        <v>39</v>
      </c>
      <c r="D8" s="4"/>
      <c r="E8" s="4" t="s">
        <v>40</v>
      </c>
      <c r="F8" s="4" t="s">
        <v>29</v>
      </c>
      <c r="G8" s="4" t="s">
        <v>20</v>
      </c>
      <c r="H8" s="4" t="s">
        <v>41</v>
      </c>
      <c r="I8" s="4" t="s">
        <v>31</v>
      </c>
      <c r="J8" s="4" t="s">
        <v>38</v>
      </c>
      <c r="K8" s="4" t="s">
        <v>33</v>
      </c>
      <c r="L8" s="4" t="s">
        <v>34</v>
      </c>
      <c r="M8" s="4" t="s">
        <v>198</v>
      </c>
    </row>
    <row r="9" spans="1:13" ht="35.25" customHeight="1">
      <c r="A9" s="4">
        <f t="shared" si="0"/>
        <v>5</v>
      </c>
      <c r="B9" s="3">
        <v>46012.581736111111</v>
      </c>
      <c r="C9" s="4" t="s">
        <v>43</v>
      </c>
      <c r="D9" s="4" t="s">
        <v>27</v>
      </c>
      <c r="E9" s="4" t="s">
        <v>44</v>
      </c>
      <c r="F9" s="4" t="s">
        <v>45</v>
      </c>
      <c r="G9" s="4" t="s">
        <v>20</v>
      </c>
      <c r="H9" s="4" t="s">
        <v>46</v>
      </c>
      <c r="I9" s="4" t="s">
        <v>47</v>
      </c>
      <c r="J9" s="4" t="s">
        <v>48</v>
      </c>
      <c r="K9" s="4" t="s">
        <v>49</v>
      </c>
      <c r="L9" s="4" t="s">
        <v>50</v>
      </c>
      <c r="M9" s="4" t="s">
        <v>27</v>
      </c>
    </row>
    <row r="10" spans="1:13" ht="35.25" customHeight="1">
      <c r="A10" s="4">
        <f t="shared" si="0"/>
        <v>6</v>
      </c>
      <c r="B10" s="3">
        <v>46008.563807870371</v>
      </c>
      <c r="C10" s="4" t="s">
        <v>58</v>
      </c>
      <c r="D10" s="4" t="s">
        <v>53</v>
      </c>
      <c r="E10" s="4" t="s">
        <v>59</v>
      </c>
      <c r="F10" s="4" t="s">
        <v>60</v>
      </c>
      <c r="G10" s="4" t="s">
        <v>20</v>
      </c>
      <c r="H10" s="4" t="s">
        <v>54</v>
      </c>
      <c r="I10" s="4" t="s">
        <v>55</v>
      </c>
      <c r="J10" s="4" t="s">
        <v>57</v>
      </c>
      <c r="K10" s="4" t="s">
        <v>61</v>
      </c>
      <c r="L10" s="4" t="s">
        <v>56</v>
      </c>
      <c r="M10" s="4" t="s">
        <v>204</v>
      </c>
    </row>
    <row r="11" spans="1:13" ht="44.25" customHeight="1">
      <c r="A11" s="4">
        <f t="shared" si="0"/>
        <v>7</v>
      </c>
      <c r="B11" s="3">
        <v>46008.567314814813</v>
      </c>
      <c r="C11" s="4" t="s">
        <v>62</v>
      </c>
      <c r="D11" s="4" t="s">
        <v>53</v>
      </c>
      <c r="E11" s="4" t="s">
        <v>63</v>
      </c>
      <c r="F11" s="4" t="s">
        <v>60</v>
      </c>
      <c r="G11" s="4" t="s">
        <v>20</v>
      </c>
      <c r="H11" s="4" t="s">
        <v>54</v>
      </c>
      <c r="I11" s="4" t="s">
        <v>55</v>
      </c>
      <c r="J11" s="4" t="s">
        <v>57</v>
      </c>
      <c r="K11" s="4" t="s">
        <v>64</v>
      </c>
      <c r="L11" s="4" t="s">
        <v>56</v>
      </c>
      <c r="M11" s="4" t="s">
        <v>204</v>
      </c>
    </row>
    <row r="12" spans="1:13" ht="35.25" customHeight="1">
      <c r="A12" s="4">
        <f t="shared" si="0"/>
        <v>8</v>
      </c>
      <c r="B12" s="3">
        <v>46011.522326388891</v>
      </c>
      <c r="C12" s="4" t="s">
        <v>71</v>
      </c>
      <c r="D12" s="4" t="s">
        <v>27</v>
      </c>
      <c r="E12" s="4" t="s">
        <v>65</v>
      </c>
      <c r="F12" s="4" t="s">
        <v>66</v>
      </c>
      <c r="G12" s="4" t="s">
        <v>20</v>
      </c>
      <c r="H12" s="4" t="s">
        <v>67</v>
      </c>
      <c r="I12" s="4" t="s">
        <v>42</v>
      </c>
      <c r="J12" s="4" t="s">
        <v>68</v>
      </c>
      <c r="K12" s="4" t="s">
        <v>69</v>
      </c>
      <c r="L12" s="4" t="s">
        <v>70</v>
      </c>
      <c r="M12" s="4" t="s">
        <v>27</v>
      </c>
    </row>
    <row r="13" spans="1:13" ht="35.25" customHeight="1">
      <c r="A13" s="4">
        <f t="shared" si="0"/>
        <v>9</v>
      </c>
      <c r="B13" s="3">
        <v>46013.635694444441</v>
      </c>
      <c r="C13" s="4" t="s">
        <v>72</v>
      </c>
      <c r="D13" s="4"/>
      <c r="E13" s="4" t="s">
        <v>73</v>
      </c>
      <c r="F13" s="4" t="s">
        <v>74</v>
      </c>
      <c r="G13" s="4" t="s">
        <v>20</v>
      </c>
      <c r="H13" s="4" t="s">
        <v>75</v>
      </c>
      <c r="I13" s="4" t="s">
        <v>31</v>
      </c>
      <c r="J13" s="4" t="s">
        <v>23</v>
      </c>
      <c r="K13" s="4" t="s">
        <v>76</v>
      </c>
      <c r="L13" s="4" t="s">
        <v>77</v>
      </c>
      <c r="M13" s="4" t="s">
        <v>196</v>
      </c>
    </row>
    <row r="14" spans="1:13" ht="35.25" customHeight="1">
      <c r="A14" s="4">
        <f t="shared" si="0"/>
        <v>10</v>
      </c>
      <c r="B14" s="3">
        <v>45953.747557870367</v>
      </c>
      <c r="C14" s="4" t="s">
        <v>83</v>
      </c>
      <c r="D14" s="4" t="s">
        <v>27</v>
      </c>
      <c r="E14" s="4" t="s">
        <v>84</v>
      </c>
      <c r="F14" s="4" t="s">
        <v>78</v>
      </c>
      <c r="G14" s="4" t="s">
        <v>20</v>
      </c>
      <c r="H14" s="4" t="s">
        <v>51</v>
      </c>
      <c r="I14" s="4" t="s">
        <v>80</v>
      </c>
      <c r="J14" s="4" t="s">
        <v>81</v>
      </c>
      <c r="K14" s="4" t="s">
        <v>82</v>
      </c>
      <c r="L14" s="4" t="s">
        <v>52</v>
      </c>
      <c r="M14" s="4" t="s">
        <v>27</v>
      </c>
    </row>
    <row r="15" spans="1:13" ht="35.25" customHeight="1">
      <c r="A15" s="4">
        <f t="shared" si="0"/>
        <v>11</v>
      </c>
      <c r="B15" s="3">
        <v>45918.685648148145</v>
      </c>
      <c r="C15" s="4" t="s">
        <v>85</v>
      </c>
      <c r="D15" s="4" t="s">
        <v>27</v>
      </c>
      <c r="E15" s="4" t="s">
        <v>86</v>
      </c>
      <c r="F15" s="4" t="s">
        <v>78</v>
      </c>
      <c r="G15" s="4" t="s">
        <v>79</v>
      </c>
      <c r="H15" s="4" t="s">
        <v>51</v>
      </c>
      <c r="I15" s="4" t="s">
        <v>42</v>
      </c>
      <c r="J15" s="4" t="s">
        <v>32</v>
      </c>
      <c r="K15" s="4" t="s">
        <v>87</v>
      </c>
      <c r="L15" s="4" t="s">
        <v>52</v>
      </c>
      <c r="M15" s="4" t="s">
        <v>27</v>
      </c>
    </row>
    <row r="16" spans="1:13" ht="35.25" customHeight="1">
      <c r="A16" s="4">
        <f t="shared" si="0"/>
        <v>12</v>
      </c>
      <c r="B16" s="3">
        <v>46013.657268518517</v>
      </c>
      <c r="C16" s="4" t="s">
        <v>88</v>
      </c>
      <c r="D16" s="4"/>
      <c r="E16" s="4" t="s">
        <v>89</v>
      </c>
      <c r="F16" s="4" t="s">
        <v>78</v>
      </c>
      <c r="G16" s="4" t="s">
        <v>20</v>
      </c>
      <c r="H16" s="4" t="s">
        <v>90</v>
      </c>
      <c r="I16" s="4" t="s">
        <v>31</v>
      </c>
      <c r="J16" s="4" t="s">
        <v>23</v>
      </c>
      <c r="K16" s="4" t="s">
        <v>91</v>
      </c>
      <c r="L16" s="4" t="s">
        <v>92</v>
      </c>
      <c r="M16" s="4" t="s">
        <v>200</v>
      </c>
    </row>
    <row r="17" spans="1:13" ht="35.25" customHeight="1">
      <c r="A17" s="4">
        <f t="shared" si="0"/>
        <v>13</v>
      </c>
      <c r="B17" s="3">
        <v>46013.467037037037</v>
      </c>
      <c r="C17" s="4" t="s">
        <v>93</v>
      </c>
      <c r="D17" s="4"/>
      <c r="E17" s="4" t="s">
        <v>94</v>
      </c>
      <c r="F17" s="4" t="s">
        <v>95</v>
      </c>
      <c r="G17" s="4" t="s">
        <v>79</v>
      </c>
      <c r="H17" s="4" t="s">
        <v>96</v>
      </c>
      <c r="I17" s="4" t="s">
        <v>22</v>
      </c>
      <c r="J17" s="4" t="s">
        <v>23</v>
      </c>
      <c r="K17" s="4" t="s">
        <v>97</v>
      </c>
      <c r="L17" s="4" t="s">
        <v>98</v>
      </c>
      <c r="M17" s="4" t="s">
        <v>196</v>
      </c>
    </row>
    <row r="18" spans="1:13" ht="35.25" customHeight="1">
      <c r="A18" s="4">
        <f t="shared" si="0"/>
        <v>14</v>
      </c>
      <c r="B18" s="3">
        <v>46001.502152777779</v>
      </c>
      <c r="C18" s="4" t="s">
        <v>106</v>
      </c>
      <c r="D18" s="4" t="s">
        <v>53</v>
      </c>
      <c r="E18" s="4" t="s">
        <v>99</v>
      </c>
      <c r="F18" s="4" t="s">
        <v>100</v>
      </c>
      <c r="G18" s="4" t="s">
        <v>20</v>
      </c>
      <c r="H18" s="4" t="s">
        <v>101</v>
      </c>
      <c r="I18" s="4" t="s">
        <v>102</v>
      </c>
      <c r="J18" s="4" t="s">
        <v>103</v>
      </c>
      <c r="K18" s="4" t="s">
        <v>104</v>
      </c>
      <c r="L18" s="4" t="s">
        <v>105</v>
      </c>
      <c r="M18" s="4" t="s">
        <v>197</v>
      </c>
    </row>
    <row r="19" spans="1:13" ht="35.25" customHeight="1">
      <c r="A19" s="4">
        <f t="shared" si="0"/>
        <v>15</v>
      </c>
      <c r="B19" s="3">
        <v>46013.635266203702</v>
      </c>
      <c r="C19" s="4" t="s">
        <v>107</v>
      </c>
      <c r="D19" s="4"/>
      <c r="E19" s="4" t="s">
        <v>108</v>
      </c>
      <c r="F19" s="4" t="s">
        <v>109</v>
      </c>
      <c r="G19" s="4" t="s">
        <v>20</v>
      </c>
      <c r="H19" s="4" t="s">
        <v>110</v>
      </c>
      <c r="I19" s="4" t="s">
        <v>31</v>
      </c>
      <c r="J19" s="4" t="s">
        <v>103</v>
      </c>
      <c r="K19" s="4" t="s">
        <v>111</v>
      </c>
      <c r="L19" s="4" t="s">
        <v>112</v>
      </c>
      <c r="M19" s="4" t="s">
        <v>198</v>
      </c>
    </row>
    <row r="20" spans="1:13" ht="35.25" customHeight="1">
      <c r="A20" s="4">
        <f t="shared" si="0"/>
        <v>16</v>
      </c>
      <c r="B20" s="3">
        <v>46011.52553240741</v>
      </c>
      <c r="C20" s="4" t="s">
        <v>113</v>
      </c>
      <c r="D20" s="4" t="s">
        <v>27</v>
      </c>
      <c r="E20" s="4" t="s">
        <v>114</v>
      </c>
      <c r="F20" s="4" t="s">
        <v>115</v>
      </c>
      <c r="G20" s="4" t="s">
        <v>20</v>
      </c>
      <c r="H20" s="4" t="s">
        <v>116</v>
      </c>
      <c r="I20" s="4" t="s">
        <v>117</v>
      </c>
      <c r="J20" s="4" t="s">
        <v>38</v>
      </c>
      <c r="K20" s="4" t="s">
        <v>118</v>
      </c>
      <c r="L20" s="4" t="s">
        <v>119</v>
      </c>
      <c r="M20" s="4" t="s">
        <v>27</v>
      </c>
    </row>
    <row r="21" spans="1:13" ht="35.25" customHeight="1">
      <c r="A21" s="4">
        <f t="shared" si="0"/>
        <v>17</v>
      </c>
      <c r="B21" s="3">
        <v>45960.569027777776</v>
      </c>
      <c r="C21" s="4" t="s">
        <v>120</v>
      </c>
      <c r="D21" s="4" t="s">
        <v>53</v>
      </c>
      <c r="E21" s="4" t="s">
        <v>121</v>
      </c>
      <c r="F21" s="4" t="s">
        <v>122</v>
      </c>
      <c r="G21" s="4" t="s">
        <v>20</v>
      </c>
      <c r="H21" s="4" t="s">
        <v>123</v>
      </c>
      <c r="I21" s="4" t="s">
        <v>124</v>
      </c>
      <c r="J21" s="4" t="s">
        <v>81</v>
      </c>
      <c r="K21" s="4" t="s">
        <v>125</v>
      </c>
      <c r="L21" s="4" t="s">
        <v>126</v>
      </c>
      <c r="M21" s="4" t="s">
        <v>197</v>
      </c>
    </row>
    <row r="22" spans="1:13" ht="35.25" customHeight="1">
      <c r="A22" s="4">
        <f t="shared" si="0"/>
        <v>18</v>
      </c>
      <c r="B22" s="3">
        <v>46013.657592592594</v>
      </c>
      <c r="C22" s="4" t="s">
        <v>127</v>
      </c>
      <c r="D22" s="4"/>
      <c r="E22" s="4" t="s">
        <v>128</v>
      </c>
      <c r="F22" s="4" t="s">
        <v>129</v>
      </c>
      <c r="G22" s="4" t="s">
        <v>20</v>
      </c>
      <c r="H22" s="4" t="s">
        <v>130</v>
      </c>
      <c r="I22" s="4" t="s">
        <v>31</v>
      </c>
      <c r="J22" s="4" t="s">
        <v>103</v>
      </c>
      <c r="K22" s="4" t="s">
        <v>131</v>
      </c>
      <c r="L22" s="4" t="s">
        <v>132</v>
      </c>
      <c r="M22" s="4" t="s">
        <v>196</v>
      </c>
    </row>
    <row r="23" spans="1:13" ht="35.25" customHeight="1">
      <c r="A23" s="4">
        <f t="shared" si="0"/>
        <v>19</v>
      </c>
      <c r="B23" s="3">
        <v>46013.472256944442</v>
      </c>
      <c r="C23" s="4" t="s">
        <v>133</v>
      </c>
      <c r="D23" s="4"/>
      <c r="E23" s="4" t="s">
        <v>134</v>
      </c>
      <c r="F23" s="4" t="s">
        <v>135</v>
      </c>
      <c r="G23" s="4" t="s">
        <v>79</v>
      </c>
      <c r="H23" s="4" t="s">
        <v>136</v>
      </c>
      <c r="I23" s="4" t="s">
        <v>22</v>
      </c>
      <c r="J23" s="4" t="s">
        <v>23</v>
      </c>
      <c r="K23" s="4" t="s">
        <v>137</v>
      </c>
      <c r="L23" s="4" t="s">
        <v>138</v>
      </c>
      <c r="M23" s="4" t="s">
        <v>203</v>
      </c>
    </row>
    <row r="24" spans="1:13" ht="35.25" customHeight="1">
      <c r="A24" s="4">
        <f t="shared" si="0"/>
        <v>20</v>
      </c>
      <c r="B24" s="3">
        <v>46007.459652777776</v>
      </c>
      <c r="C24" s="4" t="s">
        <v>139</v>
      </c>
      <c r="D24" s="4"/>
      <c r="E24" s="4" t="s">
        <v>140</v>
      </c>
      <c r="F24" s="4" t="s">
        <v>135</v>
      </c>
      <c r="G24" s="4" t="s">
        <v>79</v>
      </c>
      <c r="H24" s="4" t="s">
        <v>141</v>
      </c>
      <c r="I24" s="4" t="s">
        <v>22</v>
      </c>
      <c r="J24" s="4" t="s">
        <v>103</v>
      </c>
      <c r="K24" s="4" t="s">
        <v>142</v>
      </c>
      <c r="L24" s="4" t="s">
        <v>143</v>
      </c>
      <c r="M24" s="4" t="s">
        <v>196</v>
      </c>
    </row>
    <row r="25" spans="1:13" ht="35.25" customHeight="1">
      <c r="A25" s="4">
        <f t="shared" si="0"/>
        <v>21</v>
      </c>
      <c r="B25" s="3">
        <v>46007.490706018521</v>
      </c>
      <c r="C25" s="4" t="s">
        <v>144</v>
      </c>
      <c r="D25" s="4"/>
      <c r="E25" s="4" t="s">
        <v>145</v>
      </c>
      <c r="F25" s="4" t="s">
        <v>135</v>
      </c>
      <c r="G25" s="4" t="s">
        <v>79</v>
      </c>
      <c r="H25" s="4" t="s">
        <v>146</v>
      </c>
      <c r="I25" s="4" t="s">
        <v>22</v>
      </c>
      <c r="J25" s="4" t="s">
        <v>103</v>
      </c>
      <c r="K25" s="4" t="s">
        <v>142</v>
      </c>
      <c r="L25" s="4" t="s">
        <v>143</v>
      </c>
      <c r="M25" s="4" t="s">
        <v>196</v>
      </c>
    </row>
    <row r="26" spans="1:13" ht="35.25" customHeight="1">
      <c r="A26" s="4">
        <f t="shared" si="0"/>
        <v>22</v>
      </c>
      <c r="B26" s="3">
        <v>46012.66605324074</v>
      </c>
      <c r="C26" s="4" t="s">
        <v>147</v>
      </c>
      <c r="D26" s="4"/>
      <c r="E26" s="4" t="s">
        <v>148</v>
      </c>
      <c r="F26" s="4" t="s">
        <v>149</v>
      </c>
      <c r="G26" s="4" t="s">
        <v>20</v>
      </c>
      <c r="H26" s="4" t="s">
        <v>150</v>
      </c>
      <c r="I26" s="4" t="s">
        <v>31</v>
      </c>
      <c r="J26" s="4" t="s">
        <v>103</v>
      </c>
      <c r="K26" s="4" t="s">
        <v>151</v>
      </c>
      <c r="L26" s="4" t="s">
        <v>152</v>
      </c>
      <c r="M26" s="4" t="s">
        <v>201</v>
      </c>
    </row>
    <row r="27" spans="1:13" ht="35.25" customHeight="1">
      <c r="A27" s="4">
        <f t="shared" si="0"/>
        <v>23</v>
      </c>
      <c r="B27" s="3">
        <v>45982.62771990741</v>
      </c>
      <c r="C27" s="4" t="s">
        <v>153</v>
      </c>
      <c r="D27" s="4" t="s">
        <v>53</v>
      </c>
      <c r="E27" s="4" t="s">
        <v>154</v>
      </c>
      <c r="F27" s="4" t="s">
        <v>155</v>
      </c>
      <c r="G27" s="4" t="s">
        <v>20</v>
      </c>
      <c r="H27" s="4" t="s">
        <v>156</v>
      </c>
      <c r="I27" s="4" t="s">
        <v>157</v>
      </c>
      <c r="J27" s="4" t="s">
        <v>158</v>
      </c>
      <c r="K27" s="4" t="s">
        <v>159</v>
      </c>
      <c r="L27" s="4" t="s">
        <v>160</v>
      </c>
      <c r="M27" s="4" t="s">
        <v>199</v>
      </c>
    </row>
    <row r="28" spans="1:13" ht="35.25" customHeight="1">
      <c r="A28" s="4">
        <f t="shared" si="0"/>
        <v>24</v>
      </c>
      <c r="B28" s="3">
        <v>46013.663090277776</v>
      </c>
      <c r="C28" s="4" t="s">
        <v>161</v>
      </c>
      <c r="D28" s="4"/>
      <c r="E28" s="4" t="s">
        <v>162</v>
      </c>
      <c r="F28" s="4" t="s">
        <v>163</v>
      </c>
      <c r="G28" s="4" t="s">
        <v>20</v>
      </c>
      <c r="H28" s="4" t="s">
        <v>164</v>
      </c>
      <c r="I28" s="4" t="s">
        <v>165</v>
      </c>
      <c r="J28" s="4" t="s">
        <v>103</v>
      </c>
      <c r="K28" s="4" t="s">
        <v>166</v>
      </c>
      <c r="L28" s="4" t="s">
        <v>167</v>
      </c>
      <c r="M28" s="4" t="s">
        <v>202</v>
      </c>
    </row>
    <row r="29" spans="1:13" ht="35.25" customHeight="1">
      <c r="A29" s="4">
        <f t="shared" si="0"/>
        <v>25</v>
      </c>
      <c r="B29" s="3">
        <v>46013.656793981485</v>
      </c>
      <c r="C29" s="4" t="s">
        <v>168</v>
      </c>
      <c r="D29" s="4"/>
      <c r="E29" s="4" t="s">
        <v>169</v>
      </c>
      <c r="F29" s="4" t="s">
        <v>170</v>
      </c>
      <c r="G29" s="4" t="s">
        <v>20</v>
      </c>
      <c r="H29" s="4" t="s">
        <v>171</v>
      </c>
      <c r="I29" s="4" t="s">
        <v>22</v>
      </c>
      <c r="J29" s="4" t="s">
        <v>38</v>
      </c>
      <c r="K29" s="4" t="s">
        <v>172</v>
      </c>
      <c r="L29" s="4" t="s">
        <v>173</v>
      </c>
      <c r="M29" s="4" t="s">
        <v>205</v>
      </c>
    </row>
    <row r="30" spans="1:13" ht="35.25" customHeight="1">
      <c r="A30" s="4">
        <f t="shared" si="0"/>
        <v>26</v>
      </c>
      <c r="B30" s="3">
        <v>46013.5940625</v>
      </c>
      <c r="C30" s="4" t="s">
        <v>174</v>
      </c>
      <c r="D30" s="4"/>
      <c r="E30" s="4" t="s">
        <v>175</v>
      </c>
      <c r="F30" s="4" t="s">
        <v>176</v>
      </c>
      <c r="G30" s="4" t="s">
        <v>20</v>
      </c>
      <c r="H30" s="4" t="s">
        <v>177</v>
      </c>
      <c r="I30" s="4" t="s">
        <v>23</v>
      </c>
      <c r="J30" s="4" t="s">
        <v>57</v>
      </c>
      <c r="K30" s="4" t="s">
        <v>178</v>
      </c>
      <c r="L30" s="4" t="s">
        <v>179</v>
      </c>
      <c r="M30" s="4" t="s">
        <v>200</v>
      </c>
    </row>
    <row r="31" spans="1:13" ht="35.25" customHeight="1">
      <c r="A31" s="4">
        <f t="shared" si="0"/>
        <v>27</v>
      </c>
      <c r="B31" s="3">
        <v>46013.595995370371</v>
      </c>
      <c r="C31" s="4" t="s">
        <v>180</v>
      </c>
      <c r="D31" s="4"/>
      <c r="E31" s="4" t="s">
        <v>181</v>
      </c>
      <c r="F31" s="4" t="s">
        <v>176</v>
      </c>
      <c r="G31" s="4" t="s">
        <v>20</v>
      </c>
      <c r="H31" s="4" t="s">
        <v>182</v>
      </c>
      <c r="I31" s="4" t="s">
        <v>23</v>
      </c>
      <c r="J31" s="4" t="s">
        <v>57</v>
      </c>
      <c r="K31" s="4" t="s">
        <v>178</v>
      </c>
      <c r="L31" s="4" t="s">
        <v>179</v>
      </c>
      <c r="M31" s="4" t="s">
        <v>198</v>
      </c>
    </row>
    <row r="32" spans="1:13" ht="35.25" customHeight="1">
      <c r="A32" s="4">
        <f t="shared" si="0"/>
        <v>28</v>
      </c>
      <c r="B32" s="3">
        <v>46003.541168981479</v>
      </c>
      <c r="C32" s="4" t="s">
        <v>188</v>
      </c>
      <c r="D32" s="4" t="s">
        <v>27</v>
      </c>
      <c r="E32" s="4" t="s">
        <v>183</v>
      </c>
      <c r="F32" s="4" t="s">
        <v>176</v>
      </c>
      <c r="G32" s="4" t="s">
        <v>20</v>
      </c>
      <c r="H32" s="4" t="s">
        <v>184</v>
      </c>
      <c r="I32" s="4" t="s">
        <v>185</v>
      </c>
      <c r="J32" s="4" t="s">
        <v>186</v>
      </c>
      <c r="K32" s="4" t="s">
        <v>187</v>
      </c>
      <c r="L32" s="4" t="s">
        <v>179</v>
      </c>
      <c r="M32" s="4" t="s">
        <v>27</v>
      </c>
    </row>
    <row r="33" spans="1:13" ht="35.25" customHeight="1">
      <c r="A33" s="4">
        <f t="shared" ref="A33:A39" si="1">+A32+1</f>
        <v>29</v>
      </c>
      <c r="B33" s="3">
        <v>46004.649699074071</v>
      </c>
      <c r="C33" s="4" t="s">
        <v>189</v>
      </c>
      <c r="D33" s="4" t="s">
        <v>27</v>
      </c>
      <c r="E33" s="4" t="s">
        <v>190</v>
      </c>
      <c r="F33" s="4" t="s">
        <v>191</v>
      </c>
      <c r="G33" s="4" t="s">
        <v>20</v>
      </c>
      <c r="H33" s="4" t="s">
        <v>192</v>
      </c>
      <c r="I33" s="4" t="s">
        <v>193</v>
      </c>
      <c r="J33" s="4" t="s">
        <v>68</v>
      </c>
      <c r="K33" s="4" t="s">
        <v>194</v>
      </c>
      <c r="L33" s="4" t="s">
        <v>195</v>
      </c>
      <c r="M33" s="4" t="s">
        <v>27</v>
      </c>
    </row>
    <row r="34" spans="1:13" ht="78.75" customHeight="1">
      <c r="A34" s="4">
        <f t="shared" si="1"/>
        <v>30</v>
      </c>
      <c r="B34" s="3"/>
      <c r="C34" s="6">
        <v>275204</v>
      </c>
      <c r="D34" s="4"/>
      <c r="E34" s="6" t="s">
        <v>206</v>
      </c>
      <c r="F34" s="4"/>
      <c r="G34" s="10" t="s">
        <v>223</v>
      </c>
      <c r="H34" s="7" t="s">
        <v>212</v>
      </c>
      <c r="I34" s="4" t="s">
        <v>22</v>
      </c>
      <c r="J34" s="4" t="s">
        <v>23</v>
      </c>
      <c r="K34" s="4"/>
      <c r="L34" s="4"/>
      <c r="M34" s="8" t="s">
        <v>215</v>
      </c>
    </row>
    <row r="35" spans="1:13" ht="78.75" customHeight="1">
      <c r="A35" s="4">
        <f t="shared" si="1"/>
        <v>31</v>
      </c>
      <c r="B35" s="3"/>
      <c r="C35" s="6">
        <v>275297</v>
      </c>
      <c r="D35" s="4"/>
      <c r="E35" s="6" t="s">
        <v>207</v>
      </c>
      <c r="F35" s="4"/>
      <c r="G35" s="10" t="s">
        <v>223</v>
      </c>
      <c r="H35" s="7" t="s">
        <v>212</v>
      </c>
      <c r="I35" s="9" t="s">
        <v>31</v>
      </c>
      <c r="J35" s="4" t="s">
        <v>103</v>
      </c>
      <c r="K35" s="4"/>
      <c r="L35" s="4"/>
      <c r="M35" s="8" t="s">
        <v>216</v>
      </c>
    </row>
    <row r="36" spans="1:13" ht="67.5" customHeight="1">
      <c r="A36" s="4">
        <f t="shared" si="1"/>
        <v>32</v>
      </c>
      <c r="B36" s="3"/>
      <c r="C36" s="6">
        <v>275298</v>
      </c>
      <c r="D36" s="4"/>
      <c r="E36" s="6" t="s">
        <v>208</v>
      </c>
      <c r="F36" s="4"/>
      <c r="G36" s="10" t="s">
        <v>223</v>
      </c>
      <c r="H36" s="7" t="s">
        <v>212</v>
      </c>
      <c r="I36" s="9" t="s">
        <v>221</v>
      </c>
      <c r="J36" s="9" t="s">
        <v>23</v>
      </c>
      <c r="K36" s="4"/>
      <c r="L36" s="4"/>
      <c r="M36" s="8" t="s">
        <v>217</v>
      </c>
    </row>
    <row r="37" spans="1:13" ht="62.25" customHeight="1">
      <c r="A37" s="4">
        <f t="shared" si="1"/>
        <v>33</v>
      </c>
      <c r="B37" s="3"/>
      <c r="C37" s="6">
        <v>275265</v>
      </c>
      <c r="D37" s="4"/>
      <c r="E37" s="6" t="s">
        <v>209</v>
      </c>
      <c r="F37" s="4"/>
      <c r="G37" s="10" t="s">
        <v>223</v>
      </c>
      <c r="H37" s="7" t="s">
        <v>212</v>
      </c>
      <c r="I37" s="4" t="s">
        <v>22</v>
      </c>
      <c r="J37" s="4" t="s">
        <v>23</v>
      </c>
      <c r="K37" s="4"/>
      <c r="L37" s="4"/>
      <c r="M37" s="8" t="s">
        <v>218</v>
      </c>
    </row>
    <row r="38" spans="1:13" ht="69.75" customHeight="1">
      <c r="A38" s="4">
        <f t="shared" si="1"/>
        <v>34</v>
      </c>
      <c r="B38" s="3"/>
      <c r="C38" s="6">
        <v>283370</v>
      </c>
      <c r="D38" s="4"/>
      <c r="E38" s="6" t="s">
        <v>210</v>
      </c>
      <c r="F38" s="4"/>
      <c r="G38" s="10" t="s">
        <v>223</v>
      </c>
      <c r="H38" s="7" t="s">
        <v>213</v>
      </c>
      <c r="I38" s="9" t="s">
        <v>22</v>
      </c>
      <c r="J38" s="9" t="s">
        <v>222</v>
      </c>
      <c r="K38" s="4"/>
      <c r="L38" s="4"/>
      <c r="M38" s="8" t="s">
        <v>219</v>
      </c>
    </row>
    <row r="39" spans="1:13" ht="76.5" customHeight="1">
      <c r="A39" s="4">
        <f t="shared" si="1"/>
        <v>35</v>
      </c>
      <c r="B39" s="3"/>
      <c r="C39" s="6">
        <v>283372</v>
      </c>
      <c r="D39" s="4"/>
      <c r="E39" s="6" t="s">
        <v>211</v>
      </c>
      <c r="F39" s="4"/>
      <c r="G39" s="10" t="s">
        <v>223</v>
      </c>
      <c r="H39" s="7" t="s">
        <v>214</v>
      </c>
      <c r="I39" s="9" t="s">
        <v>22</v>
      </c>
      <c r="J39" s="9" t="s">
        <v>222</v>
      </c>
      <c r="K39" s="4"/>
      <c r="L39" s="4"/>
      <c r="M39" s="8" t="s">
        <v>220</v>
      </c>
    </row>
    <row r="40" spans="1:13" ht="18.75" customHeight="1">
      <c r="A40" s="4"/>
      <c r="B40" s="3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</row>
    <row r="41" spans="1:13">
      <c r="A41" s="4"/>
    </row>
    <row r="42" spans="1:13">
      <c r="A42" s="4"/>
    </row>
    <row r="43" spans="1:13">
      <c r="A43" s="4"/>
    </row>
    <row r="44" spans="1:13">
      <c r="A44" s="4"/>
    </row>
    <row r="45" spans="1:13">
      <c r="A45" s="4"/>
    </row>
    <row r="46" spans="1:13">
      <c r="A46" s="4"/>
    </row>
    <row r="47" spans="1:13">
      <c r="A47" s="4"/>
    </row>
    <row r="48" spans="1:13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</sheetData>
  <mergeCells count="1">
    <mergeCell ref="B1:M1"/>
  </mergeCells>
  <pageMargins left="3.937007874015748E-2" right="3.937007874015748E-2" top="3.937007874015748E-2" bottom="3.937007874015748E-2" header="3.937007874015748E-2" footer="3.937007874015748E-2"/>
  <pageSetup paperSize="9" scale="74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2025-12-22T13:44:39Z</cp:lastPrinted>
  <dcterms:created xsi:type="dcterms:W3CDTF">2025-12-22T13:08:30Z</dcterms:created>
  <dcterms:modified xsi:type="dcterms:W3CDTF">2025-12-22T13:50:37Z</dcterms:modified>
</cp:coreProperties>
</file>
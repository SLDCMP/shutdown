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7" i="1" l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<sst xmlns="http://schemas.openxmlformats.org/spreadsheetml/2006/main" count="297" uniqueCount="206">
  <si>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</si>
  <si>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</si>
  <si>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</si>
  <si>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</si>
  <si>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</si>
  <si>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</si>
  <si>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</si>
  <si>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</si>
  <si>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</si>
  <si>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</si>
  <si>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</si>
  <si>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</si>
  <si>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</si>
  <si>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</si>
  <si>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</si>
  <si>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</si>
  <si>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</si>
  <si>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132KV_132 KV Amarpatan Maihar 2nd</t>
  </si>
  <si>
    <t>132KV_AMARPATAN</t>
  </si>
  <si>
    <t>NON-OCCM-MP</t>
  </si>
  <si>
    <t>R phase line isolator hot point attend</t>
  </si>
  <si>
    <t>19-01-2026 10:30:00</t>
  </si>
  <si>
    <t>19-01-2026 12:30:00</t>
  </si>
  <si>
    <t>Arun Kumar</t>
  </si>
  <si>
    <t>9131207339</t>
  </si>
  <si>
    <t>MR2601/0288</t>
  </si>
  <si>
    <t>MR2601/0284</t>
  </si>
  <si>
    <t>400KV_400 KV ASHTA-UJJAIN CKT.NO.1ST</t>
  </si>
  <si>
    <t>400KV_ASHTA4</t>
  </si>
  <si>
    <t>DPR RELAY TESTING WORK</t>
  </si>
  <si>
    <t>19-01-2026 10:00:00</t>
  </si>
  <si>
    <t>19-01-2026 17:00:00</t>
  </si>
  <si>
    <t>JITENDRA LOHANA</t>
  </si>
  <si>
    <t>9425804978</t>
  </si>
  <si>
    <t>Daily</t>
  </si>
  <si>
    <t>220KV_BHOPAL</t>
  </si>
  <si>
    <t>05-02-2026 18:00:00</t>
  </si>
  <si>
    <t>Ankit Mehroliya</t>
  </si>
  <si>
    <t>9425804506</t>
  </si>
  <si>
    <t>MR2601/0167</t>
  </si>
  <si>
    <t>132KV_132 kV Bhopal-Amrawart Khurd</t>
  </si>
  <si>
    <t>HTLS conductor replacement work</t>
  </si>
  <si>
    <t>12-01-2026 09:00:00</t>
  </si>
  <si>
    <t>MR2601/0281</t>
  </si>
  <si>
    <t>220KV_220 KV Bus No 2</t>
  </si>
  <si>
    <t>NON-OCCM-WR</t>
  </si>
  <si>
    <t>For bus extension work for additional 200 MVA Xmer</t>
  </si>
  <si>
    <t>19-01-2026 08:00:00</t>
  </si>
  <si>
    <t>A. K. Jain</t>
  </si>
  <si>
    <t>9425806899</t>
  </si>
  <si>
    <t>MR2601/0280</t>
  </si>
  <si>
    <t>220KV_220 kV Interconnector 1</t>
  </si>
  <si>
    <t>For shifting of feeder in other bay</t>
  </si>
  <si>
    <t>MR2601/0282</t>
  </si>
  <si>
    <t>220KV_Bus Bar Protection</t>
  </si>
  <si>
    <t>For shifted in new bay</t>
  </si>
  <si>
    <t>MR2601/0279</t>
  </si>
  <si>
    <t>220KV_220 KV Bina-BORL line Ckt-2</t>
  </si>
  <si>
    <t>400KV_BINA4</t>
  </si>
  <si>
    <t>Work at BORL end</t>
  </si>
  <si>
    <t>19-01-2026 09:00:00</t>
  </si>
  <si>
    <t>19-01-2026 18:00:00</t>
  </si>
  <si>
    <t>Dilip Singh Walkey</t>
  </si>
  <si>
    <t>9425804578</t>
  </si>
  <si>
    <t>MR2601/0273</t>
  </si>
  <si>
    <t>220KV_220 KV Chichli-Udaypura Line Ckt-I</t>
  </si>
  <si>
    <t>220KV_CHICHLI</t>
  </si>
  <si>
    <t>Post â¿¿ Monsoon Maintenance work - Flashover disc r</t>
  </si>
  <si>
    <t>Ashish Kumar</t>
  </si>
  <si>
    <t>9425805935</t>
  </si>
  <si>
    <t>MR2601/0266</t>
  </si>
  <si>
    <t>Continuous</t>
  </si>
  <si>
    <t>132KV_132KV HATTA - BIJAWAR LINE</t>
  </si>
  <si>
    <t>132KV_HATTA</t>
  </si>
  <si>
    <t>REPLACE ACSR PANTHER CONDUCTOR WITH HTLS CONDUCTOR</t>
  </si>
  <si>
    <t>14-04-2026 18:00:00</t>
  </si>
  <si>
    <t>M.M BAIG</t>
  </si>
  <si>
    <t>9425805067</t>
  </si>
  <si>
    <t>MR2601/0285</t>
  </si>
  <si>
    <t>132KV_132 KV CHAMBAL-SATYASAI LINE</t>
  </si>
  <si>
    <t>132KV_INDORE CHAMBAL</t>
  </si>
  <si>
    <t>CONDUCTOR REPLACEMENT  WORK AND OTHER MAINTANANCE</t>
  </si>
  <si>
    <t>19-01-2026 07:00:00</t>
  </si>
  <si>
    <t>19-01-2026 17:30:00</t>
  </si>
  <si>
    <t>RAVINDRA PATIL</t>
  </si>
  <si>
    <t>9425801598</t>
  </si>
  <si>
    <t>MR2601/0268</t>
  </si>
  <si>
    <t>132KV_132/33KV 40 MVA IMP-I</t>
  </si>
  <si>
    <t>132KV_KARAPGAON</t>
  </si>
  <si>
    <t>Tan delta measurement of bushing</t>
  </si>
  <si>
    <t>19-01-2026 11:00:00</t>
  </si>
  <si>
    <t>19-01-2026 15:00:00</t>
  </si>
  <si>
    <t>Ranjit Kumar Kori</t>
  </si>
  <si>
    <t>9452806701</t>
  </si>
  <si>
    <t>400KV_KATNI4</t>
  </si>
  <si>
    <t>OCCM-MP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</si>
  <si>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</si>
  <si>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</si>
  <si>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</si>
  <si>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</si>
  <si>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</si>
  <si>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</si>
  <si>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</si>
  <si>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MR2601/0291</t>
  </si>
  <si>
    <t>132KV_132 kv katni kymore line ckt 1</t>
  </si>
  <si>
    <t>line maintenance work .</t>
  </si>
  <si>
    <t>MR2601/0222</t>
  </si>
  <si>
    <t>400KV_500 MVA Transformer</t>
  </si>
  <si>
    <t>400KV_MANDSOUR4</t>
  </si>
  <si>
    <t>wiring check of 220 KV Isolator interlocking</t>
  </si>
  <si>
    <t>20-01-2026 18:00:00</t>
  </si>
  <si>
    <t>J.P. Parmar</t>
  </si>
  <si>
    <t>9425806919</t>
  </si>
  <si>
    <t>MR2601/0283</t>
  </si>
  <si>
    <t>132KV_40 MVA XMER BBL II</t>
  </si>
  <si>
    <t>132KV_MANGAWAN</t>
  </si>
  <si>
    <t>Oil topping work</t>
  </si>
  <si>
    <t>19-01-2026 14:00:00</t>
  </si>
  <si>
    <t>Kanishka singh</t>
  </si>
  <si>
    <t>9425804656</t>
  </si>
  <si>
    <t>MR2601/0197</t>
  </si>
  <si>
    <t>20MVA_132/33KV_VOLTAMP_X'mer_2</t>
  </si>
  <si>
    <t>132KV_MORWA</t>
  </si>
  <si>
    <t>Main tank oil filtration &amp; OLTC Oil Replacement w</t>
  </si>
  <si>
    <t>15-01-2026 10:00:00</t>
  </si>
  <si>
    <t>25-01-2026 17:00:00</t>
  </si>
  <si>
    <t>S.B.Singh</t>
  </si>
  <si>
    <t>7000431053</t>
  </si>
  <si>
    <t>MR2601/0286</t>
  </si>
  <si>
    <t>132KV_40 MVA BHEL X MER</t>
  </si>
  <si>
    <t>220KV_PANAGAR</t>
  </si>
  <si>
    <t>hot point attend</t>
  </si>
  <si>
    <t>H.L.KOSTHA</t>
  </si>
  <si>
    <t>7587951105</t>
  </si>
  <si>
    <t>MR2601/0272</t>
  </si>
  <si>
    <t>132KV_132 KV Pipariya-Bareli I</t>
  </si>
  <si>
    <t>220KV_PIPARIYA</t>
  </si>
  <si>
    <t>Resagging work loc.no.  79-9</t>
  </si>
  <si>
    <t>23-01-2026 18:00:00</t>
  </si>
  <si>
    <t>Ashutosh Rai</t>
  </si>
  <si>
    <t>9425806902</t>
  </si>
  <si>
    <t>MR2601/0205</t>
  </si>
  <si>
    <t>400KV_400 KV SSTPH-Pithampur ckt 2</t>
  </si>
  <si>
    <t>400KV_PITHAMPUR4</t>
  </si>
  <si>
    <t>Tower ReStrengthening work on cross arm</t>
  </si>
  <si>
    <t>13-01-2026 08:00:00</t>
  </si>
  <si>
    <t>21-01-2026 19:00:00</t>
  </si>
  <si>
    <t>Naresh Pandre</t>
  </si>
  <si>
    <t>9425806905</t>
  </si>
  <si>
    <t>MR2601/0204</t>
  </si>
  <si>
    <t>400KV_400 KV SSTPH-Pithampur ckt 1</t>
  </si>
  <si>
    <t>14-01-2026 08:00:00</t>
  </si>
  <si>
    <t>MR2601/0275</t>
  </si>
  <si>
    <t>132KV_132kv Sabalgarh Sheopur Ckt IInd Tap to Khandarndar</t>
  </si>
  <si>
    <t>220KV_SABALGARH</t>
  </si>
  <si>
    <t>Line Maintenance work</t>
  </si>
  <si>
    <t>Suraj Pawar</t>
  </si>
  <si>
    <t>9425814079</t>
  </si>
  <si>
    <t>MR2601/0293</t>
  </si>
  <si>
    <t>400KV_UJJAIN ASHTA CKT 1</t>
  </si>
  <si>
    <t>400KV_UJJAIN4</t>
  </si>
  <si>
    <t>LINE MAINTENNACE</t>
  </si>
  <si>
    <t>K SACHINDRA</t>
  </si>
  <si>
    <t>9425805295</t>
  </si>
  <si>
    <t>MR2601/0287</t>
  </si>
  <si>
    <t>400KV_400 kV Ujjain-Ashta CKT-1st</t>
  </si>
  <si>
    <t>Opportunity SD for Bay Maint. work</t>
  </si>
  <si>
    <t>19-01-2026 16:00:00</t>
  </si>
  <si>
    <t>Santosh Chavrasia</t>
  </si>
  <si>
    <t>9425804677</t>
  </si>
  <si>
    <t>ok</t>
  </si>
  <si>
    <t>sub ld</t>
  </si>
  <si>
    <t>ok, through sub ld</t>
  </si>
  <si>
    <t>ok, shall be given after 12hrs</t>
  </si>
  <si>
    <t>ABT consent required for any metering work</t>
  </si>
  <si>
    <t>deferred</t>
  </si>
  <si>
    <t>o&amp;m consent required</t>
  </si>
  <si>
    <t>not approved by WRLDC</t>
  </si>
  <si>
    <t>as opportunity s/d</t>
  </si>
  <si>
    <t>proposal shall be forwarded through Higher offices</t>
  </si>
  <si>
    <t>ok, through sub ld, after s/d ICT to be normalised in the present condition</t>
  </si>
  <si>
    <t>REWA - 220KV - BUS 2</t>
  </si>
  <si>
    <t>400KV-KORBA-NTPC-BIRSINGPUR-1</t>
  </si>
  <si>
    <t>400KV/220KV INDORE-ICT-1</t>
  </si>
  <si>
    <t>400KV-BADNAWAR-RAJGARH-2</t>
  </si>
  <si>
    <t>220KV-SHUJALPUR-SHUJALPUR-MP-2</t>
  </si>
  <si>
    <t>220KV-PANDURNA-KALMESHWAR-1</t>
  </si>
  <si>
    <t>400KV/220KV SEONI-PG-ICT-2</t>
  </si>
  <si>
    <t>POWERGRID-WR2 (PGCIL)</t>
  </si>
  <si>
    <t>POWERGRID-WR1 (PGCIL)</t>
  </si>
  <si>
    <t>POWERGRID-WR2 (PGCIL),MADHYA PRADESH,GUJARAT</t>
  </si>
  <si>
    <t>MADHYA PRADESH</t>
  </si>
  <si>
    <t>MADHYA PRADESH,MAHARASHTRA</t>
  </si>
  <si>
    <t>AMP WORK</t>
  </si>
  <si>
    <t>AMP Work of of Line terminal equipment &amp; Associated LR and its BAY, Non auto mode of ckt 2 is required . Dia to be kept open at both ends.</t>
  </si>
  <si>
    <t>ICT AMP WORK , Dia to be kept open at both sides.</t>
  </si>
  <si>
    <t>FOR LINE MAINTENANCE WORK i.e. CLEANING OF DISC INSULATORS DURING LINE PATROLLING , REPLACEMENT OF FLASHOVERED DISC INSULATORS, TREE BRANCH CUTTING ETC AT VARIOUS TOWER LOCATIONS</t>
  </si>
  <si>
    <t>FOR LINE DIFFERENTIAL RELAY INSTALLATION  WORK.</t>
  </si>
  <si>
    <t>For AMP</t>
  </si>
  <si>
    <t xml:space="preserve">ok, care to be taken., All elements will be in service with Bus-1. In case N-1 all elements will out. All connected RE Generators to be informed. utmost care to be taken no other elements affected. 
</t>
  </si>
  <si>
    <t>OK., All other lines at Korba(NTPC) will be in service with A/R enabled (except 400KV Korba(N)-Korba(W)). Consent from SLDC MP/CG is required. No outage of ICTs at Jabalpur. Load will be managed by SLDC MP/CG. SLDC MP/CG/NTPC Korba to be informed.</t>
  </si>
  <si>
    <t xml:space="preserve">REAL TIME ., SLDC MP consent is required. ICT-2  to be in service with complete dia. SLDC MP to be informed. Load to be managed by SLDC MP. 
</t>
  </si>
  <si>
    <t xml:space="preserve">REAL TIME ., Ckt-1 to be in service. WR2 to be informed
</t>
  </si>
  <si>
    <t xml:space="preserve">REAL TIME ., All other lines at Rajgarh-MP to be in service with AR enabled. No other element shall be affected. Load to be managed by SLDC MP
</t>
  </si>
  <si>
    <t xml:space="preserve">REAL TIME ., SLDC MH consent is required. Load to be managed by SLDC MP/MH
</t>
  </si>
  <si>
    <r>
      <rPr>
        <b/>
        <sz val="12"/>
        <rFont val="Calibri"/>
        <family val="2"/>
        <scheme val="minor"/>
      </rPr>
      <t>deferred due to high loading.,</t>
    </r>
    <r>
      <rPr>
        <sz val="11"/>
        <rFont val="Calibri"/>
        <family val="2"/>
        <scheme val="minor"/>
      </rPr>
      <t xml:space="preserve"> ICT-1 to be in service with complete dia. SLDC MP consent is required in view of load management. 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</si>
</sst>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/>
    </xf>
    <xf numFmtId="0" fontId="0" fillId="3" borderId="0" xfId="0" applyFill="1"/>
    <xf numFmtId="0" fontId="5" fillId="3" borderId="5" xfId="0" applyFont="1" applyFill="1" applyBorder="1" applyAlignment="1">
      <alignment horizontal="left" vertical="center" wrapText="1"/>
    </xf>
    <xf numFmtId="165" fontId="4" fillId="3" borderId="4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3" borderId="5" xfId="0" applyFill="1" applyBorder="1"/>
    <xf numFmtId="0" fontId="4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workbookViewId="0">
      <pane xSplit="5" ySplit="1" topLeftCell="I5" activePane="bottomRight" state="frozen"/>
      <selection pane="topRight" activeCell="F1" sqref="F1"/>
      <selection pane="bottomLeft" activeCell="A2" sqref="A2"/>
      <selection pane="bottomRight" activeCell="Q30" sqref="Q30"/>
    </sheetView>
  </sheetViews>
  <sheetFormatPr defaultRowHeight="15"/>
  <cols>
    <col min="2" max="2" width="11" customWidth="1"/>
    <col min="3" max="3" width="13.42578125" customWidth="1"/>
    <col min="4" max="4" width="11" customWidth="1"/>
    <col min="5" max="5" width="48.5703125" customWidth="1"/>
    <col min="6" max="6" width="25.85546875" customWidth="1"/>
    <col min="7" max="7" width="16.140625" customWidth="1"/>
    <col min="8" max="8" width="64.85546875" customWidth="1"/>
    <col min="9" max="10" width="19.42578125" customWidth="1"/>
    <col min="11" max="11" width="19.5703125" customWidth="1"/>
    <col min="12" max="12" width="12" customWidth="1"/>
    <col min="13" max="13" width="53.57031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46041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8.25" customHeight="1">
      <c r="A5" s="4">
        <v>1</v>
      </c>
      <c r="B5" s="5">
        <v>46040.582812499997</v>
      </c>
      <c r="C5" s="4" t="s">
        <v>25</v>
      </c>
      <c r="D5" s="4"/>
      <c r="E5" s="4" t="s">
        <v>17</v>
      </c>
      <c r="F5" s="4" t="s">
        <v>18</v>
      </c>
      <c r="G5" s="4" t="s">
        <v>19</v>
      </c>
      <c r="H5" s="4" t="s">
        <v>20</v>
      </c>
      <c r="I5" s="6" t="s">
        <v>21</v>
      </c>
      <c r="J5" s="6" t="s">
        <v>22</v>
      </c>
      <c r="K5" s="7" t="s">
        <v>23</v>
      </c>
      <c r="L5" s="8" t="s">
        <v>24</v>
      </c>
      <c r="M5" s="4" t="s">
        <v>170</v>
      </c>
    </row>
    <row r="6" spans="1:13" ht="38.25" customHeight="1">
      <c r="A6" s="4">
        <f>A5+1</f>
        <v>2</v>
      </c>
      <c r="B6" s="5">
        <v>46040.496296296296</v>
      </c>
      <c r="C6" s="4" t="s">
        <v>26</v>
      </c>
      <c r="D6" s="4"/>
      <c r="E6" s="4" t="s">
        <v>27</v>
      </c>
      <c r="F6" s="4" t="s">
        <v>28</v>
      </c>
      <c r="G6" s="4" t="s">
        <v>19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172</v>
      </c>
    </row>
    <row r="7" spans="1:13" ht="38.25" customHeight="1">
      <c r="A7" s="4">
        <f t="shared" ref="A7:A26" si="0">A6+1</f>
        <v>3</v>
      </c>
      <c r="B7" s="5">
        <v>46032.720509259256</v>
      </c>
      <c r="C7" s="4" t="s">
        <v>39</v>
      </c>
      <c r="D7" s="4" t="s">
        <v>34</v>
      </c>
      <c r="E7" s="4" t="s">
        <v>40</v>
      </c>
      <c r="F7" s="4" t="s">
        <v>35</v>
      </c>
      <c r="G7" s="4" t="s">
        <v>19</v>
      </c>
      <c r="H7" s="4" t="s">
        <v>41</v>
      </c>
      <c r="I7" s="6" t="s">
        <v>42</v>
      </c>
      <c r="J7" s="6" t="s">
        <v>36</v>
      </c>
      <c r="K7" s="7" t="s">
        <v>37</v>
      </c>
      <c r="L7" s="8" t="s">
        <v>38</v>
      </c>
      <c r="M7" s="4" t="s">
        <v>171</v>
      </c>
    </row>
    <row r="8" spans="1:13" ht="38.25" customHeight="1">
      <c r="A8" s="4">
        <f t="shared" si="0"/>
        <v>4</v>
      </c>
      <c r="B8" s="5">
        <v>46039.762962962966</v>
      </c>
      <c r="C8" s="4" t="s">
        <v>43</v>
      </c>
      <c r="D8" s="4"/>
      <c r="E8" s="4" t="s">
        <v>44</v>
      </c>
      <c r="F8" s="4" t="s">
        <v>35</v>
      </c>
      <c r="G8" s="4" t="s">
        <v>45</v>
      </c>
      <c r="H8" s="4" t="s">
        <v>46</v>
      </c>
      <c r="I8" s="6" t="s">
        <v>47</v>
      </c>
      <c r="J8" s="6" t="s">
        <v>31</v>
      </c>
      <c r="K8" s="7" t="s">
        <v>48</v>
      </c>
      <c r="L8" s="8" t="s">
        <v>49</v>
      </c>
      <c r="M8" s="4" t="s">
        <v>172</v>
      </c>
    </row>
    <row r="9" spans="1:13" ht="38.25" customHeight="1">
      <c r="A9" s="4">
        <f t="shared" si="0"/>
        <v>5</v>
      </c>
      <c r="B9" s="5">
        <v>46039.758032407408</v>
      </c>
      <c r="C9" s="4" t="s">
        <v>50</v>
      </c>
      <c r="D9" s="4"/>
      <c r="E9" s="4" t="s">
        <v>51</v>
      </c>
      <c r="F9" s="4" t="s">
        <v>35</v>
      </c>
      <c r="G9" s="4" t="s">
        <v>45</v>
      </c>
      <c r="H9" s="4" t="s">
        <v>52</v>
      </c>
      <c r="I9" s="6" t="s">
        <v>47</v>
      </c>
      <c r="J9" s="6" t="s">
        <v>31</v>
      </c>
      <c r="K9" s="7" t="s">
        <v>48</v>
      </c>
      <c r="L9" s="8" t="s">
        <v>49</v>
      </c>
      <c r="M9" s="4" t="s">
        <v>173</v>
      </c>
    </row>
    <row r="10" spans="1:13" ht="38.25" customHeight="1">
      <c r="A10" s="4">
        <f t="shared" si="0"/>
        <v>6</v>
      </c>
      <c r="B10" s="5">
        <v>46039.769085648149</v>
      </c>
      <c r="C10" s="4" t="s">
        <v>53</v>
      </c>
      <c r="D10" s="4"/>
      <c r="E10" s="4" t="s">
        <v>54</v>
      </c>
      <c r="F10" s="4" t="s">
        <v>35</v>
      </c>
      <c r="G10" s="4" t="s">
        <v>45</v>
      </c>
      <c r="H10" s="4" t="s">
        <v>55</v>
      </c>
      <c r="I10" s="6" t="s">
        <v>30</v>
      </c>
      <c r="J10" s="6" t="s">
        <v>31</v>
      </c>
      <c r="K10" s="7" t="s">
        <v>48</v>
      </c>
      <c r="L10" s="8" t="s">
        <v>49</v>
      </c>
      <c r="M10" s="4" t="s">
        <v>172</v>
      </c>
    </row>
    <row r="11" spans="1:13" ht="38.25" customHeight="1">
      <c r="A11" s="4">
        <f t="shared" si="0"/>
        <v>7</v>
      </c>
      <c r="B11" s="5">
        <v>46039.670520833337</v>
      </c>
      <c r="C11" s="4" t="s">
        <v>56</v>
      </c>
      <c r="D11" s="4"/>
      <c r="E11" s="4" t="s">
        <v>57</v>
      </c>
      <c r="F11" s="4" t="s">
        <v>58</v>
      </c>
      <c r="G11" s="4" t="s">
        <v>19</v>
      </c>
      <c r="H11" s="4" t="s">
        <v>59</v>
      </c>
      <c r="I11" s="6" t="s">
        <v>60</v>
      </c>
      <c r="J11" s="6" t="s">
        <v>61</v>
      </c>
      <c r="K11" s="7" t="s">
        <v>62</v>
      </c>
      <c r="L11" s="8" t="s">
        <v>63</v>
      </c>
      <c r="M11" s="4" t="s">
        <v>174</v>
      </c>
    </row>
    <row r="12" spans="1:13" ht="38.25" customHeight="1">
      <c r="A12" s="4">
        <f t="shared" si="0"/>
        <v>8</v>
      </c>
      <c r="B12" s="5">
        <v>46039.625879629632</v>
      </c>
      <c r="C12" s="4" t="s">
        <v>64</v>
      </c>
      <c r="D12" s="4"/>
      <c r="E12" s="4" t="s">
        <v>65</v>
      </c>
      <c r="F12" s="4" t="s">
        <v>66</v>
      </c>
      <c r="G12" s="4" t="s">
        <v>19</v>
      </c>
      <c r="H12" s="4" t="s">
        <v>67</v>
      </c>
      <c r="I12" s="6" t="s">
        <v>30</v>
      </c>
      <c r="J12" s="6" t="s">
        <v>61</v>
      </c>
      <c r="K12" s="7" t="s">
        <v>68</v>
      </c>
      <c r="L12" s="8" t="s">
        <v>69</v>
      </c>
      <c r="M12" s="4" t="s">
        <v>172</v>
      </c>
    </row>
    <row r="13" spans="1:13" ht="38.25" customHeight="1">
      <c r="A13" s="4">
        <f t="shared" si="0"/>
        <v>9</v>
      </c>
      <c r="B13" s="5">
        <v>46039.472916666666</v>
      </c>
      <c r="C13" s="4" t="s">
        <v>70</v>
      </c>
      <c r="D13" s="4" t="s">
        <v>71</v>
      </c>
      <c r="E13" s="4" t="s">
        <v>72</v>
      </c>
      <c r="F13" s="4" t="s">
        <v>73</v>
      </c>
      <c r="G13" s="4" t="s">
        <v>19</v>
      </c>
      <c r="H13" s="4" t="s">
        <v>74</v>
      </c>
      <c r="I13" s="6" t="s">
        <v>60</v>
      </c>
      <c r="J13" s="6" t="s">
        <v>75</v>
      </c>
      <c r="K13" s="7" t="s">
        <v>76</v>
      </c>
      <c r="L13" s="8" t="s">
        <v>77</v>
      </c>
      <c r="M13" s="4" t="s">
        <v>179</v>
      </c>
    </row>
    <row r="14" spans="1:13" ht="38.25" customHeight="1">
      <c r="A14" s="4">
        <f t="shared" si="0"/>
        <v>10</v>
      </c>
      <c r="B14" s="5">
        <v>46040.521284722221</v>
      </c>
      <c r="C14" s="4" t="s">
        <v>78</v>
      </c>
      <c r="D14" s="4"/>
      <c r="E14" s="4" t="s">
        <v>79</v>
      </c>
      <c r="F14" s="4" t="s">
        <v>80</v>
      </c>
      <c r="G14" s="4" t="s">
        <v>19</v>
      </c>
      <c r="H14" s="4" t="s">
        <v>81</v>
      </c>
      <c r="I14" s="6" t="s">
        <v>82</v>
      </c>
      <c r="J14" s="6" t="s">
        <v>83</v>
      </c>
      <c r="K14" s="7" t="s">
        <v>84</v>
      </c>
      <c r="L14" s="8" t="s">
        <v>85</v>
      </c>
      <c r="M14" s="4" t="s">
        <v>171</v>
      </c>
    </row>
    <row r="15" spans="1:13" ht="38.25" customHeight="1">
      <c r="A15" s="4">
        <f t="shared" si="0"/>
        <v>11</v>
      </c>
      <c r="B15" s="5">
        <v>46039.561562499999</v>
      </c>
      <c r="C15" s="4" t="s">
        <v>86</v>
      </c>
      <c r="D15" s="4"/>
      <c r="E15" s="4" t="s">
        <v>87</v>
      </c>
      <c r="F15" s="4" t="s">
        <v>88</v>
      </c>
      <c r="G15" s="4" t="s">
        <v>19</v>
      </c>
      <c r="H15" s="4" t="s">
        <v>89</v>
      </c>
      <c r="I15" s="6" t="s">
        <v>90</v>
      </c>
      <c r="J15" s="6" t="s">
        <v>91</v>
      </c>
      <c r="K15" s="7" t="s">
        <v>92</v>
      </c>
      <c r="L15" s="8" t="s">
        <v>93</v>
      </c>
      <c r="M15" s="4" t="s">
        <v>176</v>
      </c>
    </row>
    <row r="16" spans="1:13" ht="38.25" customHeight="1">
      <c r="A16" s="4">
        <f t="shared" si="0"/>
        <v>12</v>
      </c>
      <c r="B16" s="5">
        <v>46023.642534722225</v>
      </c>
      <c r="C16" s="4" t="s">
        <v>96</v>
      </c>
      <c r="D16" s="4" t="s">
        <v>71</v>
      </c>
      <c r="E16" s="4" t="s">
        <v>97</v>
      </c>
      <c r="F16" s="4" t="s">
        <v>94</v>
      </c>
      <c r="G16" s="4" t="s">
        <v>19</v>
      </c>
      <c r="H16" s="4" t="s">
        <v>98</v>
      </c>
      <c r="I16" s="6" t="s">
        <v>99</v>
      </c>
      <c r="J16" s="6" t="s">
        <v>100</v>
      </c>
      <c r="K16" s="7" t="s">
        <v>101</v>
      </c>
      <c r="L16" s="8" t="s">
        <v>102</v>
      </c>
      <c r="M16" s="4" t="s">
        <v>175</v>
      </c>
    </row>
    <row r="17" spans="1:13" ht="38.25" customHeight="1">
      <c r="A17" s="4">
        <f t="shared" si="0"/>
        <v>13</v>
      </c>
      <c r="B17" s="5">
        <v>46040.595636574071</v>
      </c>
      <c r="C17" s="4" t="s">
        <v>103</v>
      </c>
      <c r="D17" s="4"/>
      <c r="E17" s="4" t="s">
        <v>104</v>
      </c>
      <c r="F17" s="4" t="s">
        <v>94</v>
      </c>
      <c r="G17" s="4" t="s">
        <v>19</v>
      </c>
      <c r="H17" s="4" t="s">
        <v>105</v>
      </c>
      <c r="I17" s="6" t="s">
        <v>30</v>
      </c>
      <c r="J17" s="6" t="s">
        <v>31</v>
      </c>
      <c r="K17" s="7" t="s">
        <v>101</v>
      </c>
      <c r="L17" s="8" t="s">
        <v>102</v>
      </c>
      <c r="M17" s="4" t="s">
        <v>170</v>
      </c>
    </row>
    <row r="18" spans="1:13" ht="38.25" customHeight="1">
      <c r="A18" s="4">
        <f t="shared" si="0"/>
        <v>14</v>
      </c>
      <c r="B18" s="5">
        <v>46036.587372685186</v>
      </c>
      <c r="C18" s="4" t="s">
        <v>106</v>
      </c>
      <c r="D18" s="4" t="s">
        <v>71</v>
      </c>
      <c r="E18" s="4" t="s">
        <v>107</v>
      </c>
      <c r="F18" s="4" t="s">
        <v>108</v>
      </c>
      <c r="G18" s="4" t="s">
        <v>19</v>
      </c>
      <c r="H18" s="4" t="s">
        <v>109</v>
      </c>
      <c r="I18" s="6" t="s">
        <v>60</v>
      </c>
      <c r="J18" s="6" t="s">
        <v>110</v>
      </c>
      <c r="K18" s="7" t="s">
        <v>111</v>
      </c>
      <c r="L18" s="8" t="s">
        <v>112</v>
      </c>
      <c r="M18" s="4" t="s">
        <v>180</v>
      </c>
    </row>
    <row r="19" spans="1:13" ht="38.25" customHeight="1">
      <c r="A19" s="4">
        <f t="shared" si="0"/>
        <v>15</v>
      </c>
      <c r="B19" s="5">
        <v>46040.378217592595</v>
      </c>
      <c r="C19" s="4" t="s">
        <v>113</v>
      </c>
      <c r="D19" s="4"/>
      <c r="E19" s="4" t="s">
        <v>114</v>
      </c>
      <c r="F19" s="4" t="s">
        <v>115</v>
      </c>
      <c r="G19" s="4" t="s">
        <v>19</v>
      </c>
      <c r="H19" s="4" t="s">
        <v>116</v>
      </c>
      <c r="I19" s="6" t="s">
        <v>90</v>
      </c>
      <c r="J19" s="6" t="s">
        <v>117</v>
      </c>
      <c r="K19" s="7" t="s">
        <v>118</v>
      </c>
      <c r="L19" s="8" t="s">
        <v>119</v>
      </c>
      <c r="M19" s="4" t="s">
        <v>176</v>
      </c>
    </row>
    <row r="20" spans="1:13" ht="38.25" customHeight="1">
      <c r="A20" s="4">
        <f t="shared" si="0"/>
        <v>16</v>
      </c>
      <c r="B20" s="5">
        <v>46034.699479166666</v>
      </c>
      <c r="C20" s="4" t="s">
        <v>120</v>
      </c>
      <c r="D20" s="4" t="s">
        <v>71</v>
      </c>
      <c r="E20" s="4" t="s">
        <v>121</v>
      </c>
      <c r="F20" s="4" t="s">
        <v>122</v>
      </c>
      <c r="G20" s="4" t="s">
        <v>19</v>
      </c>
      <c r="H20" s="4" t="s">
        <v>123</v>
      </c>
      <c r="I20" s="6" t="s">
        <v>124</v>
      </c>
      <c r="J20" s="6" t="s">
        <v>125</v>
      </c>
      <c r="K20" s="7" t="s">
        <v>126</v>
      </c>
      <c r="L20" s="8" t="s">
        <v>127</v>
      </c>
      <c r="M20" s="4" t="s">
        <v>71</v>
      </c>
    </row>
    <row r="21" spans="1:13" ht="38.25" customHeight="1">
      <c r="A21" s="4">
        <f t="shared" si="0"/>
        <v>17</v>
      </c>
      <c r="B21" s="5">
        <v>46040.531018518515</v>
      </c>
      <c r="C21" s="4" t="s">
        <v>128</v>
      </c>
      <c r="D21" s="4"/>
      <c r="E21" s="4" t="s">
        <v>129</v>
      </c>
      <c r="F21" s="4" t="s">
        <v>130</v>
      </c>
      <c r="G21" s="4" t="s">
        <v>19</v>
      </c>
      <c r="H21" s="4" t="s">
        <v>131</v>
      </c>
      <c r="I21" s="6" t="s">
        <v>90</v>
      </c>
      <c r="J21" s="6" t="s">
        <v>117</v>
      </c>
      <c r="K21" s="7" t="s">
        <v>132</v>
      </c>
      <c r="L21" s="8" t="s">
        <v>133</v>
      </c>
      <c r="M21" s="4" t="s">
        <v>176</v>
      </c>
    </row>
    <row r="22" spans="1:13" ht="38.25" customHeight="1">
      <c r="A22" s="4">
        <f t="shared" si="0"/>
        <v>18</v>
      </c>
      <c r="B22" s="5">
        <v>46039.608391203707</v>
      </c>
      <c r="C22" s="4" t="s">
        <v>134</v>
      </c>
      <c r="D22" s="4" t="s">
        <v>34</v>
      </c>
      <c r="E22" s="4" t="s">
        <v>135</v>
      </c>
      <c r="F22" s="4" t="s">
        <v>136</v>
      </c>
      <c r="G22" s="4" t="s">
        <v>19</v>
      </c>
      <c r="H22" s="4" t="s">
        <v>137</v>
      </c>
      <c r="I22" s="6" t="s">
        <v>60</v>
      </c>
      <c r="J22" s="6" t="s">
        <v>138</v>
      </c>
      <c r="K22" s="7" t="s">
        <v>139</v>
      </c>
      <c r="L22" s="8" t="s">
        <v>140</v>
      </c>
      <c r="M22" s="4" t="s">
        <v>171</v>
      </c>
    </row>
    <row r="23" spans="1:13" ht="38.25" customHeight="1">
      <c r="A23" s="4">
        <f t="shared" si="0"/>
        <v>19</v>
      </c>
      <c r="B23" s="5">
        <v>46035.512916666667</v>
      </c>
      <c r="C23" s="4" t="s">
        <v>141</v>
      </c>
      <c r="D23" s="4" t="s">
        <v>71</v>
      </c>
      <c r="E23" s="4" t="s">
        <v>142</v>
      </c>
      <c r="F23" s="4" t="s">
        <v>143</v>
      </c>
      <c r="G23" s="4" t="s">
        <v>19</v>
      </c>
      <c r="H23" s="4" t="s">
        <v>144</v>
      </c>
      <c r="I23" s="6" t="s">
        <v>145</v>
      </c>
      <c r="J23" s="6" t="s">
        <v>146</v>
      </c>
      <c r="K23" s="7" t="s">
        <v>147</v>
      </c>
      <c r="L23" s="8" t="s">
        <v>148</v>
      </c>
      <c r="M23" s="4" t="s">
        <v>175</v>
      </c>
    </row>
    <row r="24" spans="1:13" ht="38.25" customHeight="1">
      <c r="A24" s="4">
        <f t="shared" si="0"/>
        <v>20</v>
      </c>
      <c r="B24" s="5">
        <v>46035.504699074074</v>
      </c>
      <c r="C24" s="4" t="s">
        <v>149</v>
      </c>
      <c r="D24" s="4" t="s">
        <v>71</v>
      </c>
      <c r="E24" s="4" t="s">
        <v>150</v>
      </c>
      <c r="F24" s="4" t="s">
        <v>143</v>
      </c>
      <c r="G24" s="4" t="s">
        <v>19</v>
      </c>
      <c r="H24" s="4" t="s">
        <v>144</v>
      </c>
      <c r="I24" s="6" t="s">
        <v>151</v>
      </c>
      <c r="J24" s="6" t="s">
        <v>146</v>
      </c>
      <c r="K24" s="7" t="s">
        <v>147</v>
      </c>
      <c r="L24" s="8" t="s">
        <v>148</v>
      </c>
      <c r="M24" s="4" t="s">
        <v>175</v>
      </c>
    </row>
    <row r="25" spans="1:13" ht="38.25" customHeight="1">
      <c r="A25" s="4">
        <f t="shared" si="0"/>
        <v>21</v>
      </c>
      <c r="B25" s="5">
        <v>46039.644548611112</v>
      </c>
      <c r="C25" s="4" t="s">
        <v>152</v>
      </c>
      <c r="D25" s="4"/>
      <c r="E25" s="4" t="s">
        <v>153</v>
      </c>
      <c r="F25" s="4" t="s">
        <v>154</v>
      </c>
      <c r="G25" s="4" t="s">
        <v>95</v>
      </c>
      <c r="H25" s="4" t="s">
        <v>155</v>
      </c>
      <c r="I25" s="6" t="s">
        <v>60</v>
      </c>
      <c r="J25" s="6" t="s">
        <v>31</v>
      </c>
      <c r="K25" s="7" t="s">
        <v>156</v>
      </c>
      <c r="L25" s="8" t="s">
        <v>157</v>
      </c>
      <c r="M25" s="4" t="s">
        <v>177</v>
      </c>
    </row>
    <row r="26" spans="1:13" ht="38.25" customHeight="1">
      <c r="A26" s="4">
        <f t="shared" si="0"/>
        <v>22</v>
      </c>
      <c r="B26" s="5">
        <v>46040.703877314816</v>
      </c>
      <c r="C26" s="4" t="s">
        <v>158</v>
      </c>
      <c r="D26" s="4"/>
      <c r="E26" s="4" t="s">
        <v>159</v>
      </c>
      <c r="F26" s="4" t="s">
        <v>160</v>
      </c>
      <c r="G26" s="4" t="s">
        <v>19</v>
      </c>
      <c r="H26" s="4" t="s">
        <v>161</v>
      </c>
      <c r="I26" s="6" t="s">
        <v>30</v>
      </c>
      <c r="J26" s="6" t="s">
        <v>31</v>
      </c>
      <c r="K26" s="7" t="s">
        <v>162</v>
      </c>
      <c r="L26" s="8" t="s">
        <v>163</v>
      </c>
      <c r="M26" s="4" t="s">
        <v>178</v>
      </c>
    </row>
    <row r="27" spans="1:13" ht="38.25" customHeight="1">
      <c r="A27" s="4">
        <f>A25+1</f>
        <v>22</v>
      </c>
      <c r="B27" s="5">
        <v>46040.547534722224</v>
      </c>
      <c r="C27" s="4" t="s">
        <v>164</v>
      </c>
      <c r="D27" s="4"/>
      <c r="E27" s="4" t="s">
        <v>165</v>
      </c>
      <c r="F27" s="4" t="s">
        <v>160</v>
      </c>
      <c r="G27" s="4" t="s">
        <v>19</v>
      </c>
      <c r="H27" s="4" t="s">
        <v>166</v>
      </c>
      <c r="I27" s="6" t="s">
        <v>30</v>
      </c>
      <c r="J27" s="6" t="s">
        <v>167</v>
      </c>
      <c r="K27" s="7" t="s">
        <v>168</v>
      </c>
      <c r="L27" s="8" t="s">
        <v>169</v>
      </c>
      <c r="M27" s="4" t="s">
        <v>178</v>
      </c>
    </row>
    <row r="28" spans="1:13" ht="59.25" customHeight="1">
      <c r="A28" s="13">
        <v>23</v>
      </c>
      <c r="B28" s="14"/>
      <c r="C28" s="14"/>
      <c r="D28" s="13"/>
      <c r="E28" s="14" t="s">
        <v>181</v>
      </c>
      <c r="F28" s="14" t="s">
        <v>188</v>
      </c>
      <c r="G28" s="13"/>
      <c r="H28" s="14" t="s">
        <v>193</v>
      </c>
      <c r="I28" s="15" t="s">
        <v>30</v>
      </c>
      <c r="J28" s="15" t="s">
        <v>61</v>
      </c>
      <c r="K28" s="16"/>
      <c r="L28" s="19"/>
      <c r="M28" s="14" t="s">
        <v>199</v>
      </c>
    </row>
    <row r="29" spans="1:13" ht="78.75" customHeight="1">
      <c r="A29" s="13">
        <v>24</v>
      </c>
      <c r="B29" s="14"/>
      <c r="C29" s="14"/>
      <c r="D29" s="13"/>
      <c r="E29" s="14" t="s">
        <v>182</v>
      </c>
      <c r="F29" s="14" t="s">
        <v>189</v>
      </c>
      <c r="G29" s="13"/>
      <c r="H29" s="14" t="s">
        <v>194</v>
      </c>
      <c r="I29" s="15" t="s">
        <v>47</v>
      </c>
      <c r="J29" s="18">
        <v>46041.833333333336</v>
      </c>
      <c r="K29" s="22"/>
      <c r="L29" s="23"/>
      <c r="M29" s="14" t="s">
        <v>200</v>
      </c>
    </row>
    <row r="30" spans="1:13" ht="50.25" customHeight="1">
      <c r="A30" s="13">
        <v>25</v>
      </c>
      <c r="B30" s="14"/>
      <c r="C30" s="14"/>
      <c r="D30" s="13"/>
      <c r="E30" s="14" t="s">
        <v>183</v>
      </c>
      <c r="F30" s="14" t="s">
        <v>188</v>
      </c>
      <c r="G30" s="13"/>
      <c r="H30" s="14" t="s">
        <v>195</v>
      </c>
      <c r="I30" s="15" t="s">
        <v>60</v>
      </c>
      <c r="J30" s="18" t="s">
        <v>61</v>
      </c>
      <c r="K30" s="22"/>
      <c r="L30" s="23"/>
      <c r="M30" s="14" t="s">
        <v>201</v>
      </c>
    </row>
    <row r="31" spans="1:13" ht="33" customHeight="1">
      <c r="A31" s="13">
        <v>26</v>
      </c>
      <c r="B31" s="14"/>
      <c r="C31" s="14"/>
      <c r="D31" s="13"/>
      <c r="E31" s="14" t="s">
        <v>184</v>
      </c>
      <c r="F31" s="14" t="s">
        <v>190</v>
      </c>
      <c r="G31" s="13"/>
      <c r="H31" s="14" t="s">
        <v>196</v>
      </c>
      <c r="I31" s="15" t="s">
        <v>47</v>
      </c>
      <c r="J31" s="18" t="s">
        <v>61</v>
      </c>
      <c r="K31" s="22"/>
      <c r="L31" s="23"/>
      <c r="M31" s="17" t="s">
        <v>202</v>
      </c>
    </row>
    <row r="32" spans="1:13" ht="64.5" customHeight="1">
      <c r="A32" s="13">
        <v>27</v>
      </c>
      <c r="B32" s="14"/>
      <c r="C32" s="14"/>
      <c r="D32" s="13"/>
      <c r="E32" s="14" t="s">
        <v>185</v>
      </c>
      <c r="F32" s="14" t="s">
        <v>191</v>
      </c>
      <c r="G32" s="13"/>
      <c r="H32" s="14" t="s">
        <v>197</v>
      </c>
      <c r="I32" s="15" t="s">
        <v>47</v>
      </c>
      <c r="J32" s="18" t="s">
        <v>61</v>
      </c>
      <c r="K32" s="22"/>
      <c r="L32" s="23"/>
      <c r="M32" s="17" t="s">
        <v>203</v>
      </c>
    </row>
    <row r="33" spans="1:13" ht="38.25" customHeight="1">
      <c r="A33" s="13">
        <v>28</v>
      </c>
      <c r="B33" s="14"/>
      <c r="C33" s="14"/>
      <c r="D33" s="13"/>
      <c r="E33" s="14" t="s">
        <v>186</v>
      </c>
      <c r="F33" s="14" t="s">
        <v>192</v>
      </c>
      <c r="G33" s="13"/>
      <c r="H33" s="14" t="s">
        <v>196</v>
      </c>
      <c r="I33" s="15" t="s">
        <v>60</v>
      </c>
      <c r="J33" s="18" t="s">
        <v>61</v>
      </c>
      <c r="K33" s="22"/>
      <c r="L33" s="23"/>
      <c r="M33" s="17" t="s">
        <v>204</v>
      </c>
    </row>
    <row r="34" spans="1:13" ht="52.5" customHeight="1">
      <c r="A34" s="13">
        <v>29</v>
      </c>
      <c r="B34" s="14"/>
      <c r="C34" s="14"/>
      <c r="D34" s="13"/>
      <c r="E34" s="14" t="s">
        <v>187</v>
      </c>
      <c r="F34" s="14" t="s">
        <v>189</v>
      </c>
      <c r="G34" s="13"/>
      <c r="H34" s="14" t="s">
        <v>198</v>
      </c>
      <c r="I34" s="15" t="s">
        <v>47</v>
      </c>
      <c r="J34" s="18" t="s">
        <v>61</v>
      </c>
      <c r="K34" s="22"/>
      <c r="L34" s="23"/>
      <c r="M34" s="17" t="s">
        <v>205</v>
      </c>
    </row>
    <row r="35" spans="1:13" ht="38.25" customHeight="1">
      <c r="A35" s="4"/>
      <c r="B35" s="5"/>
      <c r="C35" s="4"/>
      <c r="D35" s="4"/>
      <c r="E35" s="4"/>
      <c r="F35" s="4"/>
      <c r="G35" s="4"/>
      <c r="H35" s="4"/>
      <c r="I35" s="6"/>
      <c r="J35" s="6"/>
      <c r="K35" s="20"/>
      <c r="L35" s="21"/>
      <c r="M35" s="4"/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2026-01-18T14:42:13Z</dcterms:created>
  <dcterms:modified xsi:type="dcterms:W3CDTF">2026-01-18T15:41:56Z</dcterms:modified>
</cp:coreProperties>
</file>
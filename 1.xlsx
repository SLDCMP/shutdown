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Sheet0!$A$1:$M$22</definedName>
  </definedNames>
  <calcPr calcId="162913"/>
</workbook>
</file>

<file path=xl/calcChain.xml><?xml version="1.0" encoding="utf-8"?>
<calcChain xmlns="http://schemas.openxmlformats.org/spreadsheetml/2006/main">
  <c r="A23" i="1" l="1"/>
  <c r="A24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6" i="1"/>
</calcChain>
</file>

<file path=xl/sharedStrings.xml><?xml version="1.0" encoding="utf-8"?>
<sst xmlns="http://schemas.openxmlformats.org/spreadsheetml/2006/main" count="223" uniqueCount="168">
  <si>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</si>
  <si>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</si>
  <si>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</si>
  <si>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</si>
  <si>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</si>
  <si>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</si>
  <si>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</si>
  <si>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</si>
  <si>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</si>
  <si>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</si>
  <si>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</si>
  <si>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</si>
  <si>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</si>
  <si>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</si>
  <si>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</si>
  <si>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</si>
  <si>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</si>
  <si>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</si>
  <si>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220KV_BHOPAL</t>
  </si>
  <si>
    <t>NON-OCCM-MP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</si>
  <si>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</si>
  <si>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</si>
  <si>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</si>
  <si>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</si>
  <si>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</si>
  <si>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</si>
  <si>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</si>
  <si>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MR2601/0260</t>
  </si>
  <si>
    <t>220KV_220 KV Bina-BORL line Ckt-2</t>
  </si>
  <si>
    <t>400KV_BINA4</t>
  </si>
  <si>
    <t>Work at BORL end</t>
  </si>
  <si>
    <t>17-01-2026 09:00:00</t>
  </si>
  <si>
    <t>17-01-2026 18:00:00</t>
  </si>
  <si>
    <t>Dilip Singh Walkey</t>
  </si>
  <si>
    <t>9425804578</t>
  </si>
  <si>
    <t>MR2601/0261</t>
  </si>
  <si>
    <t>220KV_220 KV Chichli-Udaypura Line Ckt-II</t>
  </si>
  <si>
    <t>220KV_CHICHLI</t>
  </si>
  <si>
    <t>Post â¿¿ Monsoon Maintenance work - Flashover disc r</t>
  </si>
  <si>
    <t>17-01-2026 10:00:00</t>
  </si>
  <si>
    <t>Ashish Kumar</t>
  </si>
  <si>
    <t>9425805935</t>
  </si>
  <si>
    <t>MR2601/0259</t>
  </si>
  <si>
    <t>132KV_132 KV G.B-MANERI LINE</t>
  </si>
  <si>
    <t>220KV_GORABAZAR</t>
  </si>
  <si>
    <t>B PH CT OIL LEAKAGE ATTENDING WORK</t>
  </si>
  <si>
    <t>17-01-2026 16:00:00</t>
  </si>
  <si>
    <t>R S BAIS</t>
  </si>
  <si>
    <t>9425163265</t>
  </si>
  <si>
    <t>MR2601/0256</t>
  </si>
  <si>
    <t>132KV_132KV Damoh - Hatta ckt</t>
  </si>
  <si>
    <t>132KV_HATTA</t>
  </si>
  <si>
    <t>R phase line isolator hot point attanding work</t>
  </si>
  <si>
    <t>17-01-2026 15:00:00</t>
  </si>
  <si>
    <t>17-01-2026 17:00:00</t>
  </si>
  <si>
    <t>B.K. Sahu</t>
  </si>
  <si>
    <t>9425801433</t>
  </si>
  <si>
    <t>MR2601/0238</t>
  </si>
  <si>
    <t>132KV_132 KV CHAMBAL-SATYASAI LINE</t>
  </si>
  <si>
    <t>132KV_INDORE CHAMBAL</t>
  </si>
  <si>
    <t>CONDUCTOR REPLACEMENT  WORK AND OTHER MAINTANANCE</t>
  </si>
  <si>
    <t>16-01-2026 07:00:00</t>
  </si>
  <si>
    <t>18-01-2026 17:30:00</t>
  </si>
  <si>
    <t>RAVINDRA PATIL</t>
  </si>
  <si>
    <t>9425801598</t>
  </si>
  <si>
    <t>MR2601/0253</t>
  </si>
  <si>
    <t>220KV_220 kV mangliya jetpura line</t>
  </si>
  <si>
    <t>220KV_INDORE-II (JETPURA)</t>
  </si>
  <si>
    <t>DPR relay testing work</t>
  </si>
  <si>
    <t>17-01-2026 12:00:00</t>
  </si>
  <si>
    <t>siddharth joshi</t>
  </si>
  <si>
    <t>9425804936</t>
  </si>
  <si>
    <t>Continuous</t>
  </si>
  <si>
    <t>400KV_KATNI4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</si>
  <si>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</si>
  <si>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</si>
  <si>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</si>
  <si>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</si>
  <si>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</si>
  <si>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</si>
  <si>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</si>
  <si>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MR2601/0252</t>
  </si>
  <si>
    <t>400KV_315MVA TELK X-MER (ICT-2)</t>
  </si>
  <si>
    <t>For postmonsoon maintenance work</t>
  </si>
  <si>
    <t>SK Chaturvedi</t>
  </si>
  <si>
    <t>9425806938</t>
  </si>
  <si>
    <t>MR2601/0258</t>
  </si>
  <si>
    <t>132KV_40 mva XMER BBL II</t>
  </si>
  <si>
    <t>132KV_MANGAWAN</t>
  </si>
  <si>
    <t>For oil topping &amp; other maintenance</t>
  </si>
  <si>
    <t>17-01-2026 11:00:00</t>
  </si>
  <si>
    <t>17-01-2026 14:00:00</t>
  </si>
  <si>
    <t>Kanishka singh</t>
  </si>
  <si>
    <t>9425804656</t>
  </si>
  <si>
    <t>MR2601/0257</t>
  </si>
  <si>
    <t>132KV_132kV Morwa - RTS Ckt</t>
  </si>
  <si>
    <t>132KV_MORWA</t>
  </si>
  <si>
    <t>checking temperature is high on HVCT Jumper.</t>
  </si>
  <si>
    <t>17-01-2026 13:00:00</t>
  </si>
  <si>
    <t>G.L Sahu</t>
  </si>
  <si>
    <t>9425805102</t>
  </si>
  <si>
    <t>MR2601/0197</t>
  </si>
  <si>
    <t>20MVA_132/33KV_VOLTAMP_X'mer_2</t>
  </si>
  <si>
    <t>Main tank oil filtration &amp; OLTC Oil Replacement w</t>
  </si>
  <si>
    <t>15-01-2026 10:00:00</t>
  </si>
  <si>
    <t>25-01-2026 17:00:00</t>
  </si>
  <si>
    <t>S.B.Singh</t>
  </si>
  <si>
    <t>7000431053</t>
  </si>
  <si>
    <t>MR2601/0250</t>
  </si>
  <si>
    <t>160MVA_220/132KV_BHEL_Xmer_2</t>
  </si>
  <si>
    <t>220KV_NEPANAGAR</t>
  </si>
  <si>
    <t>Aircell Charge Work</t>
  </si>
  <si>
    <t>17-01-2026 01:00:00</t>
  </si>
  <si>
    <t>M.k.Pawar</t>
  </si>
  <si>
    <t>9425805191</t>
  </si>
  <si>
    <t>MR2601/0214</t>
  </si>
  <si>
    <t>132KV_132 KV Pipariya-Bareli Ckt-I</t>
  </si>
  <si>
    <t>220KV_PIPARIYA</t>
  </si>
  <si>
    <t>Resagging work loc.no. 79-95</t>
  </si>
  <si>
    <t>15-01-2026 09:00:00</t>
  </si>
  <si>
    <t>18-01-2026 18:00:00</t>
  </si>
  <si>
    <t>Ashutosh Rai</t>
  </si>
  <si>
    <t>9425806902</t>
  </si>
  <si>
    <t>MR2601/0205</t>
  </si>
  <si>
    <t>400KV_400 KV SSTPH-Pithampur ckt 2</t>
  </si>
  <si>
    <t>400KV_PITHAMPUR4</t>
  </si>
  <si>
    <t>Tower ReStrengthening work on cross arm</t>
  </si>
  <si>
    <t>13-01-2026 08:00:00</t>
  </si>
  <si>
    <t>21-01-2026 19:00:00</t>
  </si>
  <si>
    <t>Naresh Pandre</t>
  </si>
  <si>
    <t>9425806905</t>
  </si>
  <si>
    <t>MR2601/0204</t>
  </si>
  <si>
    <t>400KV_400 KV SSTPH-Pithampur ckt 1</t>
  </si>
  <si>
    <t>14-01-2026 08:00:00</t>
  </si>
  <si>
    <t>MR2601/0160</t>
  </si>
  <si>
    <t>132KV_132 kV Satna â¿¿II (Sonoura)  â¿¿  Maihar  line</t>
  </si>
  <si>
    <t>132KV_SATNA-II</t>
  </si>
  <si>
    <t>OPGW Stringing  work</t>
  </si>
  <si>
    <t>11-01-2026 10:00:00</t>
  </si>
  <si>
    <t>Mr. R.K.Prajapati</t>
  </si>
  <si>
    <t>9407070182</t>
  </si>
  <si>
    <t>MR2601/0251</t>
  </si>
  <si>
    <t>220KV_220kv sukha-panagar ckt-1</t>
  </si>
  <si>
    <t>220KV_SUKHA</t>
  </si>
  <si>
    <t>hot point attending work</t>
  </si>
  <si>
    <t>ashish sonkeshariya</t>
  </si>
  <si>
    <t>7587951153</t>
  </si>
  <si>
    <t>sub ld</t>
  </si>
  <si>
    <t>ok</t>
  </si>
  <si>
    <t>ok, through sub ld</t>
  </si>
  <si>
    <t>deferred</t>
  </si>
  <si>
    <t>real time</t>
  </si>
  <si>
    <t>RTS consent required</t>
  </si>
  <si>
    <t>ABT consent required, if any meter work to be done</t>
  </si>
  <si>
    <t>ok, 220kv Katni-Damoh ckt and 132kv Katni-Kymore ckt 1, 2 (after looking loading on maihar 160MVA x-mers) to be opened for load amangement</t>
  </si>
  <si>
    <t>400KV/220KV SHUJALPUR-ICT-3</t>
  </si>
  <si>
    <t>132KV-MANSAR-MS-PENCH-1</t>
  </si>
  <si>
    <t>400KV/220KV</t>
  </si>
  <si>
    <t>17-Jan-2026</t>
  </si>
  <si>
    <t>08:00</t>
  </si>
  <si>
    <t>17:30</t>
  </si>
  <si>
    <t>09:00</t>
  </si>
  <si>
    <t>18:00</t>
  </si>
  <si>
    <t>500MVA,400/220kV ICT-3 AT SHUJALPUR, Dia to be kept open at both sides.</t>
  </si>
  <si>
    <t>Replacement of earthwire &amp; Routine Maint. Work</t>
  </si>
  <si>
    <t>deferred due to load not manageble</t>
  </si>
  <si>
    <t>POWERGRID_WR2</t>
  </si>
  <si>
    <t>MSLDC_OUTAGE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</si>
</sst>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name val="Calibri"/>
      <family val="2"/>
      <scheme val="minor"/>
    </font>
    <font>
      <b/>
      <sz val="14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wrapText="1"/>
    </xf>
    <xf numFmtId="0" fontId="10" fillId="0" borderId="0" xfId="0" applyFont="1" applyAlignment="1">
      <alignment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workbookViewId="0">
      <selection activeCell="F29" sqref="F29"/>
    </sheetView>
  </sheetViews>
  <sheetFormatPr defaultRowHeight="53.25" customHeight="1" x14ac:dyDescent="0.3"/>
  <cols>
    <col min="1" max="1" width="9.140625" style="5"/>
    <col min="2" max="2" width="10.28515625" style="5" customWidth="1"/>
    <col min="3" max="3" width="6.7109375" style="5" customWidth="1"/>
    <col min="4" max="4" width="6.140625" style="5" customWidth="1"/>
    <col min="5" max="5" width="40.85546875" style="30" customWidth="1"/>
    <col min="6" max="6" width="44.42578125" style="38" customWidth="1"/>
    <col min="7" max="7" width="9.5703125" style="5" customWidth="1"/>
    <col min="8" max="8" width="64.28515625" style="30" customWidth="1"/>
    <col min="9" max="9" width="11" style="5" customWidth="1"/>
    <col min="10" max="10" width="11.140625" style="5" customWidth="1"/>
    <col min="11" max="11" width="9.7109375" style="5" customWidth="1"/>
    <col min="12" max="12" width="5.85546875" style="5" customWidth="1"/>
    <col min="13" max="13" width="42" style="30" customWidth="1"/>
    <col min="14" max="16384" width="9.140625" style="5"/>
  </cols>
  <sheetData>
    <row r="1" spans="1:13" ht="53.25" customHeight="1" x14ac:dyDescent="0.25">
      <c r="A1" s="2"/>
      <c r="B1" s="6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53.25" customHeight="1" x14ac:dyDescent="0.25">
      <c r="A2" s="2" t="s">
        <v>1</v>
      </c>
      <c r="B2" s="13">
        <v>46039</v>
      </c>
      <c r="C2" s="2"/>
      <c r="D2" s="2"/>
      <c r="E2" s="1"/>
      <c r="F2" s="32"/>
      <c r="G2" s="2"/>
      <c r="H2" s="1"/>
      <c r="I2" s="2"/>
      <c r="J2" s="2"/>
      <c r="K2" s="2"/>
      <c r="L2" s="2"/>
      <c r="M2" s="1"/>
    </row>
    <row r="3" spans="1:13" ht="53.2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32"/>
      <c r="G3" s="2"/>
      <c r="H3" s="1"/>
      <c r="I3" s="2"/>
      <c r="J3" s="2"/>
      <c r="K3" s="2"/>
      <c r="L3" s="2"/>
      <c r="M3" s="1"/>
    </row>
    <row r="4" spans="1:13" ht="53.2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25" t="s">
        <v>9</v>
      </c>
      <c r="F4" s="33" t="s">
        <v>10</v>
      </c>
      <c r="G4" s="3" t="s">
        <v>11</v>
      </c>
      <c r="H4" s="25" t="s">
        <v>12</v>
      </c>
      <c r="I4" s="3" t="s">
        <v>13</v>
      </c>
      <c r="J4" s="3" t="s">
        <v>14</v>
      </c>
      <c r="K4" s="14" t="s">
        <v>15</v>
      </c>
      <c r="L4" s="12"/>
      <c r="M4" s="25" t="s">
        <v>16</v>
      </c>
    </row>
    <row r="5" spans="1:13" ht="53.25" customHeight="1" x14ac:dyDescent="0.25">
      <c r="A5" s="4">
        <v>1</v>
      </c>
      <c r="B5" s="15">
        <v>46032.720509259256</v>
      </c>
      <c r="C5" s="4" t="s">
        <v>23</v>
      </c>
      <c r="D5" s="4" t="s">
        <v>17</v>
      </c>
      <c r="E5" s="25" t="s">
        <v>24</v>
      </c>
      <c r="F5" s="33" t="s">
        <v>18</v>
      </c>
      <c r="G5" s="4" t="s">
        <v>19</v>
      </c>
      <c r="H5" s="25" t="s">
        <v>25</v>
      </c>
      <c r="I5" s="16" t="s">
        <v>26</v>
      </c>
      <c r="J5" s="16" t="s">
        <v>20</v>
      </c>
      <c r="K5" s="17" t="s">
        <v>21</v>
      </c>
      <c r="L5" s="18" t="s">
        <v>22</v>
      </c>
      <c r="M5" s="25" t="s">
        <v>147</v>
      </c>
    </row>
    <row r="6" spans="1:13" ht="53.25" customHeight="1" x14ac:dyDescent="0.25">
      <c r="A6" s="4">
        <f>A5+1</f>
        <v>2</v>
      </c>
      <c r="B6" s="15">
        <v>46038.610509259262</v>
      </c>
      <c r="C6" s="4" t="s">
        <v>27</v>
      </c>
      <c r="D6" s="4"/>
      <c r="E6" s="39" t="s">
        <v>28</v>
      </c>
      <c r="F6" s="33" t="s">
        <v>29</v>
      </c>
      <c r="G6" s="4" t="s">
        <v>19</v>
      </c>
      <c r="H6" s="25" t="s">
        <v>30</v>
      </c>
      <c r="I6" s="16" t="s">
        <v>31</v>
      </c>
      <c r="J6" s="16" t="s">
        <v>32</v>
      </c>
      <c r="K6" s="17" t="s">
        <v>33</v>
      </c>
      <c r="L6" s="18" t="s">
        <v>34</v>
      </c>
      <c r="M6" s="25" t="s">
        <v>153</v>
      </c>
    </row>
    <row r="7" spans="1:13" ht="53.25" customHeight="1" x14ac:dyDescent="0.25">
      <c r="A7" s="4">
        <f t="shared" ref="A7:A24" si="0">A6+1</f>
        <v>3</v>
      </c>
      <c r="B7" s="15">
        <v>46038.6171412037</v>
      </c>
      <c r="C7" s="4" t="s">
        <v>35</v>
      </c>
      <c r="D7" s="4"/>
      <c r="E7" s="25" t="s">
        <v>36</v>
      </c>
      <c r="F7" s="33" t="s">
        <v>37</v>
      </c>
      <c r="G7" s="4" t="s">
        <v>19</v>
      </c>
      <c r="H7" s="25" t="s">
        <v>38</v>
      </c>
      <c r="I7" s="16" t="s">
        <v>39</v>
      </c>
      <c r="J7" s="16" t="s">
        <v>32</v>
      </c>
      <c r="K7" s="17" t="s">
        <v>40</v>
      </c>
      <c r="L7" s="18" t="s">
        <v>41</v>
      </c>
      <c r="M7" s="25" t="s">
        <v>148</v>
      </c>
    </row>
    <row r="8" spans="1:13" ht="53.25" customHeight="1" x14ac:dyDescent="0.25">
      <c r="A8" s="4">
        <f t="shared" si="0"/>
        <v>4</v>
      </c>
      <c r="B8" s="15">
        <v>46038.606527777774</v>
      </c>
      <c r="C8" s="4" t="s">
        <v>42</v>
      </c>
      <c r="D8" s="4"/>
      <c r="E8" s="25" t="s">
        <v>43</v>
      </c>
      <c r="F8" s="33" t="s">
        <v>44</v>
      </c>
      <c r="G8" s="4" t="s">
        <v>19</v>
      </c>
      <c r="H8" s="25" t="s">
        <v>45</v>
      </c>
      <c r="I8" s="16" t="s">
        <v>39</v>
      </c>
      <c r="J8" s="16" t="s">
        <v>46</v>
      </c>
      <c r="K8" s="17" t="s">
        <v>47</v>
      </c>
      <c r="L8" s="18" t="s">
        <v>48</v>
      </c>
      <c r="M8" s="25" t="s">
        <v>148</v>
      </c>
    </row>
    <row r="9" spans="1:13" ht="53.25" customHeight="1" x14ac:dyDescent="0.25">
      <c r="A9" s="4">
        <f t="shared" si="0"/>
        <v>5</v>
      </c>
      <c r="B9" s="15">
        <v>46038.553402777776</v>
      </c>
      <c r="C9" s="4" t="s">
        <v>49</v>
      </c>
      <c r="D9" s="4"/>
      <c r="E9" s="25" t="s">
        <v>50</v>
      </c>
      <c r="F9" s="33" t="s">
        <v>51</v>
      </c>
      <c r="G9" s="4" t="s">
        <v>19</v>
      </c>
      <c r="H9" s="25" t="s">
        <v>52</v>
      </c>
      <c r="I9" s="16" t="s">
        <v>53</v>
      </c>
      <c r="J9" s="16" t="s">
        <v>54</v>
      </c>
      <c r="K9" s="17" t="s">
        <v>55</v>
      </c>
      <c r="L9" s="18" t="s">
        <v>56</v>
      </c>
      <c r="M9" s="25" t="s">
        <v>148</v>
      </c>
    </row>
    <row r="10" spans="1:13" ht="53.25" customHeight="1" x14ac:dyDescent="0.25">
      <c r="A10" s="4">
        <f t="shared" si="0"/>
        <v>6</v>
      </c>
      <c r="B10" s="15">
        <v>46037.616585648146</v>
      </c>
      <c r="C10" s="4" t="s">
        <v>57</v>
      </c>
      <c r="D10" s="4" t="s">
        <v>17</v>
      </c>
      <c r="E10" s="25" t="s">
        <v>58</v>
      </c>
      <c r="F10" s="33" t="s">
        <v>59</v>
      </c>
      <c r="G10" s="4" t="s">
        <v>19</v>
      </c>
      <c r="H10" s="25" t="s">
        <v>60</v>
      </c>
      <c r="I10" s="16" t="s">
        <v>61</v>
      </c>
      <c r="J10" s="16" t="s">
        <v>62</v>
      </c>
      <c r="K10" s="17" t="s">
        <v>63</v>
      </c>
      <c r="L10" s="18" t="s">
        <v>64</v>
      </c>
      <c r="M10" s="25" t="s">
        <v>147</v>
      </c>
    </row>
    <row r="11" spans="1:13" ht="53.25" customHeight="1" x14ac:dyDescent="0.25">
      <c r="A11" s="4">
        <f t="shared" si="0"/>
        <v>7</v>
      </c>
      <c r="B11" s="15">
        <v>46038.534641203703</v>
      </c>
      <c r="C11" s="4" t="s">
        <v>65</v>
      </c>
      <c r="D11" s="4"/>
      <c r="E11" s="25" t="s">
        <v>66</v>
      </c>
      <c r="F11" s="33" t="s">
        <v>67</v>
      </c>
      <c r="G11" s="4" t="s">
        <v>19</v>
      </c>
      <c r="H11" s="25" t="s">
        <v>68</v>
      </c>
      <c r="I11" s="16" t="s">
        <v>69</v>
      </c>
      <c r="J11" s="16" t="s">
        <v>54</v>
      </c>
      <c r="K11" s="17" t="s">
        <v>70</v>
      </c>
      <c r="L11" s="18" t="s">
        <v>71</v>
      </c>
      <c r="M11" s="25" t="s">
        <v>149</v>
      </c>
    </row>
    <row r="12" spans="1:13" ht="53.25" customHeight="1" x14ac:dyDescent="0.25">
      <c r="A12" s="4">
        <f t="shared" si="0"/>
        <v>8</v>
      </c>
      <c r="B12" s="15">
        <v>46023.642534722225</v>
      </c>
      <c r="C12" s="4" t="s">
        <v>74</v>
      </c>
      <c r="D12" s="4" t="s">
        <v>72</v>
      </c>
      <c r="E12" s="25" t="s">
        <v>75</v>
      </c>
      <c r="F12" s="33" t="s">
        <v>73</v>
      </c>
      <c r="G12" s="4" t="s">
        <v>19</v>
      </c>
      <c r="H12" s="25" t="s">
        <v>76</v>
      </c>
      <c r="I12" s="16" t="s">
        <v>77</v>
      </c>
      <c r="J12" s="16" t="s">
        <v>78</v>
      </c>
      <c r="K12" s="17" t="s">
        <v>79</v>
      </c>
      <c r="L12" s="18" t="s">
        <v>80</v>
      </c>
      <c r="M12" s="25" t="s">
        <v>150</v>
      </c>
    </row>
    <row r="13" spans="1:13" ht="53.25" customHeight="1" x14ac:dyDescent="0.25">
      <c r="A13" s="4">
        <f t="shared" si="0"/>
        <v>9</v>
      </c>
      <c r="B13" s="15">
        <v>46038.50167824074</v>
      </c>
      <c r="C13" s="4" t="s">
        <v>81</v>
      </c>
      <c r="D13" s="4"/>
      <c r="E13" s="39" t="s">
        <v>82</v>
      </c>
      <c r="F13" s="33" t="s">
        <v>73</v>
      </c>
      <c r="G13" s="4" t="s">
        <v>19</v>
      </c>
      <c r="H13" s="25" t="s">
        <v>83</v>
      </c>
      <c r="I13" s="16" t="s">
        <v>31</v>
      </c>
      <c r="J13" s="16" t="s">
        <v>32</v>
      </c>
      <c r="K13" s="17" t="s">
        <v>84</v>
      </c>
      <c r="L13" s="18" t="s">
        <v>85</v>
      </c>
      <c r="M13" s="25" t="s">
        <v>154</v>
      </c>
    </row>
    <row r="14" spans="1:13" ht="53.25" customHeight="1" x14ac:dyDescent="0.25">
      <c r="A14" s="4">
        <f t="shared" si="0"/>
        <v>10</v>
      </c>
      <c r="B14" s="15">
        <v>46038.573240740741</v>
      </c>
      <c r="C14" s="4" t="s">
        <v>86</v>
      </c>
      <c r="D14" s="4"/>
      <c r="E14" s="25" t="s">
        <v>87</v>
      </c>
      <c r="F14" s="33" t="s">
        <v>88</v>
      </c>
      <c r="G14" s="4" t="s">
        <v>19</v>
      </c>
      <c r="H14" s="25" t="s">
        <v>89</v>
      </c>
      <c r="I14" s="16" t="s">
        <v>90</v>
      </c>
      <c r="J14" s="16" t="s">
        <v>91</v>
      </c>
      <c r="K14" s="17" t="s">
        <v>92</v>
      </c>
      <c r="L14" s="18" t="s">
        <v>93</v>
      </c>
      <c r="M14" s="25" t="s">
        <v>148</v>
      </c>
    </row>
    <row r="15" spans="1:13" ht="53.25" customHeight="1" x14ac:dyDescent="0.25">
      <c r="A15" s="4">
        <f t="shared" si="0"/>
        <v>11</v>
      </c>
      <c r="B15" s="15">
        <v>46038.570474537039</v>
      </c>
      <c r="C15" s="4" t="s">
        <v>94</v>
      </c>
      <c r="D15" s="4"/>
      <c r="E15" s="25" t="s">
        <v>95</v>
      </c>
      <c r="F15" s="33" t="s">
        <v>96</v>
      </c>
      <c r="G15" s="4" t="s">
        <v>19</v>
      </c>
      <c r="H15" s="25" t="s">
        <v>97</v>
      </c>
      <c r="I15" s="16" t="s">
        <v>90</v>
      </c>
      <c r="J15" s="16" t="s">
        <v>98</v>
      </c>
      <c r="K15" s="17" t="s">
        <v>99</v>
      </c>
      <c r="L15" s="18" t="s">
        <v>100</v>
      </c>
      <c r="M15" s="25" t="s">
        <v>152</v>
      </c>
    </row>
    <row r="16" spans="1:13" ht="53.25" customHeight="1" x14ac:dyDescent="0.25">
      <c r="A16" s="4">
        <f t="shared" si="0"/>
        <v>12</v>
      </c>
      <c r="B16" s="15">
        <v>46034.699479166666</v>
      </c>
      <c r="C16" s="4" t="s">
        <v>101</v>
      </c>
      <c r="D16" s="4" t="s">
        <v>72</v>
      </c>
      <c r="E16" s="25" t="s">
        <v>102</v>
      </c>
      <c r="F16" s="33" t="s">
        <v>96</v>
      </c>
      <c r="G16" s="4" t="s">
        <v>19</v>
      </c>
      <c r="H16" s="25" t="s">
        <v>103</v>
      </c>
      <c r="I16" s="16" t="s">
        <v>104</v>
      </c>
      <c r="J16" s="16" t="s">
        <v>105</v>
      </c>
      <c r="K16" s="17" t="s">
        <v>106</v>
      </c>
      <c r="L16" s="18" t="s">
        <v>107</v>
      </c>
      <c r="M16" s="25" t="s">
        <v>72</v>
      </c>
    </row>
    <row r="17" spans="1:13" ht="53.25" customHeight="1" x14ac:dyDescent="0.25">
      <c r="A17" s="4">
        <f t="shared" si="0"/>
        <v>13</v>
      </c>
      <c r="B17" s="15">
        <v>46038.477951388886</v>
      </c>
      <c r="C17" s="4" t="s">
        <v>108</v>
      </c>
      <c r="D17" s="4"/>
      <c r="E17" s="25" t="s">
        <v>109</v>
      </c>
      <c r="F17" s="33" t="s">
        <v>110</v>
      </c>
      <c r="G17" s="4" t="s">
        <v>19</v>
      </c>
      <c r="H17" s="25" t="s">
        <v>111</v>
      </c>
      <c r="I17" s="16" t="s">
        <v>112</v>
      </c>
      <c r="J17" s="16" t="s">
        <v>69</v>
      </c>
      <c r="K17" s="17" t="s">
        <v>113</v>
      </c>
      <c r="L17" s="18" t="s">
        <v>114</v>
      </c>
      <c r="M17" s="25" t="s">
        <v>151</v>
      </c>
    </row>
    <row r="18" spans="1:13" ht="53.25" customHeight="1" x14ac:dyDescent="0.25">
      <c r="A18" s="4">
        <f t="shared" si="0"/>
        <v>14</v>
      </c>
      <c r="B18" s="15">
        <v>46036.485775462963</v>
      </c>
      <c r="C18" s="4" t="s">
        <v>115</v>
      </c>
      <c r="D18" s="4" t="s">
        <v>17</v>
      </c>
      <c r="E18" s="25" t="s">
        <v>116</v>
      </c>
      <c r="F18" s="33" t="s">
        <v>117</v>
      </c>
      <c r="G18" s="4" t="s">
        <v>19</v>
      </c>
      <c r="H18" s="25" t="s">
        <v>118</v>
      </c>
      <c r="I18" s="16" t="s">
        <v>119</v>
      </c>
      <c r="J18" s="16" t="s">
        <v>120</v>
      </c>
      <c r="K18" s="17" t="s">
        <v>121</v>
      </c>
      <c r="L18" s="18" t="s">
        <v>122</v>
      </c>
      <c r="M18" s="25" t="s">
        <v>147</v>
      </c>
    </row>
    <row r="19" spans="1:13" ht="53.25" customHeight="1" x14ac:dyDescent="0.25">
      <c r="A19" s="4">
        <f t="shared" si="0"/>
        <v>15</v>
      </c>
      <c r="B19" s="15">
        <v>46035.512916666667</v>
      </c>
      <c r="C19" s="4" t="s">
        <v>123</v>
      </c>
      <c r="D19" s="4" t="s">
        <v>72</v>
      </c>
      <c r="E19" s="25" t="s">
        <v>124</v>
      </c>
      <c r="F19" s="33" t="s">
        <v>125</v>
      </c>
      <c r="G19" s="4" t="s">
        <v>19</v>
      </c>
      <c r="H19" s="25" t="s">
        <v>126</v>
      </c>
      <c r="I19" s="16" t="s">
        <v>127</v>
      </c>
      <c r="J19" s="16" t="s">
        <v>128</v>
      </c>
      <c r="K19" s="17" t="s">
        <v>129</v>
      </c>
      <c r="L19" s="18" t="s">
        <v>130</v>
      </c>
      <c r="M19" s="25" t="s">
        <v>150</v>
      </c>
    </row>
    <row r="20" spans="1:13" ht="53.25" customHeight="1" x14ac:dyDescent="0.25">
      <c r="A20" s="7">
        <f t="shared" si="0"/>
        <v>16</v>
      </c>
      <c r="B20" s="19">
        <v>46035.504699074074</v>
      </c>
      <c r="C20" s="7" t="s">
        <v>131</v>
      </c>
      <c r="D20" s="7" t="s">
        <v>72</v>
      </c>
      <c r="E20" s="26" t="s">
        <v>132</v>
      </c>
      <c r="F20" s="34" t="s">
        <v>125</v>
      </c>
      <c r="G20" s="7" t="s">
        <v>19</v>
      </c>
      <c r="H20" s="26" t="s">
        <v>126</v>
      </c>
      <c r="I20" s="20" t="s">
        <v>133</v>
      </c>
      <c r="J20" s="20" t="s">
        <v>128</v>
      </c>
      <c r="K20" s="21" t="s">
        <v>129</v>
      </c>
      <c r="L20" s="22" t="s">
        <v>130</v>
      </c>
      <c r="M20" s="26" t="s">
        <v>150</v>
      </c>
    </row>
    <row r="21" spans="1:13" ht="53.25" customHeight="1" x14ac:dyDescent="0.25">
      <c r="A21" s="8">
        <f t="shared" si="0"/>
        <v>17</v>
      </c>
      <c r="B21" s="23">
        <v>46032.518229166664</v>
      </c>
      <c r="C21" s="8" t="s">
        <v>134</v>
      </c>
      <c r="D21" s="8" t="s">
        <v>17</v>
      </c>
      <c r="E21" s="27" t="s">
        <v>135</v>
      </c>
      <c r="F21" s="35" t="s">
        <v>136</v>
      </c>
      <c r="G21" s="8" t="s">
        <v>19</v>
      </c>
      <c r="H21" s="27" t="s">
        <v>137</v>
      </c>
      <c r="I21" s="24" t="s">
        <v>138</v>
      </c>
      <c r="J21" s="24" t="s">
        <v>54</v>
      </c>
      <c r="K21" s="8" t="s">
        <v>139</v>
      </c>
      <c r="L21" s="8" t="s">
        <v>140</v>
      </c>
      <c r="M21" s="27" t="s">
        <v>148</v>
      </c>
    </row>
    <row r="22" spans="1:13" ht="53.25" customHeight="1" x14ac:dyDescent="0.25">
      <c r="A22" s="8">
        <f t="shared" si="0"/>
        <v>18</v>
      </c>
      <c r="B22" s="23">
        <v>46038.498981481483</v>
      </c>
      <c r="C22" s="8" t="s">
        <v>141</v>
      </c>
      <c r="D22" s="8"/>
      <c r="E22" s="40" t="s">
        <v>142</v>
      </c>
      <c r="F22" s="35" t="s">
        <v>143</v>
      </c>
      <c r="G22" s="8" t="s">
        <v>19</v>
      </c>
      <c r="H22" s="27" t="s">
        <v>144</v>
      </c>
      <c r="I22" s="24" t="s">
        <v>39</v>
      </c>
      <c r="J22" s="24" t="s">
        <v>91</v>
      </c>
      <c r="K22" s="8" t="s">
        <v>145</v>
      </c>
      <c r="L22" s="8" t="s">
        <v>146</v>
      </c>
      <c r="M22" s="27" t="s">
        <v>148</v>
      </c>
    </row>
    <row r="23" spans="1:13" ht="53.25" customHeight="1" x14ac:dyDescent="0.25">
      <c r="A23" s="8">
        <f t="shared" si="0"/>
        <v>19</v>
      </c>
      <c r="B23" s="9"/>
      <c r="C23" s="10">
        <v>282527</v>
      </c>
      <c r="D23" s="9"/>
      <c r="E23" s="28" t="s">
        <v>155</v>
      </c>
      <c r="F23" s="36" t="s">
        <v>157</v>
      </c>
      <c r="G23" s="10" t="s">
        <v>166</v>
      </c>
      <c r="H23" s="28" t="s">
        <v>163</v>
      </c>
      <c r="I23" s="10" t="s">
        <v>158</v>
      </c>
      <c r="J23" s="10" t="s">
        <v>159</v>
      </c>
      <c r="K23" s="10" t="s">
        <v>158</v>
      </c>
      <c r="L23" s="10" t="s">
        <v>160</v>
      </c>
      <c r="M23" s="31" t="s">
        <v>165</v>
      </c>
    </row>
    <row r="24" spans="1:13" ht="53.25" customHeight="1" x14ac:dyDescent="0.25">
      <c r="A24" s="8">
        <f t="shared" si="0"/>
        <v>20</v>
      </c>
      <c r="B24" s="9"/>
      <c r="C24" s="10">
        <v>282183</v>
      </c>
      <c r="D24" s="9"/>
      <c r="E24" s="28" t="s">
        <v>156</v>
      </c>
      <c r="F24" s="36">
        <v>132</v>
      </c>
      <c r="G24" s="10" t="s">
        <v>167</v>
      </c>
      <c r="H24" s="28" t="s">
        <v>164</v>
      </c>
      <c r="I24" s="10" t="s">
        <v>158</v>
      </c>
      <c r="J24" s="10" t="s">
        <v>161</v>
      </c>
      <c r="K24" s="10" t="s">
        <v>158</v>
      </c>
      <c r="L24" s="10" t="s">
        <v>162</v>
      </c>
      <c r="M24" s="31" t="s">
        <v>148</v>
      </c>
    </row>
    <row r="25" spans="1:13" ht="53.25" customHeight="1" x14ac:dyDescent="0.3">
      <c r="A25" s="9"/>
      <c r="B25" s="9"/>
      <c r="C25" s="9"/>
      <c r="D25" s="9"/>
      <c r="E25" s="29"/>
      <c r="F25" s="37"/>
      <c r="G25" s="9"/>
      <c r="H25" s="29"/>
      <c r="I25" s="9"/>
      <c r="J25" s="9"/>
      <c r="K25" s="9"/>
      <c r="L25" s="9"/>
      <c r="M25" s="29"/>
    </row>
    <row r="26" spans="1:13" ht="53.25" customHeight="1" x14ac:dyDescent="0.3">
      <c r="A26" s="9"/>
      <c r="B26" s="9"/>
      <c r="C26" s="9"/>
      <c r="D26" s="9"/>
      <c r="E26" s="29"/>
      <c r="F26" s="37"/>
      <c r="G26" s="9"/>
      <c r="H26" s="29"/>
      <c r="I26" s="9"/>
      <c r="J26" s="9"/>
      <c r="K26" s="9"/>
      <c r="L26" s="9"/>
      <c r="M26" s="29"/>
    </row>
    <row r="27" spans="1:13" ht="53.25" customHeight="1" x14ac:dyDescent="0.3">
      <c r="A27" s="9"/>
      <c r="B27" s="9"/>
      <c r="C27" s="9"/>
      <c r="D27" s="9"/>
      <c r="E27" s="29"/>
      <c r="F27" s="37"/>
      <c r="G27" s="9"/>
      <c r="H27" s="29"/>
      <c r="I27" s="9"/>
      <c r="J27" s="9"/>
      <c r="K27" s="9"/>
      <c r="L27" s="9"/>
      <c r="M27" s="29"/>
    </row>
    <row r="28" spans="1:13" ht="53.25" customHeight="1" x14ac:dyDescent="0.3">
      <c r="A28" s="9"/>
      <c r="B28" s="9"/>
      <c r="C28" s="9"/>
      <c r="D28" s="9"/>
      <c r="E28" s="29"/>
      <c r="F28" s="37"/>
      <c r="G28" s="9"/>
      <c r="H28" s="29"/>
      <c r="I28" s="9"/>
      <c r="J28" s="9"/>
      <c r="K28" s="9"/>
      <c r="L28" s="9"/>
      <c r="M28" s="29"/>
    </row>
    <row r="29" spans="1:13" ht="53.25" customHeight="1" x14ac:dyDescent="0.3">
      <c r="A29" s="9"/>
      <c r="B29" s="9"/>
      <c r="C29" s="9"/>
      <c r="D29" s="9"/>
      <c r="E29" s="29"/>
      <c r="F29" s="37"/>
      <c r="G29" s="9"/>
      <c r="H29" s="29"/>
      <c r="I29" s="9"/>
      <c r="J29" s="9"/>
      <c r="K29" s="9"/>
      <c r="L29" s="9"/>
      <c r="M29" s="29"/>
    </row>
    <row r="30" spans="1:13" ht="53.25" customHeight="1" x14ac:dyDescent="0.3">
      <c r="A30" s="9"/>
      <c r="B30" s="9"/>
      <c r="C30" s="9"/>
      <c r="D30" s="9"/>
      <c r="E30" s="29"/>
      <c r="F30" s="37"/>
      <c r="G30" s="9"/>
      <c r="H30" s="29"/>
      <c r="I30" s="9"/>
      <c r="J30" s="9"/>
      <c r="K30" s="9"/>
      <c r="L30" s="9"/>
      <c r="M30" s="29"/>
    </row>
    <row r="31" spans="1:13" ht="53.25" customHeight="1" x14ac:dyDescent="0.3">
      <c r="A31" s="9"/>
      <c r="B31" s="9"/>
      <c r="C31" s="9"/>
      <c r="D31" s="9"/>
      <c r="E31" s="29"/>
      <c r="F31" s="37"/>
      <c r="G31" s="9"/>
      <c r="H31" s="29"/>
      <c r="I31" s="9"/>
      <c r="J31" s="9"/>
      <c r="K31" s="9"/>
      <c r="L31" s="9"/>
      <c r="M31" s="29"/>
    </row>
    <row r="32" spans="1:13" ht="53.25" customHeight="1" x14ac:dyDescent="0.3">
      <c r="A32" s="9"/>
      <c r="B32" s="9"/>
      <c r="C32" s="9"/>
      <c r="D32" s="9"/>
      <c r="E32" s="29"/>
      <c r="F32" s="37"/>
      <c r="G32" s="9"/>
      <c r="H32" s="29"/>
      <c r="I32" s="9"/>
      <c r="J32" s="9"/>
      <c r="K32" s="9"/>
      <c r="L32" s="9"/>
      <c r="M32" s="29"/>
    </row>
    <row r="33" spans="1:13" ht="53.25" customHeight="1" x14ac:dyDescent="0.3">
      <c r="A33" s="9"/>
      <c r="B33" s="9"/>
      <c r="C33" s="9"/>
      <c r="D33" s="9"/>
      <c r="E33" s="29"/>
      <c r="F33" s="37"/>
      <c r="G33" s="9"/>
      <c r="H33" s="29"/>
      <c r="I33" s="9"/>
      <c r="J33" s="9"/>
      <c r="K33" s="9"/>
      <c r="L33" s="9"/>
      <c r="M33" s="29"/>
    </row>
    <row r="34" spans="1:13" ht="53.25" customHeight="1" x14ac:dyDescent="0.3">
      <c r="A34" s="9"/>
      <c r="B34" s="9"/>
      <c r="C34" s="9"/>
      <c r="D34" s="9"/>
      <c r="E34" s="29"/>
      <c r="F34" s="37"/>
      <c r="G34" s="9"/>
      <c r="H34" s="29"/>
      <c r="I34" s="9"/>
      <c r="J34" s="9"/>
      <c r="K34" s="9"/>
      <c r="L34" s="9"/>
      <c r="M34" s="29"/>
    </row>
    <row r="35" spans="1:13" ht="53.25" customHeight="1" x14ac:dyDescent="0.3">
      <c r="A35" s="9"/>
      <c r="B35" s="9"/>
      <c r="C35" s="9"/>
      <c r="D35" s="9"/>
      <c r="E35" s="29"/>
      <c r="F35" s="37"/>
      <c r="G35" s="9"/>
      <c r="H35" s="29"/>
      <c r="I35" s="9"/>
      <c r="J35" s="9"/>
      <c r="K35" s="9"/>
      <c r="L35" s="9"/>
      <c r="M35" s="29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2026-01-16T11:12:09Z</dcterms:created>
  <dcterms:modified xsi:type="dcterms:W3CDTF">2026-01-16T12:52:30Z</dcterms:modified>
</cp:coreProperties>
</file>
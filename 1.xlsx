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Sheet0!$A$1:$M$30</definedName>
  </definedNames>
  <calcPr calcId="162913"/>
</workbook>
</file>

<file path=xl/calcChain.xml><?xml version="1.0" encoding="utf-8"?>
<calcChain xmlns="http://schemas.openxmlformats.org/spreadsheetml/2006/main">
  <c r="A31" i="1" l="1"/>
  <c r="A32" i="1" s="1"/>
  <c r="A33" i="1" s="1"/>
  <c r="A34" i="1" s="1"/>
  <c r="A35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</calcChain>
</file>

<file path=xl/sharedStrings.xml><?xml version="1.0" encoding="utf-8"?>
<sst xmlns="http://schemas.openxmlformats.org/spreadsheetml/2006/main" count="325" uniqueCount="212">
  <si>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</si>
  <si>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</si>
  <si>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</si>
  <si>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</si>
  <si>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</si>
  <si>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</si>
  <si>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</si>
  <si>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</si>
  <si>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</si>
  <si>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</si>
  <si>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</si>
  <si>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</si>
  <si>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</si>
  <si>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</si>
  <si>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</si>
  <si>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</si>
  <si>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</si>
  <si>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MR2607/0318</t>
  </si>
  <si>
    <t>220KV_Amk-Sidhi</t>
  </si>
  <si>
    <t>220KV_AMARKANTAK</t>
  </si>
  <si>
    <t>NON-OCCM-WR</t>
  </si>
  <si>
    <t>CPRI Protection audit work</t>
  </si>
  <si>
    <t>24-07-2026 14:00:00</t>
  </si>
  <si>
    <t>24-07-2026 18:00:00</t>
  </si>
  <si>
    <t>Vijay Kothari</t>
  </si>
  <si>
    <t>9425808910</t>
  </si>
  <si>
    <t>MR2607/0315</t>
  </si>
  <si>
    <t>220KV_Amk-Shahdol</t>
  </si>
  <si>
    <t>24-07-2026 09:00:00</t>
  </si>
  <si>
    <t>24-07-2026 13:00:00</t>
  </si>
  <si>
    <t>MR2606/0253</t>
  </si>
  <si>
    <t>Daily</t>
  </si>
  <si>
    <t>220KV_220 kV Anuppur-Kotmikala Circuit II</t>
  </si>
  <si>
    <t>220KV_ANUPPUR</t>
  </si>
  <si>
    <t>NON-OCCM-MP</t>
  </si>
  <si>
    <t>For work of conductor re sagging in various loc.</t>
  </si>
  <si>
    <t>24-07-2026 08:00:00</t>
  </si>
  <si>
    <t>07-08-2026 18:00:00</t>
  </si>
  <si>
    <t>Jagdish Prasad Asati</t>
  </si>
  <si>
    <t>9424445533</t>
  </si>
  <si>
    <t>MR2607/0349</t>
  </si>
  <si>
    <t>220KV_220 kV Tikamgarh - Chhatarpur Line</t>
  </si>
  <si>
    <t>220KV_CHATARPUR</t>
  </si>
  <si>
    <t>Tower modification &amp; shifting work</t>
  </si>
  <si>
    <t>24-07-2026 11:00:00</t>
  </si>
  <si>
    <t>24-07-2026 16:00:00</t>
  </si>
  <si>
    <t>Pankaj Yadav</t>
  </si>
  <si>
    <t>9406713326</t>
  </si>
  <si>
    <t>MR2607/0354</t>
  </si>
  <si>
    <t>220KV_Chhegaon Nepanagar line</t>
  </si>
  <si>
    <t>400KV_CHHEGAON4</t>
  </si>
  <si>
    <t>Main-2 DPR installation work</t>
  </si>
  <si>
    <t>24-07-2026 10:00:00</t>
  </si>
  <si>
    <t>Er Ganesh Mansare</t>
  </si>
  <si>
    <t>9425802441</t>
  </si>
  <si>
    <t>MR2607/0301</t>
  </si>
  <si>
    <t>132KV_132KV DAMOH - PATERA LINE IST&amp;IIND CKT</t>
  </si>
  <si>
    <t>220KV_DAMOH</t>
  </si>
  <si>
    <t>PTW FOR OPGW LIVE LINE INSTALLATION WORK</t>
  </si>
  <si>
    <t>23-07-2026 07:00:00</t>
  </si>
  <si>
    <t>29-07-2026 19:00:00</t>
  </si>
  <si>
    <t>M.M. BAIG</t>
  </si>
  <si>
    <t>9425805067</t>
  </si>
  <si>
    <t>220KV_DATIA</t>
  </si>
  <si>
    <t>Y Phase LA Replacement work</t>
  </si>
  <si>
    <t>Mukesh Verma</t>
  </si>
  <si>
    <t>7587951058</t>
  </si>
  <si>
    <t>MR2607/0358</t>
  </si>
  <si>
    <t>220KV_220 KV PGCIL(GWL)CKT</t>
  </si>
  <si>
    <t>24-07-2026 17:00:00</t>
  </si>
  <si>
    <t>MR2607/0340</t>
  </si>
  <si>
    <t>Continuous</t>
  </si>
  <si>
    <t>132KV_I/C no.2nd (160MVA EMCo)</t>
  </si>
  <si>
    <t>220KV_DEWAS</t>
  </si>
  <si>
    <t>C.B. Gas Leakage Attanding work</t>
  </si>
  <si>
    <t>23-07-2026 10:00:00</t>
  </si>
  <si>
    <t>27-07-2026 16:00:00</t>
  </si>
  <si>
    <t>A.K. Joshi</t>
  </si>
  <si>
    <t>9425801305</t>
  </si>
  <si>
    <t>MR2607/0324</t>
  </si>
  <si>
    <t>220KV_Dhar-Kanwan ckt-2</t>
  </si>
  <si>
    <t>220KV_DHAR</t>
  </si>
  <si>
    <t>For line maintenance work</t>
  </si>
  <si>
    <t>22-07-2026 08:00:00</t>
  </si>
  <si>
    <t>V.R. Panadia</t>
  </si>
  <si>
    <t>9425802330</t>
  </si>
  <si>
    <t>MR2607/0348</t>
  </si>
  <si>
    <t>220KV_220 kV Jabalpur- Birsinghpur ckt-I</t>
  </si>
  <si>
    <t>220KV_JABALPUR</t>
  </si>
  <si>
    <t>Disc F/o change at loc. 88 (DF) Top Ph, loc. 215 T</t>
  </si>
  <si>
    <t>Jitendra Tiwari</t>
  </si>
  <si>
    <t>9425805298</t>
  </si>
  <si>
    <t>MR2607/0351</t>
  </si>
  <si>
    <t>132KV_132 kV Tikamgarh - Jatara Line</t>
  </si>
  <si>
    <t>132KV_JATARA</t>
  </si>
  <si>
    <t>F/o disc replacement and other maintenance work</t>
  </si>
  <si>
    <t>25-07-2026 17:00:00</t>
  </si>
  <si>
    <t>MR2607/0334</t>
  </si>
  <si>
    <t>400KV_400kV Kirnapur Bhilai Line</t>
  </si>
  <si>
    <t>400KV_KIRNAPUR</t>
  </si>
  <si>
    <t>OCCM-MP</t>
  </si>
  <si>
    <t>Suspension Clamp Tightening Work &amp; Other Line Main</t>
  </si>
  <si>
    <t>S.K. BHALADHARE</t>
  </si>
  <si>
    <t>9425807264</t>
  </si>
  <si>
    <t>MR2607/0257</t>
  </si>
  <si>
    <t>220KV_220kV Mahalgaon - Datia &amp; 220kV Mahalgaon - PGCIL ckt-III</t>
  </si>
  <si>
    <t>220KV_MAHALGAON</t>
  </si>
  <si>
    <t>Modifiction work</t>
  </si>
  <si>
    <t>22-07-2026 10:00:00</t>
  </si>
  <si>
    <t>05-08-2026 18:00:00</t>
  </si>
  <si>
    <t>Pankaj Kumar</t>
  </si>
  <si>
    <t>9425805317</t>
  </si>
  <si>
    <t>MR2607/0356</t>
  </si>
  <si>
    <t>132KV_50 MVA TAL X-MER</t>
  </si>
  <si>
    <t>220KV_MAIHAR</t>
  </si>
  <si>
    <t>For Shifting of LV side RYB phase CT</t>
  </si>
  <si>
    <t>ARUN KUMAR KOL</t>
  </si>
  <si>
    <t>7000923305</t>
  </si>
  <si>
    <t>MR2607/0352</t>
  </si>
  <si>
    <t>132KV_132 kv Katra-Mangawan DCSS line</t>
  </si>
  <si>
    <t>132KV_MANGAWAN</t>
  </si>
  <si>
    <t>flash over disc replacement &amp; other maintenance wo</t>
  </si>
  <si>
    <t>Mr. Ajay Kumar Chaurasia</t>
  </si>
  <si>
    <t>9425805081</t>
  </si>
  <si>
    <t>MR2607/0345</t>
  </si>
  <si>
    <t>132KV_132KV 50MVA BBL X-MER</t>
  </si>
  <si>
    <t>132KV_MAUGANJ</t>
  </si>
  <si>
    <t>50MVA BBL X-MER For HV B Ph. CT Hot Point Attend.</t>
  </si>
  <si>
    <t>A.E. Kanishka singh</t>
  </si>
  <si>
    <t>9425804656</t>
  </si>
  <si>
    <t>MR2607/0343</t>
  </si>
  <si>
    <t>220KV_220 KV Nagra - Sailana Ckt-1st&amp;2nd</t>
  </si>
  <si>
    <t>220KV_NAGRA</t>
  </si>
  <si>
    <t>For OPGW replacement work</t>
  </si>
  <si>
    <t>23-07-2026 09:00:00</t>
  </si>
  <si>
    <t>Pappu Singh Solanki</t>
  </si>
  <si>
    <t>9425820041</t>
  </si>
  <si>
    <t>MR2607/0353</t>
  </si>
  <si>
    <t>132KV_40 MVA 132/33KV BHEL Make X-MER</t>
  </si>
  <si>
    <t>132KV_NARSINGHPUR1</t>
  </si>
  <si>
    <t>Differential  Relay replacement  and Testing work</t>
  </si>
  <si>
    <t>Jayprakash dharne</t>
  </si>
  <si>
    <t>9407033660</t>
  </si>
  <si>
    <t>MR2607/0342</t>
  </si>
  <si>
    <t>220KV_OPGW of 220 KV Mandsaur Nipaniya line</t>
  </si>
  <si>
    <t>220KV_NIPANIYA</t>
  </si>
  <si>
    <t>OPGW Work</t>
  </si>
  <si>
    <t>23-07-2026 08:00:00</t>
  </si>
  <si>
    <t>Gaurav Goyal</t>
  </si>
  <si>
    <t>9425805120</t>
  </si>
  <si>
    <t>MR2607/0339</t>
  </si>
  <si>
    <t>220KV_220KV Mandsaur Nipaniya Circuit Ist</t>
  </si>
  <si>
    <t>Hotline shutdown</t>
  </si>
  <si>
    <t>MR2607/0341</t>
  </si>
  <si>
    <t>220KV_220KV Mandsaur Nipaniya Circuit IInd</t>
  </si>
  <si>
    <t>MR2607/0357</t>
  </si>
  <si>
    <t>132KV_132 KV PANAGAR - KATANGI LINE</t>
  </si>
  <si>
    <t>220KV_PANAGAR</t>
  </si>
  <si>
    <t>F/o Disc Replacement and Other Line Maintenance</t>
  </si>
  <si>
    <t>MANOJ KUMAR TIWARI</t>
  </si>
  <si>
    <t>9425804993</t>
  </si>
  <si>
    <t>MR2607/0347</t>
  </si>
  <si>
    <t>132KV_132 KV Pipariya-Bareli I</t>
  </si>
  <si>
    <t>132KV_PIPARIYA1</t>
  </si>
  <si>
    <t>Flash over disc replacement work</t>
  </si>
  <si>
    <t>Ashutosh Rai</t>
  </si>
  <si>
    <t>9425806902</t>
  </si>
  <si>
    <t>MR2607/0346</t>
  </si>
  <si>
    <t>132KV_132 kv Rampur baghelan- Rewa (Tap Bela Cement) Line</t>
  </si>
  <si>
    <t>132KV_RAMPUR BAGHELAN</t>
  </si>
  <si>
    <t>For re-connecting of jumper at loc. no. 44</t>
  </si>
  <si>
    <t>24-07-2026 15:00:00</t>
  </si>
  <si>
    <t>MR2607/0359</t>
  </si>
  <si>
    <t>220KV_220 KV Ratlam - Badnawar Ckt-1st &amp; 2nd</t>
  </si>
  <si>
    <t>220KV_RATLAM</t>
  </si>
  <si>
    <t>for flashover disc replacement</t>
  </si>
  <si>
    <t>MR2607/0355</t>
  </si>
  <si>
    <t>132KV_132 KV Udaipura-Tendukheda Line Ckt-I</t>
  </si>
  <si>
    <t>132KV_TENDUKHEDA</t>
  </si>
  <si>
    <t>Flashover disc replacement work at loc. No. 32/B-0</t>
  </si>
  <si>
    <t>Ashish Kumar</t>
  </si>
  <si>
    <t>9425805935</t>
  </si>
  <si>
    <t>ok</t>
  </si>
  <si>
    <t>deferred, as s/d approved on 220 kV Anuppur-Kotmikala Circuit I</t>
  </si>
  <si>
    <t>real time</t>
  </si>
  <si>
    <t>ok, line to be in service</t>
  </si>
  <si>
    <t>ok, through sub ld</t>
  </si>
  <si>
    <t>deferred, not in WR list</t>
  </si>
  <si>
    <t>ok, outage of CG on the same line is also approved</t>
  </si>
  <si>
    <t>telemetry confirmation to be done from SCADA</t>
  </si>
  <si>
    <t>sub ld</t>
  </si>
  <si>
    <t>ok, o&amp;m shall be informed</t>
  </si>
  <si>
    <t>send proposal to WRLDC for any emergency s/d</t>
  </si>
  <si>
    <t>as opportunity s/d</t>
  </si>
  <si>
    <t>provide the details of the work done and pending</t>
  </si>
  <si>
    <t>APPROVED OUTAGE LIST FOR DATED 24.07.2026</t>
  </si>
  <si>
    <t>400KV-KIRNAPUR-BHILAI-1</t>
  </si>
  <si>
    <t>24-Jul-2026</t>
  </si>
  <si>
    <t>09:00</t>
  </si>
  <si>
    <t>17:00</t>
  </si>
  <si>
    <t>Annual Maintenance Program  &amp; Testing work at 400 KV S/s Khedamara.</t>
  </si>
  <si>
    <t>ok, outage of MPPTCL on the same line is also approved</t>
  </si>
  <si>
    <t>220KV-ANNUPUR-KOTMIKALA-1</t>
  </si>
  <si>
    <t>08:00</t>
  </si>
  <si>
    <t>18:00</t>
  </si>
  <si>
    <t>FOR CONDUCTOR RE-SAGGING WORK AT VARIOUS SECTION OF LINE</t>
  </si>
  <si>
    <t>FOR LINE MAINTENANCE WORK I.E. CLEANING OF DISC INSULATORS DURING LINE PATROLLING, REPLACEMENT OF FLASHOVERED DISC INSULATORS, TREE BRANCH CUTTING ETC AT VARIOUS TOWER LOCATIONS</t>
  </si>
  <si>
    <t>220KV-MEHGAON-AURIYA-1</t>
  </si>
  <si>
    <t xml:space="preserve">For replacement of defective dics insulator string at various locations </t>
  </si>
  <si>
    <t>220KV-GWALIOR-DATIA-1</t>
  </si>
  <si>
    <t>FOR BAY MAINTENANCE &amp; TESTING WORK AT SUBSTASTION, REPLACEMENT OF DAMAGED CLAMPS/JUMPERS ETC.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</si>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</sst>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24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wrapText="1"/>
    </xf>
    <xf numFmtId="0" fontId="0" fillId="4" borderId="5" xfId="0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tabSelected="1" workbookViewId="0">
      <pane xSplit="5" ySplit="1" topLeftCell="H2" activePane="bottomRight" state="frozen"/>
      <selection pane="topRight" activeCell="F1" sqref="F1"/>
      <selection pane="bottomLeft" activeCell="A2" sqref="A2"/>
      <selection pane="bottomRight" activeCell="C33" sqref="C33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4.140625" style="12" customWidth="1"/>
    <col min="6" max="6" width="21.85546875" customWidth="1"/>
    <col min="7" max="7" width="16.140625" customWidth="1"/>
    <col min="8" max="8" width="48.42578125" customWidth="1"/>
    <col min="9" max="10" width="19.5703125" customWidth="1"/>
    <col min="11" max="11" width="19.7109375" customWidth="1"/>
    <col min="12" max="12" width="12" customWidth="1"/>
    <col min="13" max="13" width="35" style="12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46227</v>
      </c>
      <c r="C2" s="1"/>
      <c r="D2" s="1"/>
      <c r="E2" s="17" t="s">
        <v>195</v>
      </c>
      <c r="F2" s="18"/>
      <c r="G2" s="18"/>
      <c r="H2" s="19"/>
      <c r="I2" s="1"/>
      <c r="J2" s="1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28.5" customHeight="1" x14ac:dyDescent="0.25">
      <c r="A5" s="4">
        <v>1</v>
      </c>
      <c r="B5" s="5">
        <v>46224.749571759261</v>
      </c>
      <c r="C5" s="4" t="s">
        <v>17</v>
      </c>
      <c r="D5" s="4"/>
      <c r="E5" s="11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1" t="s">
        <v>182</v>
      </c>
    </row>
    <row r="6" spans="1:13" ht="28.5" customHeight="1" x14ac:dyDescent="0.25">
      <c r="A6" s="4">
        <f>A5+1</f>
        <v>2</v>
      </c>
      <c r="B6" s="5">
        <v>46224.727569444447</v>
      </c>
      <c r="C6" s="4" t="s">
        <v>26</v>
      </c>
      <c r="D6" s="4"/>
      <c r="E6" s="11" t="s">
        <v>27</v>
      </c>
      <c r="F6" s="4" t="s">
        <v>19</v>
      </c>
      <c r="G6" s="4" t="s">
        <v>20</v>
      </c>
      <c r="H6" s="4" t="s">
        <v>21</v>
      </c>
      <c r="I6" s="6" t="s">
        <v>28</v>
      </c>
      <c r="J6" s="6" t="s">
        <v>29</v>
      </c>
      <c r="K6" s="7" t="s">
        <v>24</v>
      </c>
      <c r="L6" s="8" t="s">
        <v>25</v>
      </c>
      <c r="M6" s="11" t="s">
        <v>182</v>
      </c>
    </row>
    <row r="7" spans="1:13" ht="28.5" customHeight="1" x14ac:dyDescent="0.25">
      <c r="A7" s="4">
        <f t="shared" ref="A7:A35" si="0">A6+1</f>
        <v>3</v>
      </c>
      <c r="B7" s="5">
        <v>46184.684016203704</v>
      </c>
      <c r="C7" s="4" t="s">
        <v>30</v>
      </c>
      <c r="D7" s="4" t="s">
        <v>31</v>
      </c>
      <c r="E7" s="11" t="s">
        <v>32</v>
      </c>
      <c r="F7" s="4" t="s">
        <v>33</v>
      </c>
      <c r="G7" s="4" t="s">
        <v>34</v>
      </c>
      <c r="H7" s="4" t="s">
        <v>35</v>
      </c>
      <c r="I7" s="6" t="s">
        <v>36</v>
      </c>
      <c r="J7" s="6" t="s">
        <v>37</v>
      </c>
      <c r="K7" s="7" t="s">
        <v>38</v>
      </c>
      <c r="L7" s="8" t="s">
        <v>39</v>
      </c>
      <c r="M7" s="11" t="s">
        <v>183</v>
      </c>
    </row>
    <row r="8" spans="1:13" ht="28.5" customHeight="1" x14ac:dyDescent="0.25">
      <c r="A8" s="4">
        <f t="shared" si="0"/>
        <v>4</v>
      </c>
      <c r="B8" s="5">
        <v>46226.5703125</v>
      </c>
      <c r="C8" s="4" t="s">
        <v>40</v>
      </c>
      <c r="D8" s="4"/>
      <c r="E8" s="11" t="s">
        <v>41</v>
      </c>
      <c r="F8" s="4" t="s">
        <v>42</v>
      </c>
      <c r="G8" s="4" t="s">
        <v>20</v>
      </c>
      <c r="H8" s="4" t="s">
        <v>43</v>
      </c>
      <c r="I8" s="6" t="s">
        <v>44</v>
      </c>
      <c r="J8" s="6" t="s">
        <v>45</v>
      </c>
      <c r="K8" s="7" t="s">
        <v>46</v>
      </c>
      <c r="L8" s="8" t="s">
        <v>47</v>
      </c>
      <c r="M8" s="11" t="s">
        <v>194</v>
      </c>
    </row>
    <row r="9" spans="1:13" ht="28.5" customHeight="1" x14ac:dyDescent="0.25">
      <c r="A9" s="4">
        <f t="shared" si="0"/>
        <v>5</v>
      </c>
      <c r="B9" s="5">
        <v>46226.621550925927</v>
      </c>
      <c r="C9" s="4" t="s">
        <v>48</v>
      </c>
      <c r="D9" s="4"/>
      <c r="E9" s="11" t="s">
        <v>49</v>
      </c>
      <c r="F9" s="4" t="s">
        <v>50</v>
      </c>
      <c r="G9" s="4" t="s">
        <v>34</v>
      </c>
      <c r="H9" s="4" t="s">
        <v>51</v>
      </c>
      <c r="I9" s="6" t="s">
        <v>52</v>
      </c>
      <c r="J9" s="6" t="s">
        <v>23</v>
      </c>
      <c r="K9" s="7" t="s">
        <v>53</v>
      </c>
      <c r="L9" s="8" t="s">
        <v>54</v>
      </c>
      <c r="M9" s="11" t="s">
        <v>184</v>
      </c>
    </row>
    <row r="10" spans="1:13" ht="28.5" customHeight="1" x14ac:dyDescent="0.25">
      <c r="A10" s="4">
        <f t="shared" si="0"/>
        <v>6</v>
      </c>
      <c r="B10" s="5">
        <v>46223.674907407411</v>
      </c>
      <c r="C10" s="4" t="s">
        <v>55</v>
      </c>
      <c r="D10" s="4" t="s">
        <v>31</v>
      </c>
      <c r="E10" s="11" t="s">
        <v>56</v>
      </c>
      <c r="F10" s="4" t="s">
        <v>57</v>
      </c>
      <c r="G10" s="4" t="s">
        <v>34</v>
      </c>
      <c r="H10" s="4" t="s">
        <v>58</v>
      </c>
      <c r="I10" s="6" t="s">
        <v>59</v>
      </c>
      <c r="J10" s="6" t="s">
        <v>60</v>
      </c>
      <c r="K10" s="7" t="s">
        <v>61</v>
      </c>
      <c r="L10" s="8" t="s">
        <v>62</v>
      </c>
      <c r="M10" s="11" t="s">
        <v>185</v>
      </c>
    </row>
    <row r="11" spans="1:13" ht="28.5" customHeight="1" x14ac:dyDescent="0.25">
      <c r="A11" s="4">
        <f t="shared" si="0"/>
        <v>7</v>
      </c>
      <c r="B11" s="5">
        <v>46226.653749999998</v>
      </c>
      <c r="C11" s="4" t="s">
        <v>67</v>
      </c>
      <c r="D11" s="4"/>
      <c r="E11" s="11" t="s">
        <v>68</v>
      </c>
      <c r="F11" s="4" t="s">
        <v>63</v>
      </c>
      <c r="G11" s="4" t="s">
        <v>20</v>
      </c>
      <c r="H11" s="4" t="s">
        <v>64</v>
      </c>
      <c r="I11" s="6" t="s">
        <v>52</v>
      </c>
      <c r="J11" s="6" t="s">
        <v>69</v>
      </c>
      <c r="K11" s="7" t="s">
        <v>65</v>
      </c>
      <c r="L11" s="8" t="s">
        <v>66</v>
      </c>
      <c r="M11" s="11" t="s">
        <v>192</v>
      </c>
    </row>
    <row r="12" spans="1:13" ht="28.5" customHeight="1" x14ac:dyDescent="0.25">
      <c r="A12" s="4">
        <f t="shared" si="0"/>
        <v>8</v>
      </c>
      <c r="B12" s="5">
        <v>46225.675775462965</v>
      </c>
      <c r="C12" s="4" t="s">
        <v>70</v>
      </c>
      <c r="D12" s="4" t="s">
        <v>71</v>
      </c>
      <c r="E12" s="11" t="s">
        <v>72</v>
      </c>
      <c r="F12" s="4" t="s">
        <v>73</v>
      </c>
      <c r="G12" s="4" t="s">
        <v>34</v>
      </c>
      <c r="H12" s="4" t="s">
        <v>74</v>
      </c>
      <c r="I12" s="6" t="s">
        <v>75</v>
      </c>
      <c r="J12" s="6" t="s">
        <v>76</v>
      </c>
      <c r="K12" s="7" t="s">
        <v>77</v>
      </c>
      <c r="L12" s="8" t="s">
        <v>78</v>
      </c>
      <c r="M12" s="11" t="s">
        <v>71</v>
      </c>
    </row>
    <row r="13" spans="1:13" ht="28.5" customHeight="1" x14ac:dyDescent="0.25">
      <c r="A13" s="4">
        <f t="shared" si="0"/>
        <v>9</v>
      </c>
      <c r="B13" s="5">
        <v>46224.76457175926</v>
      </c>
      <c r="C13" s="4" t="s">
        <v>79</v>
      </c>
      <c r="D13" s="4" t="s">
        <v>31</v>
      </c>
      <c r="E13" s="11" t="s">
        <v>80</v>
      </c>
      <c r="F13" s="4" t="s">
        <v>81</v>
      </c>
      <c r="G13" s="4" t="s">
        <v>34</v>
      </c>
      <c r="H13" s="4" t="s">
        <v>82</v>
      </c>
      <c r="I13" s="6" t="s">
        <v>83</v>
      </c>
      <c r="J13" s="6" t="s">
        <v>23</v>
      </c>
      <c r="K13" s="7" t="s">
        <v>84</v>
      </c>
      <c r="L13" s="8" t="s">
        <v>85</v>
      </c>
      <c r="M13" s="11" t="s">
        <v>186</v>
      </c>
    </row>
    <row r="14" spans="1:13" ht="28.5" customHeight="1" x14ac:dyDescent="0.25">
      <c r="A14" s="4">
        <f t="shared" si="0"/>
        <v>10</v>
      </c>
      <c r="B14" s="5">
        <v>46226.56958333333</v>
      </c>
      <c r="C14" s="4" t="s">
        <v>86</v>
      </c>
      <c r="D14" s="4"/>
      <c r="E14" s="11" t="s">
        <v>87</v>
      </c>
      <c r="F14" s="4" t="s">
        <v>88</v>
      </c>
      <c r="G14" s="4" t="s">
        <v>34</v>
      </c>
      <c r="H14" s="4" t="s">
        <v>89</v>
      </c>
      <c r="I14" s="6" t="s">
        <v>28</v>
      </c>
      <c r="J14" s="6" t="s">
        <v>23</v>
      </c>
      <c r="K14" s="7" t="s">
        <v>90</v>
      </c>
      <c r="L14" s="8" t="s">
        <v>91</v>
      </c>
      <c r="M14" s="11" t="s">
        <v>182</v>
      </c>
    </row>
    <row r="15" spans="1:13" ht="28.5" customHeight="1" x14ac:dyDescent="0.25">
      <c r="A15" s="4">
        <f t="shared" si="0"/>
        <v>11</v>
      </c>
      <c r="B15" s="5">
        <v>46226.582199074073</v>
      </c>
      <c r="C15" s="4" t="s">
        <v>92</v>
      </c>
      <c r="D15" s="4" t="s">
        <v>71</v>
      </c>
      <c r="E15" s="11" t="s">
        <v>93</v>
      </c>
      <c r="F15" s="4" t="s">
        <v>94</v>
      </c>
      <c r="G15" s="4" t="s">
        <v>20</v>
      </c>
      <c r="H15" s="4" t="s">
        <v>95</v>
      </c>
      <c r="I15" s="6" t="s">
        <v>52</v>
      </c>
      <c r="J15" s="6" t="s">
        <v>96</v>
      </c>
      <c r="K15" s="7" t="s">
        <v>46</v>
      </c>
      <c r="L15" s="8" t="s">
        <v>47</v>
      </c>
      <c r="M15" s="11" t="s">
        <v>193</v>
      </c>
    </row>
    <row r="16" spans="1:13" ht="28.5" customHeight="1" x14ac:dyDescent="0.25">
      <c r="A16" s="4">
        <f t="shared" si="0"/>
        <v>12</v>
      </c>
      <c r="B16" s="5">
        <v>46225.640486111108</v>
      </c>
      <c r="C16" s="4" t="s">
        <v>97</v>
      </c>
      <c r="D16" s="4"/>
      <c r="E16" s="11" t="s">
        <v>98</v>
      </c>
      <c r="F16" s="4" t="s">
        <v>99</v>
      </c>
      <c r="G16" s="4" t="s">
        <v>100</v>
      </c>
      <c r="H16" s="4" t="s">
        <v>101</v>
      </c>
      <c r="I16" s="6" t="s">
        <v>28</v>
      </c>
      <c r="J16" s="6" t="s">
        <v>23</v>
      </c>
      <c r="K16" s="7" t="s">
        <v>102</v>
      </c>
      <c r="L16" s="8" t="s">
        <v>103</v>
      </c>
      <c r="M16" s="11" t="s">
        <v>188</v>
      </c>
    </row>
    <row r="17" spans="1:13" ht="28.5" customHeight="1" x14ac:dyDescent="0.25">
      <c r="A17" s="4">
        <f t="shared" si="0"/>
        <v>13</v>
      </c>
      <c r="B17" s="5">
        <v>46219.722129629627</v>
      </c>
      <c r="C17" s="4" t="s">
        <v>104</v>
      </c>
      <c r="D17" s="4" t="s">
        <v>71</v>
      </c>
      <c r="E17" s="11" t="s">
        <v>105</v>
      </c>
      <c r="F17" s="4" t="s">
        <v>106</v>
      </c>
      <c r="G17" s="4" t="s">
        <v>34</v>
      </c>
      <c r="H17" s="4" t="s">
        <v>107</v>
      </c>
      <c r="I17" s="6" t="s">
        <v>108</v>
      </c>
      <c r="J17" s="6" t="s">
        <v>109</v>
      </c>
      <c r="K17" s="7" t="s">
        <v>110</v>
      </c>
      <c r="L17" s="8" t="s">
        <v>111</v>
      </c>
      <c r="M17" s="11" t="s">
        <v>187</v>
      </c>
    </row>
    <row r="18" spans="1:13" ht="28.5" customHeight="1" x14ac:dyDescent="0.25">
      <c r="A18" s="4">
        <f t="shared" si="0"/>
        <v>14</v>
      </c>
      <c r="B18" s="5">
        <v>46226.632592592592</v>
      </c>
      <c r="C18" s="4" t="s">
        <v>112</v>
      </c>
      <c r="D18" s="4"/>
      <c r="E18" s="11" t="s">
        <v>113</v>
      </c>
      <c r="F18" s="4" t="s">
        <v>114</v>
      </c>
      <c r="G18" s="4" t="s">
        <v>34</v>
      </c>
      <c r="H18" s="4" t="s">
        <v>115</v>
      </c>
      <c r="I18" s="6" t="s">
        <v>52</v>
      </c>
      <c r="J18" s="6" t="s">
        <v>23</v>
      </c>
      <c r="K18" s="7" t="s">
        <v>116</v>
      </c>
      <c r="L18" s="8" t="s">
        <v>117</v>
      </c>
      <c r="M18" s="11" t="s">
        <v>182</v>
      </c>
    </row>
    <row r="19" spans="1:13" ht="28.5" customHeight="1" x14ac:dyDescent="0.25">
      <c r="A19" s="4">
        <f t="shared" si="0"/>
        <v>15</v>
      </c>
      <c r="B19" s="5">
        <v>46226.586377314816</v>
      </c>
      <c r="C19" s="4" t="s">
        <v>118</v>
      </c>
      <c r="D19" s="4"/>
      <c r="E19" s="11" t="s">
        <v>119</v>
      </c>
      <c r="F19" s="4" t="s">
        <v>120</v>
      </c>
      <c r="G19" s="4" t="s">
        <v>34</v>
      </c>
      <c r="H19" s="4" t="s">
        <v>121</v>
      </c>
      <c r="I19" s="6" t="s">
        <v>44</v>
      </c>
      <c r="J19" s="6" t="s">
        <v>69</v>
      </c>
      <c r="K19" s="7" t="s">
        <v>122</v>
      </c>
      <c r="L19" s="8" t="s">
        <v>123</v>
      </c>
      <c r="M19" s="11" t="s">
        <v>182</v>
      </c>
    </row>
    <row r="20" spans="1:13" ht="28.5" customHeight="1" x14ac:dyDescent="0.25">
      <c r="A20" s="4">
        <f t="shared" si="0"/>
        <v>16</v>
      </c>
      <c r="B20" s="5">
        <v>46226.532372685186</v>
      </c>
      <c r="C20" s="4" t="s">
        <v>124</v>
      </c>
      <c r="D20" s="4"/>
      <c r="E20" s="11" t="s">
        <v>125</v>
      </c>
      <c r="F20" s="4" t="s">
        <v>126</v>
      </c>
      <c r="G20" s="4" t="s">
        <v>20</v>
      </c>
      <c r="H20" s="4" t="s">
        <v>127</v>
      </c>
      <c r="I20" s="6" t="s">
        <v>44</v>
      </c>
      <c r="J20" s="6" t="s">
        <v>29</v>
      </c>
      <c r="K20" s="7" t="s">
        <v>128</v>
      </c>
      <c r="L20" s="8" t="s">
        <v>129</v>
      </c>
      <c r="M20" s="11" t="s">
        <v>182</v>
      </c>
    </row>
    <row r="21" spans="1:13" ht="28.5" customHeight="1" x14ac:dyDescent="0.25">
      <c r="A21" s="4">
        <f t="shared" si="0"/>
        <v>17</v>
      </c>
      <c r="B21" s="5">
        <v>46225.684259259258</v>
      </c>
      <c r="C21" s="4" t="s">
        <v>130</v>
      </c>
      <c r="D21" s="4" t="s">
        <v>31</v>
      </c>
      <c r="E21" s="11" t="s">
        <v>131</v>
      </c>
      <c r="F21" s="4" t="s">
        <v>132</v>
      </c>
      <c r="G21" s="4" t="s">
        <v>34</v>
      </c>
      <c r="H21" s="4" t="s">
        <v>133</v>
      </c>
      <c r="I21" s="6" t="s">
        <v>134</v>
      </c>
      <c r="J21" s="6" t="s">
        <v>69</v>
      </c>
      <c r="K21" s="7" t="s">
        <v>135</v>
      </c>
      <c r="L21" s="8" t="s">
        <v>136</v>
      </c>
      <c r="M21" s="11" t="s">
        <v>189</v>
      </c>
    </row>
    <row r="22" spans="1:13" ht="28.5" customHeight="1" x14ac:dyDescent="0.25">
      <c r="A22" s="4">
        <f t="shared" si="0"/>
        <v>18</v>
      </c>
      <c r="B22" s="5">
        <v>46226.616550925923</v>
      </c>
      <c r="C22" s="4" t="s">
        <v>137</v>
      </c>
      <c r="D22" s="4"/>
      <c r="E22" s="11" t="s">
        <v>138</v>
      </c>
      <c r="F22" s="4" t="s">
        <v>139</v>
      </c>
      <c r="G22" s="4" t="s">
        <v>34</v>
      </c>
      <c r="H22" s="4" t="s">
        <v>140</v>
      </c>
      <c r="I22" s="6" t="s">
        <v>52</v>
      </c>
      <c r="J22" s="6" t="s">
        <v>23</v>
      </c>
      <c r="K22" s="7" t="s">
        <v>141</v>
      </c>
      <c r="L22" s="8" t="s">
        <v>142</v>
      </c>
      <c r="M22" s="11" t="s">
        <v>191</v>
      </c>
    </row>
    <row r="23" spans="1:13" ht="28.5" customHeight="1" x14ac:dyDescent="0.25">
      <c r="A23" s="4">
        <f t="shared" si="0"/>
        <v>19</v>
      </c>
      <c r="B23" s="5">
        <v>46225.682719907411</v>
      </c>
      <c r="C23" s="4" t="s">
        <v>143</v>
      </c>
      <c r="D23" s="4" t="s">
        <v>71</v>
      </c>
      <c r="E23" s="11" t="s">
        <v>144</v>
      </c>
      <c r="F23" s="4" t="s">
        <v>145</v>
      </c>
      <c r="G23" s="4" t="s">
        <v>34</v>
      </c>
      <c r="H23" s="4" t="s">
        <v>146</v>
      </c>
      <c r="I23" s="6" t="s">
        <v>147</v>
      </c>
      <c r="J23" s="6" t="s">
        <v>23</v>
      </c>
      <c r="K23" s="7" t="s">
        <v>148</v>
      </c>
      <c r="L23" s="8" t="s">
        <v>149</v>
      </c>
      <c r="M23" s="11" t="s">
        <v>185</v>
      </c>
    </row>
    <row r="24" spans="1:13" ht="28.5" customHeight="1" x14ac:dyDescent="0.25">
      <c r="A24" s="4">
        <f t="shared" si="0"/>
        <v>20</v>
      </c>
      <c r="B24" s="5">
        <v>46225.675347222219</v>
      </c>
      <c r="C24" s="4" t="s">
        <v>150</v>
      </c>
      <c r="D24" s="4" t="s">
        <v>31</v>
      </c>
      <c r="E24" s="11" t="s">
        <v>151</v>
      </c>
      <c r="F24" s="4" t="s">
        <v>145</v>
      </c>
      <c r="G24" s="4" t="s">
        <v>34</v>
      </c>
      <c r="H24" s="4" t="s">
        <v>152</v>
      </c>
      <c r="I24" s="6" t="s">
        <v>147</v>
      </c>
      <c r="J24" s="6" t="s">
        <v>23</v>
      </c>
      <c r="K24" s="7" t="s">
        <v>148</v>
      </c>
      <c r="L24" s="8" t="s">
        <v>149</v>
      </c>
      <c r="M24" s="11" t="s">
        <v>185</v>
      </c>
    </row>
    <row r="25" spans="1:13" ht="28.5" customHeight="1" x14ac:dyDescent="0.25">
      <c r="A25" s="4">
        <f t="shared" si="0"/>
        <v>21</v>
      </c>
      <c r="B25" s="5">
        <v>46225.67664351852</v>
      </c>
      <c r="C25" s="4" t="s">
        <v>153</v>
      </c>
      <c r="D25" s="4" t="s">
        <v>31</v>
      </c>
      <c r="E25" s="11" t="s">
        <v>154</v>
      </c>
      <c r="F25" s="4" t="s">
        <v>145</v>
      </c>
      <c r="G25" s="4" t="s">
        <v>34</v>
      </c>
      <c r="H25" s="4" t="s">
        <v>152</v>
      </c>
      <c r="I25" s="6" t="s">
        <v>147</v>
      </c>
      <c r="J25" s="6" t="s">
        <v>23</v>
      </c>
      <c r="K25" s="7" t="s">
        <v>148</v>
      </c>
      <c r="L25" s="8" t="s">
        <v>149</v>
      </c>
      <c r="M25" s="11" t="s">
        <v>185</v>
      </c>
    </row>
    <row r="26" spans="1:13" ht="28.5" customHeight="1" x14ac:dyDescent="0.25">
      <c r="A26" s="4">
        <f t="shared" si="0"/>
        <v>22</v>
      </c>
      <c r="B26" s="5">
        <v>46226.646180555559</v>
      </c>
      <c r="C26" s="4" t="s">
        <v>155</v>
      </c>
      <c r="D26" s="4"/>
      <c r="E26" s="11" t="s">
        <v>156</v>
      </c>
      <c r="F26" s="4" t="s">
        <v>157</v>
      </c>
      <c r="G26" s="4" t="s">
        <v>34</v>
      </c>
      <c r="H26" s="4" t="s">
        <v>158</v>
      </c>
      <c r="I26" s="6" t="s">
        <v>52</v>
      </c>
      <c r="J26" s="6" t="s">
        <v>69</v>
      </c>
      <c r="K26" s="7" t="s">
        <v>159</v>
      </c>
      <c r="L26" s="8" t="s">
        <v>160</v>
      </c>
      <c r="M26" s="11" t="s">
        <v>182</v>
      </c>
    </row>
    <row r="27" spans="1:13" ht="28.5" customHeight="1" x14ac:dyDescent="0.25">
      <c r="A27" s="4">
        <f t="shared" si="0"/>
        <v>23</v>
      </c>
      <c r="B27" s="5">
        <v>46226.549502314818</v>
      </c>
      <c r="C27" s="4" t="s">
        <v>161</v>
      </c>
      <c r="D27" s="4"/>
      <c r="E27" s="11" t="s">
        <v>162</v>
      </c>
      <c r="F27" s="4" t="s">
        <v>163</v>
      </c>
      <c r="G27" s="4" t="s">
        <v>34</v>
      </c>
      <c r="H27" s="4" t="s">
        <v>164</v>
      </c>
      <c r="I27" s="6" t="s">
        <v>52</v>
      </c>
      <c r="J27" s="6" t="s">
        <v>69</v>
      </c>
      <c r="K27" s="7" t="s">
        <v>165</v>
      </c>
      <c r="L27" s="8" t="s">
        <v>166</v>
      </c>
      <c r="M27" s="11" t="s">
        <v>190</v>
      </c>
    </row>
    <row r="28" spans="1:13" ht="28.5" customHeight="1" x14ac:dyDescent="0.25">
      <c r="A28" s="4">
        <f t="shared" si="0"/>
        <v>24</v>
      </c>
      <c r="B28" s="5">
        <v>46226.543981481482</v>
      </c>
      <c r="C28" s="4" t="s">
        <v>167</v>
      </c>
      <c r="D28" s="4"/>
      <c r="E28" s="11" t="s">
        <v>168</v>
      </c>
      <c r="F28" s="4" t="s">
        <v>169</v>
      </c>
      <c r="G28" s="4" t="s">
        <v>34</v>
      </c>
      <c r="H28" s="4" t="s">
        <v>170</v>
      </c>
      <c r="I28" s="6" t="s">
        <v>171</v>
      </c>
      <c r="J28" s="6" t="s">
        <v>69</v>
      </c>
      <c r="K28" s="7" t="s">
        <v>122</v>
      </c>
      <c r="L28" s="8" t="s">
        <v>123</v>
      </c>
      <c r="M28" s="11" t="s">
        <v>182</v>
      </c>
    </row>
    <row r="29" spans="1:13" ht="28.5" customHeight="1" x14ac:dyDescent="0.25">
      <c r="A29" s="4">
        <f t="shared" si="0"/>
        <v>25</v>
      </c>
      <c r="B29" s="5">
        <v>46226.712766203702</v>
      </c>
      <c r="C29" s="4" t="s">
        <v>172</v>
      </c>
      <c r="D29" s="4"/>
      <c r="E29" s="11" t="s">
        <v>173</v>
      </c>
      <c r="F29" s="4" t="s">
        <v>174</v>
      </c>
      <c r="G29" s="4" t="s">
        <v>34</v>
      </c>
      <c r="H29" s="4" t="s">
        <v>175</v>
      </c>
      <c r="I29" s="6" t="s">
        <v>52</v>
      </c>
      <c r="J29" s="6" t="s">
        <v>23</v>
      </c>
      <c r="K29" s="7" t="s">
        <v>135</v>
      </c>
      <c r="L29" s="8" t="s">
        <v>136</v>
      </c>
      <c r="M29" s="11" t="s">
        <v>186</v>
      </c>
    </row>
    <row r="30" spans="1:13" ht="28.5" customHeight="1" x14ac:dyDescent="0.25">
      <c r="A30" s="20">
        <f t="shared" si="0"/>
        <v>26</v>
      </c>
      <c r="B30" s="21">
        <v>46226.631249999999</v>
      </c>
      <c r="C30" s="20" t="s">
        <v>176</v>
      </c>
      <c r="D30" s="20"/>
      <c r="E30" s="22" t="s">
        <v>177</v>
      </c>
      <c r="F30" s="20" t="s">
        <v>178</v>
      </c>
      <c r="G30" s="20" t="s">
        <v>34</v>
      </c>
      <c r="H30" s="20" t="s">
        <v>179</v>
      </c>
      <c r="I30" s="23" t="s">
        <v>52</v>
      </c>
      <c r="J30" s="23" t="s">
        <v>23</v>
      </c>
      <c r="K30" s="24" t="s">
        <v>180</v>
      </c>
      <c r="L30" s="25" t="s">
        <v>181</v>
      </c>
      <c r="M30" s="22" t="s">
        <v>191</v>
      </c>
    </row>
    <row r="31" spans="1:13" ht="30" x14ac:dyDescent="0.25">
      <c r="A31" s="4">
        <f t="shared" si="0"/>
        <v>27</v>
      </c>
      <c r="B31" s="27"/>
      <c r="C31" s="27"/>
      <c r="D31" s="27"/>
      <c r="E31" s="26" t="s">
        <v>196</v>
      </c>
      <c r="F31" s="27"/>
      <c r="G31" s="27"/>
      <c r="H31" s="26" t="s">
        <v>200</v>
      </c>
      <c r="I31" s="26" t="s">
        <v>197</v>
      </c>
      <c r="J31" s="26" t="s">
        <v>198</v>
      </c>
      <c r="K31" s="26" t="s">
        <v>197</v>
      </c>
      <c r="L31" s="26" t="s">
        <v>199</v>
      </c>
      <c r="M31" s="28" t="s">
        <v>201</v>
      </c>
    </row>
    <row r="32" spans="1:13" ht="30" x14ac:dyDescent="0.25">
      <c r="A32" s="20">
        <f t="shared" si="0"/>
        <v>28</v>
      </c>
      <c r="B32" s="27"/>
      <c r="C32" s="27"/>
      <c r="D32" s="27"/>
      <c r="E32" s="26" t="s">
        <v>202</v>
      </c>
      <c r="F32" s="27"/>
      <c r="G32" s="27"/>
      <c r="H32" s="26" t="s">
        <v>205</v>
      </c>
      <c r="I32" s="26" t="s">
        <v>197</v>
      </c>
      <c r="J32" s="26" t="s">
        <v>203</v>
      </c>
      <c r="K32" s="26" t="s">
        <v>197</v>
      </c>
      <c r="L32" s="26" t="s">
        <v>204</v>
      </c>
      <c r="M32" s="28" t="s">
        <v>182</v>
      </c>
    </row>
    <row r="33" spans="1:13" ht="75" x14ac:dyDescent="0.25">
      <c r="A33" s="4">
        <f t="shared" si="0"/>
        <v>29</v>
      </c>
      <c r="B33" s="27"/>
      <c r="C33" s="27"/>
      <c r="D33" s="27"/>
      <c r="E33" s="26" t="s">
        <v>196</v>
      </c>
      <c r="F33" s="27"/>
      <c r="G33" s="27"/>
      <c r="H33" s="26" t="s">
        <v>206</v>
      </c>
      <c r="I33" s="26" t="s">
        <v>197</v>
      </c>
      <c r="J33" s="26" t="s">
        <v>198</v>
      </c>
      <c r="K33" s="26" t="s">
        <v>197</v>
      </c>
      <c r="L33" s="26" t="s">
        <v>204</v>
      </c>
      <c r="M33" s="28" t="s">
        <v>188</v>
      </c>
    </row>
    <row r="34" spans="1:13" ht="30" x14ac:dyDescent="0.25">
      <c r="A34" s="20">
        <f t="shared" si="0"/>
        <v>30</v>
      </c>
      <c r="B34" s="27"/>
      <c r="C34" s="27"/>
      <c r="D34" s="27"/>
      <c r="E34" s="26" t="s">
        <v>207</v>
      </c>
      <c r="F34" s="27"/>
      <c r="G34" s="27"/>
      <c r="H34" s="26" t="s">
        <v>208</v>
      </c>
      <c r="I34" s="26" t="s">
        <v>197</v>
      </c>
      <c r="J34" s="26" t="s">
        <v>198</v>
      </c>
      <c r="K34" s="26" t="s">
        <v>197</v>
      </c>
      <c r="L34" s="26" t="s">
        <v>199</v>
      </c>
      <c r="M34" s="28" t="s">
        <v>186</v>
      </c>
    </row>
    <row r="35" spans="1:13" ht="45" x14ac:dyDescent="0.25">
      <c r="A35" s="4">
        <f t="shared" si="0"/>
        <v>31</v>
      </c>
      <c r="B35" s="27"/>
      <c r="C35" s="27"/>
      <c r="D35" s="27"/>
      <c r="E35" s="26" t="s">
        <v>209</v>
      </c>
      <c r="F35" s="27"/>
      <c r="G35" s="27"/>
      <c r="H35" s="26" t="s">
        <v>210</v>
      </c>
      <c r="I35" s="26" t="s">
        <v>197</v>
      </c>
      <c r="J35" s="26" t="s">
        <v>198</v>
      </c>
      <c r="K35" s="26" t="s">
        <v>197</v>
      </c>
      <c r="L35" s="26" t="s">
        <v>199</v>
      </c>
      <c r="M35" s="28" t="s">
        <v>184</v>
      </c>
    </row>
    <row r="36" spans="1:13" x14ac:dyDescent="0.25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9" t="s">
        <v>211</v>
      </c>
    </row>
  </sheetData>
  <mergeCells count="3">
    <mergeCell ref="B1:M1"/>
    <mergeCell ref="K4:L4"/>
    <mergeCell ref="E2:H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2026-07-23T11:43:23Z</dcterms:created>
  <dcterms:modified xsi:type="dcterms:W3CDTF">2026-07-23T15:30:27Z</dcterms:modified>
</cp:coreProperties>
</file>
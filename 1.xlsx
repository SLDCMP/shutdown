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Sheet0!$A$1:$M$26</definedName>
  </definedNames>
  <calcPr calcId="162913"/>
</workbook>
</file>

<file path=xl/calcChain.xml><?xml version="1.0" encoding="utf-8"?>
<calcChain xmlns="http://schemas.openxmlformats.org/spreadsheetml/2006/main">
  <c r="A27" i="1" l="1"/>
  <c r="A28" i="1"/>
  <c r="A29" i="1" s="1"/>
  <c r="A30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<sst xmlns="http://schemas.openxmlformats.org/spreadsheetml/2006/main" count="271" uniqueCount="194">
  <si>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</si>
  <si>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</si>
  <si>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</si>
  <si>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</si>
  <si>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</si>
  <si>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</si>
  <si>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</si>
  <si>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</si>
  <si>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</si>
  <si>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</si>
  <si>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</si>
  <si>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</si>
  <si>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</si>
  <si>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</si>
  <si>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</si>
  <si>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</si>
  <si>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</si>
  <si>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MR2601/0136</t>
  </si>
  <si>
    <t>132KV_40 MVA TELK Xmer</t>
  </si>
  <si>
    <t>132KV_AMARPATAN</t>
  </si>
  <si>
    <t>NON-OCCM-MP</t>
  </si>
  <si>
    <t>New 63 MVA TAL Xmer testing work</t>
  </si>
  <si>
    <t>09-01-2026 12:00:00</t>
  </si>
  <si>
    <t>09-01-2026 15:00:00</t>
  </si>
  <si>
    <t>Arun KUmar</t>
  </si>
  <si>
    <t>9131207339</t>
  </si>
  <si>
    <t>220KV_220kv Pithampur feeder</t>
  </si>
  <si>
    <t>220KV_BADNAGAR</t>
  </si>
  <si>
    <t>OCCM-MP</t>
  </si>
  <si>
    <t>For attending red hot CB RY pH top</t>
  </si>
  <si>
    <t>09-01-2026 09:52:00</t>
  </si>
  <si>
    <t>09-01-2026 14:00:00</t>
  </si>
  <si>
    <t>Poshkar kushwaha</t>
  </si>
  <si>
    <t>9425813990</t>
  </si>
  <si>
    <t>MR2601/0126</t>
  </si>
  <si>
    <t>MR2601/0135</t>
  </si>
  <si>
    <t>Continuous</t>
  </si>
  <si>
    <t>220KV_220 kV Bus Transfer bay</t>
  </si>
  <si>
    <t>220KV_BHOPAL</t>
  </si>
  <si>
    <t>For shifting of panel &amp; erection of Isolator</t>
  </si>
  <si>
    <t>09-01-2026 09:00:00</t>
  </si>
  <si>
    <t>10-01-2026 17:00:00</t>
  </si>
  <si>
    <t>A K Jain</t>
  </si>
  <si>
    <t>9425806899</t>
  </si>
  <si>
    <t>MR2601/0118</t>
  </si>
  <si>
    <t>Daily</t>
  </si>
  <si>
    <t>220KV_220kV Bhopal Ganjbasoda ckt</t>
  </si>
  <si>
    <t>400KV_BHOPAL4</t>
  </si>
  <si>
    <t>For old disc replacement work.</t>
  </si>
  <si>
    <t>08-01-2026 09:00:00</t>
  </si>
  <si>
    <t>10-01-2026 18:00:00</t>
  </si>
  <si>
    <t>Rajkumar Bhusare</t>
  </si>
  <si>
    <t>9425820042</t>
  </si>
  <si>
    <t>MR2601/0128</t>
  </si>
  <si>
    <t>220KV_220 KV Bina-Borl Ckt-1</t>
  </si>
  <si>
    <t>400KV_BINA4</t>
  </si>
  <si>
    <t>Work at BORL end</t>
  </si>
  <si>
    <t>09-01-2026 18:00:00</t>
  </si>
  <si>
    <t>Akhilesh Singh</t>
  </si>
  <si>
    <t>8586865656</t>
  </si>
  <si>
    <t>MR2601/0132</t>
  </si>
  <si>
    <t>132KV_132 kV Shahdol-Birsinghpur Circuit I</t>
  </si>
  <si>
    <t>220KV_BIRSINGHPUR</t>
  </si>
  <si>
    <t>For Jumper cone tightening &amp; other line maint.</t>
  </si>
  <si>
    <t>09-01-2026 10:00:00</t>
  </si>
  <si>
    <t>09-01-2026 17:00:00</t>
  </si>
  <si>
    <t>Jitendra Tiwari</t>
  </si>
  <si>
    <t>9425805298</t>
  </si>
  <si>
    <t>MR2601/0137</t>
  </si>
  <si>
    <t>132KV_40 MVA X-MER BBL</t>
  </si>
  <si>
    <t>132KV_GARHAKOTA</t>
  </si>
  <si>
    <t>NON-OCCM-WR</t>
  </si>
  <si>
    <t>CT Oil leckeg atttend work</t>
  </si>
  <si>
    <t>S K Hajari</t>
  </si>
  <si>
    <t>9425620010</t>
  </si>
  <si>
    <t>MR2601/0109</t>
  </si>
  <si>
    <t>220KV_SARNI ITARSI CKT-4</t>
  </si>
  <si>
    <t>220KV_ITARSI</t>
  </si>
  <si>
    <t>Bird guard installation work &amp; other line maint.</t>
  </si>
  <si>
    <t>08-01-2026 10:00:00</t>
  </si>
  <si>
    <t>SHIV KUMAR</t>
  </si>
  <si>
    <t>9425806917</t>
  </si>
  <si>
    <t>MR2601/0124</t>
  </si>
  <si>
    <t>220KV_220kv kanwan-dhar CKT 2</t>
  </si>
  <si>
    <t>220KV_KANWAN2</t>
  </si>
  <si>
    <t>Hot point at Y-phase Iso. clamp</t>
  </si>
  <si>
    <t>09-01-2026 11:00:00</t>
  </si>
  <si>
    <t>AE Abhishek verma</t>
  </si>
  <si>
    <t>9340855901</t>
  </si>
  <si>
    <t>400KV_400KV KATNI - DAMOH LINE</t>
  </si>
  <si>
    <t>400KV_KATNI4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</si>
  <si>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</si>
  <si>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</si>
  <si>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</si>
  <si>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</si>
  <si>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</si>
  <si>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</si>
  <si>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</si>
  <si>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</si>
  <si>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</si>
  <si>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</si>
  <si>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</si>
  <si>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MR2601/0123</t>
  </si>
  <si>
    <t>132KV_132 kv katni kymore line ckt 1 st</t>
  </si>
  <si>
    <t>line maintenance work.</t>
  </si>
  <si>
    <t>MR2510/0739</t>
  </si>
  <si>
    <t>05-01-2026 09:00:00</t>
  </si>
  <si>
    <t>M.M.BAIG</t>
  </si>
  <si>
    <t>MR2510/0730</t>
  </si>
  <si>
    <t>MR2601/0133</t>
  </si>
  <si>
    <t>132KV_132kV Lalbarra Samnapur RTS</t>
  </si>
  <si>
    <t>132KV_LALBARRA</t>
  </si>
  <si>
    <t>Work for installation of ABT meter at 132kV HVside</t>
  </si>
  <si>
    <t>Amol Shende</t>
  </si>
  <si>
    <t>7587951136</t>
  </si>
  <si>
    <t>MR2601/0127</t>
  </si>
  <si>
    <t>132KV_132KV RAJMILAN-JANAKPUR CKT</t>
  </si>
  <si>
    <t>132KV_RAJMILAN</t>
  </si>
  <si>
    <t>DISC REPLACEMENT WORK</t>
  </si>
  <si>
    <t>09-01-2026 08:00:00</t>
  </si>
  <si>
    <t>G.L SAHU</t>
  </si>
  <si>
    <t>9425805102</t>
  </si>
  <si>
    <t>132KV_40MVA X-MER BHEL</t>
  </si>
  <si>
    <t>220KV_SARNI</t>
  </si>
  <si>
    <t>Oil Leakage attending Top air realease valve oil</t>
  </si>
  <si>
    <t>Er. Anup Kumar Dange</t>
  </si>
  <si>
    <t>9425803243</t>
  </si>
  <si>
    <t>MR2601/0131</t>
  </si>
  <si>
    <t>MR2601/0079</t>
  </si>
  <si>
    <t>400KV_400KV SARNI - ISP</t>
  </si>
  <si>
    <t>400KV_SATPURA TPS</t>
  </si>
  <si>
    <t>DCRM TESTING WORK</t>
  </si>
  <si>
    <t>YASHWANT WARATHE</t>
  </si>
  <si>
    <t>9425611046</t>
  </si>
  <si>
    <t>MR2512/0028</t>
  </si>
  <si>
    <t>220KV_220 KV SARNI-ITARSI-4</t>
  </si>
  <si>
    <t>Transmision element for CT Replecement in 220 kv</t>
  </si>
  <si>
    <t>MR2512/0507</t>
  </si>
  <si>
    <t>400KV_Sarni Indirasagar</t>
  </si>
  <si>
    <t>OPGW STRINGING WORK</t>
  </si>
  <si>
    <t>26-12-2025 07:00:00</t>
  </si>
  <si>
    <t>10-01-2026 19:00:00</t>
  </si>
  <si>
    <t>MR2601/0129</t>
  </si>
  <si>
    <t>132KV_132kv Shivpuri Pichhore Line</t>
  </si>
  <si>
    <t>132KV_SHIVPURI1</t>
  </si>
  <si>
    <t>Line Maintenance work</t>
  </si>
  <si>
    <t>Suraj Pawar</t>
  </si>
  <si>
    <t>9425814079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</si>
  <si>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</si>
  <si>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</si>
  <si>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</si>
  <si>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</si>
  <si>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</si>
  <si>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</si>
  <si>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</si>
  <si>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</si>
  <si>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MR2601/0134</t>
  </si>
  <si>
    <t>220KV_220kV Sidhi - Bargwan (TBCB) Ckt -I</t>
  </si>
  <si>
    <t>220KV_SIDHI</t>
  </si>
  <si>
    <t>Line Maintenance Work.</t>
  </si>
  <si>
    <t>09-01-2026 10:30:00</t>
  </si>
  <si>
    <t>G.L Sahu</t>
  </si>
  <si>
    <t>O&amp;M consent erquired</t>
  </si>
  <si>
    <t>ok, through sub ld</t>
  </si>
  <si>
    <t>shall be given after 9th, due to NHPTL testing</t>
  </si>
  <si>
    <t>ok, o&amp;m to be informed</t>
  </si>
  <si>
    <t>deferred</t>
  </si>
  <si>
    <t>ok</t>
  </si>
  <si>
    <t>RTS consent required</t>
  </si>
  <si>
    <t>sub ld</t>
  </si>
  <si>
    <t>ok, line to be in service, outage also approved, pl take care while normalisation</t>
  </si>
  <si>
    <t>ok,  A/R off also approved, pl take care while normalisation</t>
  </si>
  <si>
    <t>as opportunity s/d</t>
  </si>
  <si>
    <t>Meter master details required of old and new meter</t>
  </si>
  <si>
    <t>ABT consent to be taken if any meter related work to be done</t>
  </si>
  <si>
    <t>ok, line to be in service, through sub ld</t>
  </si>
  <si>
    <t>APPROVED OUTAGE LIST FOR DATED 09.01.2026</t>
  </si>
  <si>
    <t>400KV-BINA-BINA-NHPTL-1</t>
  </si>
  <si>
    <t>PWTL-POWERGRID</t>
  </si>
  <si>
    <t>09-Jan-2026</t>
  </si>
  <si>
    <t>17:59</t>
  </si>
  <si>
    <t>SC TESTING of 160MVA, 220/33-33kV, Power Transformer, 3P</t>
  </si>
  <si>
    <t xml:space="preserve">220 KV BUS -1 </t>
  </si>
  <si>
    <t xml:space="preserve">220 KV GUNA </t>
  </si>
  <si>
    <t>09.01.2026</t>
  </si>
  <si>
    <t>9.01.2026</t>
  </si>
  <si>
    <t xml:space="preserve">Deffered due to nhptcl testing </t>
  </si>
  <si>
    <t>132 kv madotal jabalpur ckt-2</t>
  </si>
  <si>
    <t>line isolator work at modotal</t>
  </si>
  <si>
    <t>40 MVA BBL</t>
  </si>
  <si>
    <t>132 KV GARHAKOTA</t>
  </si>
  <si>
    <t>Y PH. CT OIL LEAKAGE ATTAND WORK</t>
  </si>
  <si>
    <t>OK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</si>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</sst>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20" fontId="6" fillId="4" borderId="5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20" fontId="0" fillId="0" borderId="5" xfId="0" applyNumberForma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abSelected="1" workbookViewId="0">
      <pane xSplit="5" topLeftCell="G1" activePane="topRight" state="frozen"/>
      <selection activeCell="A4" sqref="A4"/>
      <selection pane="topRight" activeCell="E7" sqref="E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3" style="12" customWidth="1"/>
    <col min="6" max="6" width="22" customWidth="1"/>
    <col min="7" max="7" width="16.140625" customWidth="1"/>
    <col min="8" max="8" width="41.85546875" customWidth="1"/>
    <col min="9" max="9" width="19.42578125" customWidth="1"/>
    <col min="10" max="10" width="19.5703125" customWidth="1"/>
    <col min="11" max="11" width="18.5703125" customWidth="1"/>
    <col min="12" max="12" width="12" customWidth="1"/>
    <col min="13" max="13" width="42.140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46031</v>
      </c>
      <c r="C2" s="1"/>
      <c r="D2" s="17" t="s">
        <v>176</v>
      </c>
      <c r="E2" s="18"/>
      <c r="F2" s="18"/>
      <c r="G2" s="18"/>
      <c r="H2" s="18"/>
      <c r="I2" s="18"/>
      <c r="J2" s="18"/>
      <c r="K2" s="19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6" customHeight="1" x14ac:dyDescent="0.25">
      <c r="A5" s="4">
        <v>1</v>
      </c>
      <c r="B5" s="5">
        <v>46030.684421296297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162</v>
      </c>
    </row>
    <row r="6" spans="1:13" ht="36" customHeight="1" x14ac:dyDescent="0.25">
      <c r="A6" s="4">
        <f>A5+1</f>
        <v>2</v>
      </c>
      <c r="B6" s="5">
        <v>46030.529097222221</v>
      </c>
      <c r="C6" s="4" t="s">
        <v>34</v>
      </c>
      <c r="D6" s="4"/>
      <c r="E6" s="11" t="s">
        <v>26</v>
      </c>
      <c r="F6" s="4" t="s">
        <v>27</v>
      </c>
      <c r="G6" s="4" t="s">
        <v>28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163</v>
      </c>
    </row>
    <row r="7" spans="1:13" ht="36" customHeight="1" x14ac:dyDescent="0.25">
      <c r="A7" s="4">
        <f t="shared" ref="A7:A30" si="0">A6+1</f>
        <v>3</v>
      </c>
      <c r="B7" s="5">
        <v>46030.667916666665</v>
      </c>
      <c r="C7" s="4" t="s">
        <v>35</v>
      </c>
      <c r="D7" s="4" t="s">
        <v>36</v>
      </c>
      <c r="E7" s="11" t="s">
        <v>37</v>
      </c>
      <c r="F7" s="4" t="s">
        <v>38</v>
      </c>
      <c r="G7" s="4" t="s">
        <v>20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11" t="s">
        <v>175</v>
      </c>
    </row>
    <row r="8" spans="1:13" ht="36" customHeight="1" x14ac:dyDescent="0.25">
      <c r="A8" s="4">
        <f t="shared" si="0"/>
        <v>4</v>
      </c>
      <c r="B8" s="5">
        <v>46029.680613425924</v>
      </c>
      <c r="C8" s="4" t="s">
        <v>44</v>
      </c>
      <c r="D8" s="4" t="s">
        <v>45</v>
      </c>
      <c r="E8" s="11" t="s">
        <v>46</v>
      </c>
      <c r="F8" s="4" t="s">
        <v>47</v>
      </c>
      <c r="G8" s="4" t="s">
        <v>20</v>
      </c>
      <c r="H8" s="4" t="s">
        <v>48</v>
      </c>
      <c r="I8" s="6" t="s">
        <v>49</v>
      </c>
      <c r="J8" s="6" t="s">
        <v>50</v>
      </c>
      <c r="K8" s="7" t="s">
        <v>51</v>
      </c>
      <c r="L8" s="8" t="s">
        <v>52</v>
      </c>
      <c r="M8" s="11" t="s">
        <v>164</v>
      </c>
    </row>
    <row r="9" spans="1:13" ht="36" customHeight="1" x14ac:dyDescent="0.25">
      <c r="A9" s="4">
        <f t="shared" si="0"/>
        <v>5</v>
      </c>
      <c r="B9" s="5">
        <v>46030.600324074076</v>
      </c>
      <c r="C9" s="4" t="s">
        <v>53</v>
      </c>
      <c r="D9" s="4"/>
      <c r="E9" s="11" t="s">
        <v>54</v>
      </c>
      <c r="F9" s="4" t="s">
        <v>55</v>
      </c>
      <c r="G9" s="4" t="s">
        <v>20</v>
      </c>
      <c r="H9" s="4" t="s">
        <v>56</v>
      </c>
      <c r="I9" s="6" t="s">
        <v>40</v>
      </c>
      <c r="J9" s="6" t="s">
        <v>57</v>
      </c>
      <c r="K9" s="7" t="s">
        <v>58</v>
      </c>
      <c r="L9" s="8" t="s">
        <v>59</v>
      </c>
      <c r="M9" s="11" t="s">
        <v>174</v>
      </c>
    </row>
    <row r="10" spans="1:13" ht="36" customHeight="1" x14ac:dyDescent="0.25">
      <c r="A10" s="4">
        <f t="shared" si="0"/>
        <v>6</v>
      </c>
      <c r="B10" s="5">
        <v>46030.635069444441</v>
      </c>
      <c r="C10" s="4" t="s">
        <v>60</v>
      </c>
      <c r="D10" s="4"/>
      <c r="E10" s="11" t="s">
        <v>61</v>
      </c>
      <c r="F10" s="4" t="s">
        <v>62</v>
      </c>
      <c r="G10" s="4" t="s">
        <v>20</v>
      </c>
      <c r="H10" s="4" t="s">
        <v>63</v>
      </c>
      <c r="I10" s="6" t="s">
        <v>64</v>
      </c>
      <c r="J10" s="6" t="s">
        <v>65</v>
      </c>
      <c r="K10" s="7" t="s">
        <v>66</v>
      </c>
      <c r="L10" s="8" t="s">
        <v>67</v>
      </c>
      <c r="M10" s="11" t="s">
        <v>165</v>
      </c>
    </row>
    <row r="11" spans="1:13" ht="36" customHeight="1" x14ac:dyDescent="0.25">
      <c r="A11" s="4">
        <f t="shared" si="0"/>
        <v>7</v>
      </c>
      <c r="B11" s="5">
        <v>46030.689340277779</v>
      </c>
      <c r="C11" s="4" t="s">
        <v>68</v>
      </c>
      <c r="D11" s="4"/>
      <c r="E11" s="11" t="s">
        <v>69</v>
      </c>
      <c r="F11" s="4" t="s">
        <v>70</v>
      </c>
      <c r="G11" s="4" t="s">
        <v>71</v>
      </c>
      <c r="H11" s="4" t="s">
        <v>72</v>
      </c>
      <c r="I11" s="6" t="s">
        <v>65</v>
      </c>
      <c r="J11" s="6" t="s">
        <v>57</v>
      </c>
      <c r="K11" s="7" t="s">
        <v>73</v>
      </c>
      <c r="L11" s="8" t="s">
        <v>74</v>
      </c>
      <c r="M11" s="11" t="s">
        <v>162</v>
      </c>
    </row>
    <row r="12" spans="1:13" ht="36" customHeight="1" x14ac:dyDescent="0.25">
      <c r="A12" s="4">
        <f t="shared" si="0"/>
        <v>8</v>
      </c>
      <c r="B12" s="5">
        <v>46029.643321759257</v>
      </c>
      <c r="C12" s="4" t="s">
        <v>75</v>
      </c>
      <c r="D12" s="4" t="s">
        <v>45</v>
      </c>
      <c r="E12" s="11" t="s">
        <v>76</v>
      </c>
      <c r="F12" s="4" t="s">
        <v>77</v>
      </c>
      <c r="G12" s="4" t="s">
        <v>20</v>
      </c>
      <c r="H12" s="4" t="s">
        <v>78</v>
      </c>
      <c r="I12" s="6" t="s">
        <v>79</v>
      </c>
      <c r="J12" s="6" t="s">
        <v>41</v>
      </c>
      <c r="K12" s="7" t="s">
        <v>80</v>
      </c>
      <c r="L12" s="8" t="s">
        <v>81</v>
      </c>
      <c r="M12" s="11" t="s">
        <v>172</v>
      </c>
    </row>
    <row r="13" spans="1:13" ht="36" customHeight="1" x14ac:dyDescent="0.25">
      <c r="A13" s="4">
        <f t="shared" si="0"/>
        <v>9</v>
      </c>
      <c r="B13" s="5">
        <v>46030.501562500001</v>
      </c>
      <c r="C13" s="4" t="s">
        <v>82</v>
      </c>
      <c r="D13" s="4"/>
      <c r="E13" s="11" t="s">
        <v>83</v>
      </c>
      <c r="F13" s="4" t="s">
        <v>84</v>
      </c>
      <c r="G13" s="4" t="s">
        <v>71</v>
      </c>
      <c r="H13" s="4" t="s">
        <v>85</v>
      </c>
      <c r="I13" s="6" t="s">
        <v>86</v>
      </c>
      <c r="J13" s="6" t="s">
        <v>23</v>
      </c>
      <c r="K13" s="7" t="s">
        <v>87</v>
      </c>
      <c r="L13" s="8" t="s">
        <v>88</v>
      </c>
      <c r="M13" s="11" t="s">
        <v>163</v>
      </c>
    </row>
    <row r="14" spans="1:13" ht="36" customHeight="1" x14ac:dyDescent="0.25">
      <c r="A14" s="4">
        <f t="shared" si="0"/>
        <v>10</v>
      </c>
      <c r="B14" s="5">
        <v>46023.642534722225</v>
      </c>
      <c r="C14" s="4" t="s">
        <v>95</v>
      </c>
      <c r="D14" s="4" t="s">
        <v>36</v>
      </c>
      <c r="E14" s="11" t="s">
        <v>96</v>
      </c>
      <c r="F14" s="4" t="s">
        <v>90</v>
      </c>
      <c r="G14" s="4" t="s">
        <v>20</v>
      </c>
      <c r="H14" s="4" t="s">
        <v>97</v>
      </c>
      <c r="I14" s="6" t="s">
        <v>98</v>
      </c>
      <c r="J14" s="6" t="s">
        <v>99</v>
      </c>
      <c r="K14" s="7" t="s">
        <v>100</v>
      </c>
      <c r="L14" s="8" t="s">
        <v>101</v>
      </c>
      <c r="M14" s="11" t="s">
        <v>166</v>
      </c>
    </row>
    <row r="15" spans="1:13" ht="36" customHeight="1" x14ac:dyDescent="0.25">
      <c r="A15" s="4">
        <f t="shared" si="0"/>
        <v>11</v>
      </c>
      <c r="B15" s="5">
        <v>46030.496319444443</v>
      </c>
      <c r="C15" s="4" t="s">
        <v>102</v>
      </c>
      <c r="D15" s="4"/>
      <c r="E15" s="11" t="s">
        <v>103</v>
      </c>
      <c r="F15" s="4" t="s">
        <v>90</v>
      </c>
      <c r="G15" s="4" t="s">
        <v>20</v>
      </c>
      <c r="H15" s="4" t="s">
        <v>104</v>
      </c>
      <c r="I15" s="6" t="s">
        <v>64</v>
      </c>
      <c r="J15" s="6" t="s">
        <v>65</v>
      </c>
      <c r="K15" s="7" t="s">
        <v>100</v>
      </c>
      <c r="L15" s="8" t="s">
        <v>101</v>
      </c>
      <c r="M15" s="11" t="s">
        <v>167</v>
      </c>
    </row>
    <row r="16" spans="1:13" ht="36" customHeight="1" x14ac:dyDescent="0.25">
      <c r="A16" s="4">
        <f t="shared" si="0"/>
        <v>12</v>
      </c>
      <c r="B16" s="5">
        <v>45961.750509259262</v>
      </c>
      <c r="C16" s="4" t="s">
        <v>105</v>
      </c>
      <c r="D16" s="4" t="s">
        <v>36</v>
      </c>
      <c r="E16" s="11" t="s">
        <v>94</v>
      </c>
      <c r="F16" s="4" t="s">
        <v>90</v>
      </c>
      <c r="G16" s="4" t="s">
        <v>20</v>
      </c>
      <c r="H16" s="4" t="s">
        <v>91</v>
      </c>
      <c r="I16" s="6" t="s">
        <v>106</v>
      </c>
      <c r="J16" s="6" t="s">
        <v>50</v>
      </c>
      <c r="K16" s="7" t="s">
        <v>107</v>
      </c>
      <c r="L16" s="8" t="s">
        <v>93</v>
      </c>
      <c r="M16" s="11" t="s">
        <v>36</v>
      </c>
    </row>
    <row r="17" spans="1:13" ht="36" customHeight="1" x14ac:dyDescent="0.25">
      <c r="A17" s="4">
        <f t="shared" si="0"/>
        <v>13</v>
      </c>
      <c r="B17" s="5">
        <v>45961.72996527778</v>
      </c>
      <c r="C17" s="4" t="s">
        <v>108</v>
      </c>
      <c r="D17" s="4" t="s">
        <v>36</v>
      </c>
      <c r="E17" s="11" t="s">
        <v>89</v>
      </c>
      <c r="F17" s="4" t="s">
        <v>90</v>
      </c>
      <c r="G17" s="4" t="s">
        <v>28</v>
      </c>
      <c r="H17" s="4" t="s">
        <v>91</v>
      </c>
      <c r="I17" s="6" t="s">
        <v>106</v>
      </c>
      <c r="J17" s="6" t="s">
        <v>50</v>
      </c>
      <c r="K17" s="7" t="s">
        <v>92</v>
      </c>
      <c r="L17" s="8" t="s">
        <v>93</v>
      </c>
      <c r="M17" s="11" t="s">
        <v>36</v>
      </c>
    </row>
    <row r="18" spans="1:13" ht="36" customHeight="1" x14ac:dyDescent="0.25">
      <c r="A18" s="4">
        <f t="shared" si="0"/>
        <v>14</v>
      </c>
      <c r="B18" s="5">
        <v>46030.662557870368</v>
      </c>
      <c r="C18" s="4" t="s">
        <v>109</v>
      </c>
      <c r="D18" s="4"/>
      <c r="E18" s="11" t="s">
        <v>110</v>
      </c>
      <c r="F18" s="4" t="s">
        <v>111</v>
      </c>
      <c r="G18" s="4" t="s">
        <v>20</v>
      </c>
      <c r="H18" s="4" t="s">
        <v>112</v>
      </c>
      <c r="I18" s="6" t="s">
        <v>86</v>
      </c>
      <c r="J18" s="6" t="s">
        <v>65</v>
      </c>
      <c r="K18" s="7" t="s">
        <v>113</v>
      </c>
      <c r="L18" s="8" t="s">
        <v>114</v>
      </c>
      <c r="M18" s="11" t="s">
        <v>173</v>
      </c>
    </row>
    <row r="19" spans="1:13" ht="36" customHeight="1" x14ac:dyDescent="0.25">
      <c r="A19" s="4">
        <f t="shared" si="0"/>
        <v>15</v>
      </c>
      <c r="B19" s="5">
        <v>46030.590902777774</v>
      </c>
      <c r="C19" s="4" t="s">
        <v>115</v>
      </c>
      <c r="D19" s="4"/>
      <c r="E19" s="11" t="s">
        <v>116</v>
      </c>
      <c r="F19" s="4" t="s">
        <v>117</v>
      </c>
      <c r="G19" s="4" t="s">
        <v>20</v>
      </c>
      <c r="H19" s="4" t="s">
        <v>118</v>
      </c>
      <c r="I19" s="6" t="s">
        <v>119</v>
      </c>
      <c r="J19" s="6" t="s">
        <v>65</v>
      </c>
      <c r="K19" s="7" t="s">
        <v>120</v>
      </c>
      <c r="L19" s="8" t="s">
        <v>121</v>
      </c>
      <c r="M19" s="11" t="s">
        <v>167</v>
      </c>
    </row>
    <row r="20" spans="1:13" ht="36" customHeight="1" x14ac:dyDescent="0.25">
      <c r="A20" s="4">
        <f t="shared" si="0"/>
        <v>16</v>
      </c>
      <c r="B20" s="5">
        <v>46030.620787037034</v>
      </c>
      <c r="C20" s="4" t="s">
        <v>127</v>
      </c>
      <c r="D20" s="4"/>
      <c r="E20" s="11" t="s">
        <v>122</v>
      </c>
      <c r="F20" s="4" t="s">
        <v>123</v>
      </c>
      <c r="G20" s="4" t="s">
        <v>20</v>
      </c>
      <c r="H20" s="4" t="s">
        <v>124</v>
      </c>
      <c r="I20" s="6" t="s">
        <v>86</v>
      </c>
      <c r="J20" s="6" t="s">
        <v>23</v>
      </c>
      <c r="K20" s="7" t="s">
        <v>125</v>
      </c>
      <c r="L20" s="8" t="s">
        <v>126</v>
      </c>
      <c r="M20" s="11" t="s">
        <v>169</v>
      </c>
    </row>
    <row r="21" spans="1:13" ht="36" customHeight="1" x14ac:dyDescent="0.25">
      <c r="A21" s="4">
        <f t="shared" si="0"/>
        <v>17</v>
      </c>
      <c r="B21" s="5">
        <v>46027.879803240743</v>
      </c>
      <c r="C21" s="4" t="s">
        <v>128</v>
      </c>
      <c r="D21" s="4"/>
      <c r="E21" s="11" t="s">
        <v>129</v>
      </c>
      <c r="F21" s="4" t="s">
        <v>130</v>
      </c>
      <c r="G21" s="4" t="s">
        <v>20</v>
      </c>
      <c r="H21" s="4" t="s">
        <v>131</v>
      </c>
      <c r="I21" s="6" t="s">
        <v>40</v>
      </c>
      <c r="J21" s="6" t="s">
        <v>57</v>
      </c>
      <c r="K21" s="7" t="s">
        <v>132</v>
      </c>
      <c r="L21" s="8" t="s">
        <v>133</v>
      </c>
      <c r="M21" s="11" t="s">
        <v>171</v>
      </c>
    </row>
    <row r="22" spans="1:13" ht="36" customHeight="1" x14ac:dyDescent="0.25">
      <c r="A22" s="4">
        <f t="shared" si="0"/>
        <v>18</v>
      </c>
      <c r="B22" s="5">
        <v>45993.494791666664</v>
      </c>
      <c r="C22" s="4" t="s">
        <v>134</v>
      </c>
      <c r="D22" s="4"/>
      <c r="E22" s="11" t="s">
        <v>135</v>
      </c>
      <c r="F22" s="4" t="s">
        <v>130</v>
      </c>
      <c r="G22" s="4" t="s">
        <v>20</v>
      </c>
      <c r="H22" s="4" t="s">
        <v>136</v>
      </c>
      <c r="I22" s="6" t="s">
        <v>40</v>
      </c>
      <c r="J22" s="6" t="s">
        <v>57</v>
      </c>
      <c r="K22" s="7" t="s">
        <v>132</v>
      </c>
      <c r="L22" s="8" t="s">
        <v>133</v>
      </c>
      <c r="M22" s="11" t="s">
        <v>168</v>
      </c>
    </row>
    <row r="23" spans="1:13" ht="36" customHeight="1" x14ac:dyDescent="0.25">
      <c r="A23" s="4">
        <f t="shared" si="0"/>
        <v>19</v>
      </c>
      <c r="B23" s="5">
        <v>46016.785428240742</v>
      </c>
      <c r="C23" s="4" t="s">
        <v>137</v>
      </c>
      <c r="D23" s="4" t="s">
        <v>45</v>
      </c>
      <c r="E23" s="11" t="s">
        <v>138</v>
      </c>
      <c r="F23" s="4" t="s">
        <v>130</v>
      </c>
      <c r="G23" s="4" t="s">
        <v>20</v>
      </c>
      <c r="H23" s="4" t="s">
        <v>139</v>
      </c>
      <c r="I23" s="6" t="s">
        <v>140</v>
      </c>
      <c r="J23" s="6" t="s">
        <v>141</v>
      </c>
      <c r="K23" s="7" t="s">
        <v>80</v>
      </c>
      <c r="L23" s="8" t="s">
        <v>81</v>
      </c>
      <c r="M23" s="11" t="s">
        <v>170</v>
      </c>
    </row>
    <row r="24" spans="1:13" ht="36" customHeight="1" x14ac:dyDescent="0.25">
      <c r="A24" s="4">
        <f t="shared" si="0"/>
        <v>20</v>
      </c>
      <c r="B24" s="5">
        <v>46030.602731481478</v>
      </c>
      <c r="C24" s="4" t="s">
        <v>142</v>
      </c>
      <c r="D24" s="4"/>
      <c r="E24" s="11" t="s">
        <v>143</v>
      </c>
      <c r="F24" s="4" t="s">
        <v>144</v>
      </c>
      <c r="G24" s="4" t="s">
        <v>20</v>
      </c>
      <c r="H24" s="4" t="s">
        <v>145</v>
      </c>
      <c r="I24" s="6" t="s">
        <v>64</v>
      </c>
      <c r="J24" s="6" t="s">
        <v>65</v>
      </c>
      <c r="K24" s="7" t="s">
        <v>146</v>
      </c>
      <c r="L24" s="8" t="s">
        <v>147</v>
      </c>
      <c r="M24" s="11" t="s">
        <v>169</v>
      </c>
    </row>
    <row r="25" spans="1:13" ht="36" customHeight="1" x14ac:dyDescent="0.25">
      <c r="A25" s="4">
        <f t="shared" si="0"/>
        <v>21</v>
      </c>
      <c r="B25" s="5">
        <v>46003.541168981479</v>
      </c>
      <c r="C25" s="4" t="s">
        <v>155</v>
      </c>
      <c r="D25" s="4" t="s">
        <v>36</v>
      </c>
      <c r="E25" s="11" t="s">
        <v>148</v>
      </c>
      <c r="F25" s="4" t="s">
        <v>149</v>
      </c>
      <c r="G25" s="4" t="s">
        <v>20</v>
      </c>
      <c r="H25" s="4" t="s">
        <v>150</v>
      </c>
      <c r="I25" s="6" t="s">
        <v>151</v>
      </c>
      <c r="J25" s="6" t="s">
        <v>152</v>
      </c>
      <c r="K25" s="7" t="s">
        <v>153</v>
      </c>
      <c r="L25" s="8" t="s">
        <v>154</v>
      </c>
      <c r="M25" s="11" t="s">
        <v>36</v>
      </c>
    </row>
    <row r="26" spans="1:13" ht="36" customHeight="1" x14ac:dyDescent="0.25">
      <c r="A26" s="22">
        <f t="shared" si="0"/>
        <v>22</v>
      </c>
      <c r="B26" s="23">
        <v>46030.662638888891</v>
      </c>
      <c r="C26" s="22" t="s">
        <v>156</v>
      </c>
      <c r="D26" s="22"/>
      <c r="E26" s="24" t="s">
        <v>157</v>
      </c>
      <c r="F26" s="22" t="s">
        <v>158</v>
      </c>
      <c r="G26" s="22" t="s">
        <v>20</v>
      </c>
      <c r="H26" s="22" t="s">
        <v>159</v>
      </c>
      <c r="I26" s="25" t="s">
        <v>160</v>
      </c>
      <c r="J26" s="25" t="s">
        <v>65</v>
      </c>
      <c r="K26" s="26" t="s">
        <v>161</v>
      </c>
      <c r="L26" s="27" t="s">
        <v>121</v>
      </c>
      <c r="M26" s="24" t="s">
        <v>167</v>
      </c>
    </row>
    <row r="27" spans="1:13" ht="30" x14ac:dyDescent="0.25">
      <c r="A27" s="4">
        <f t="shared" si="0"/>
        <v>23</v>
      </c>
      <c r="B27" s="28"/>
      <c r="C27" s="28"/>
      <c r="D27" s="28"/>
      <c r="E27" s="20" t="s">
        <v>177</v>
      </c>
      <c r="F27" s="20" t="s">
        <v>178</v>
      </c>
      <c r="G27" s="28"/>
      <c r="H27" s="20" t="s">
        <v>181</v>
      </c>
      <c r="I27" s="20" t="s">
        <v>179</v>
      </c>
      <c r="J27" s="21">
        <v>0.45833333333333331</v>
      </c>
      <c r="K27" s="20" t="s">
        <v>179</v>
      </c>
      <c r="L27" s="20" t="s">
        <v>180</v>
      </c>
      <c r="M27" s="29" t="s">
        <v>167</v>
      </c>
    </row>
    <row r="28" spans="1:13" x14ac:dyDescent="0.25">
      <c r="A28" s="22">
        <f t="shared" si="0"/>
        <v>24</v>
      </c>
      <c r="B28" s="28"/>
      <c r="C28" s="28"/>
      <c r="D28" s="28"/>
      <c r="E28" s="30" t="s">
        <v>182</v>
      </c>
      <c r="F28" s="28" t="s">
        <v>183</v>
      </c>
      <c r="G28" s="28"/>
      <c r="H28" s="28"/>
      <c r="I28" s="28" t="s">
        <v>184</v>
      </c>
      <c r="J28" s="31">
        <v>0.41666666666666669</v>
      </c>
      <c r="K28" s="28" t="s">
        <v>185</v>
      </c>
      <c r="L28" s="31">
        <v>0.66666666666666663</v>
      </c>
      <c r="M28" s="30" t="s">
        <v>186</v>
      </c>
    </row>
    <row r="29" spans="1:13" x14ac:dyDescent="0.25">
      <c r="A29" s="4">
        <f t="shared" si="0"/>
        <v>25</v>
      </c>
      <c r="B29" s="28"/>
      <c r="C29" s="28"/>
      <c r="D29" s="28"/>
      <c r="E29" s="30" t="s">
        <v>187</v>
      </c>
      <c r="F29" s="28"/>
      <c r="G29" s="28"/>
      <c r="H29" s="28" t="s">
        <v>188</v>
      </c>
      <c r="I29" s="28" t="s">
        <v>184</v>
      </c>
      <c r="J29" s="31">
        <v>0.45833333333333331</v>
      </c>
      <c r="K29" s="28" t="s">
        <v>184</v>
      </c>
      <c r="L29" s="31">
        <v>0.70833333333333337</v>
      </c>
      <c r="M29" s="30" t="s">
        <v>167</v>
      </c>
    </row>
    <row r="30" spans="1:13" ht="25.5" customHeight="1" x14ac:dyDescent="0.25">
      <c r="A30" s="22">
        <f t="shared" si="0"/>
        <v>26</v>
      </c>
      <c r="B30" s="28"/>
      <c r="C30" s="28"/>
      <c r="D30" s="28"/>
      <c r="E30" s="30" t="s">
        <v>189</v>
      </c>
      <c r="F30" s="28"/>
      <c r="G30" s="30" t="s">
        <v>190</v>
      </c>
      <c r="H30" s="28" t="s">
        <v>191</v>
      </c>
      <c r="I30" s="28" t="s">
        <v>184</v>
      </c>
      <c r="J30" s="31">
        <v>0.70833333333333337</v>
      </c>
      <c r="K30" s="28" t="s">
        <v>184</v>
      </c>
      <c r="L30" s="31">
        <v>0.75</v>
      </c>
      <c r="M30" s="30" t="s">
        <v>192</v>
      </c>
    </row>
    <row r="31" spans="1:13" x14ac:dyDescent="0.25">
      <c r="A31" s="28"/>
      <c r="B31" s="28"/>
      <c r="C31" s="28"/>
      <c r="D31" s="28"/>
      <c r="E31" s="30"/>
      <c r="F31" s="28"/>
      <c r="G31" s="28"/>
      <c r="H31" s="28"/>
      <c r="I31" s="28"/>
      <c r="J31" s="28"/>
      <c r="K31" s="28"/>
      <c r="L31" s="28"/>
      <c r="M31" s="32" t="s">
        <v>193</v>
      </c>
    </row>
  </sheetData>
  <mergeCells count="3">
    <mergeCell ref="B1:M1"/>
    <mergeCell ref="K4:L4"/>
    <mergeCell ref="D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2026-01-08T11:26:09Z</dcterms:created>
  <dcterms:modified xsi:type="dcterms:W3CDTF">2026-01-08T15:20:48Z</dcterms:modified>
</cp:coreProperties>
</file>
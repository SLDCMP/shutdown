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G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" i="1" l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6" i="1"/>
</calcChain>
</file>

<file path=xl/sharedStrings.xml><?xml version="1.0" encoding="utf-8"?>
<sst xmlns="http://schemas.openxmlformats.org/spreadsheetml/2006/main" count="184" uniqueCount="125">
  <si>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</si>
  <si>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</si>
  <si>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</si>
  <si>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</si>
  <si>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</si>
  <si>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</si>
  <si>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</si>
  <si>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</si>
  <si>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</si>
  <si>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</si>
  <si>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</si>
  <si>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</si>
  <si>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</si>
  <si>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</si>
  <si>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</si>
  <si>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</si>
  <si>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</si>
  <si>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MR2511/0143</t>
  </si>
  <si>
    <t>132KV_132 kv main bus</t>
  </si>
  <si>
    <t>132KV_BANDA</t>
  </si>
  <si>
    <t>NON-OCCM-MP</t>
  </si>
  <si>
    <t>for jupering of isolator  to mainbus</t>
  </si>
  <si>
    <t>09-11-2025 09:00:00</t>
  </si>
  <si>
    <t>09-11-2025 17:00:00</t>
  </si>
  <si>
    <t>Anil mahor</t>
  </si>
  <si>
    <t>9425805149</t>
  </si>
  <si>
    <t>132KV_132KV BANDA line 1 Bay Maintenance</t>
  </si>
  <si>
    <t>OCCM-MP</t>
  </si>
  <si>
    <t>Opportunity S/D on  132 Kv Sagar-Banda line (Radia</t>
  </si>
  <si>
    <t>09-11-2025 10:00:00</t>
  </si>
  <si>
    <t>09-11-2025 15:30:00</t>
  </si>
  <si>
    <t>Sh. Rahul Patle  L.Att. (Samvida)</t>
  </si>
  <si>
    <t>9300467704</t>
  </si>
  <si>
    <t>MR2511/0178</t>
  </si>
  <si>
    <t>MR2511/0146</t>
  </si>
  <si>
    <t>132KV_132 kv sagar - banda ckt</t>
  </si>
  <si>
    <t>for shifting of bay and jupering of iso to bus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</si>
  <si>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</si>
  <si>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</si>
  <si>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</si>
  <si>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</si>
  <si>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</si>
  <si>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</si>
  <si>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</si>
  <si>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</si>
  <si>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</si>
  <si>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MR2511/0172</t>
  </si>
  <si>
    <t>132KV_40 mva x-mer 3rd (Make-BHEL)</t>
  </si>
  <si>
    <t>132KV_BHONRA</t>
  </si>
  <si>
    <t>poat-monsoon maintenance and relay testing  work</t>
  </si>
  <si>
    <t>09-11-2025 18:00:00</t>
  </si>
  <si>
    <t>Sagar singh Dhakad</t>
  </si>
  <si>
    <t>9425809506</t>
  </si>
  <si>
    <t>MR2511/0141</t>
  </si>
  <si>
    <t>132KV_132KV DAMOH - BATIYAGARH LINE</t>
  </si>
  <si>
    <t>220KV_DAMOH</t>
  </si>
  <si>
    <t>TOWER STRENGTHENING&amp;OTHER LINE MAINTENANCE NCE WOR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</si>
  <si>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</si>
  <si>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</si>
  <si>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</si>
  <si>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</si>
  <si>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</si>
  <si>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</si>
  <si>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</si>
  <si>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</si>
  <si>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</si>
  <si>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MR2511/0139</t>
  </si>
  <si>
    <t>220KV_220 KV Hoshangabad-Mandideep</t>
  </si>
  <si>
    <t>220KV_HOSHANGABAD</t>
  </si>
  <si>
    <t>Resagging work b/w loc.no. 78-94, 20 of lilo to 70</t>
  </si>
  <si>
    <t>08-11-2025 09:00:00</t>
  </si>
  <si>
    <t>11-11-2025 18:00:00</t>
  </si>
  <si>
    <t>Ashutosh Rai</t>
  </si>
  <si>
    <t>9425806902</t>
  </si>
  <si>
    <t>MR2510/0204</t>
  </si>
  <si>
    <t>400KV_400KV Rajgarh-SSP Ckt-1</t>
  </si>
  <si>
    <t>400KV_RAJGARH-PG</t>
  </si>
  <si>
    <t>NON-OCCM-WR</t>
  </si>
  <si>
    <t>old disc insulator replacement work</t>
  </si>
  <si>
    <t>01-11-2025 08:00:00</t>
  </si>
  <si>
    <t>15-11-2025 18:00:00</t>
  </si>
  <si>
    <t>V.R.panadia</t>
  </si>
  <si>
    <t>8120516165</t>
  </si>
  <si>
    <t>MR2511/0026</t>
  </si>
  <si>
    <t>132KV_132KV REWA-RAMPUR NAIKIN CKT</t>
  </si>
  <si>
    <t>220KV_REWA</t>
  </si>
  <si>
    <t>OPGW HOT LINE WORK</t>
  </si>
  <si>
    <t>MR2511/0175</t>
  </si>
  <si>
    <t>132KV_132KV SAGAR - BANDA LINE</t>
  </si>
  <si>
    <t>400KV_SAGAR</t>
  </si>
  <si>
    <t>LINE MAINTENANCE WORK</t>
  </si>
  <si>
    <t>09-11-2025 16:00:00</t>
  </si>
  <si>
    <t>M.M BAIG</t>
  </si>
  <si>
    <t>MR2511/0110</t>
  </si>
  <si>
    <t>132KV_132kV Seoni Katangi Feeder</t>
  </si>
  <si>
    <t>132KV_SEONI1</t>
  </si>
  <si>
    <t>Work for re-sagging of Section Loc 250 to 258</t>
  </si>
  <si>
    <t>07-11-2025 08:00:00</t>
  </si>
  <si>
    <t>Amol Shende</t>
  </si>
  <si>
    <t>7587951136</t>
  </si>
  <si>
    <t>MR2511/0025</t>
  </si>
  <si>
    <t>132KV_132KV REWA-Jhinna</t>
  </si>
  <si>
    <t>220KV_SIDHI</t>
  </si>
  <si>
    <t>MR2511/0038</t>
  </si>
  <si>
    <t>Continuous</t>
  </si>
  <si>
    <t>132KV_132kV Vidisha-Raisen ckt-I</t>
  </si>
  <si>
    <t>220KV_VIDISHA</t>
  </si>
  <si>
    <t>For modification/shifiting work of line.</t>
  </si>
  <si>
    <t>04-11-2025 08:00:00</t>
  </si>
  <si>
    <t>12-11-2025 18:00:00</t>
  </si>
  <si>
    <t>Rajkumar Bhusare</t>
  </si>
  <si>
    <t>9425820042</t>
  </si>
  <si>
    <t>as opportunity s/d</t>
  </si>
  <si>
    <t>data confirmation required from communication</t>
  </si>
  <si>
    <t>sub ld</t>
  </si>
  <si>
    <t>ok</t>
  </si>
  <si>
    <t>ok, through sub ld</t>
  </si>
  <si>
    <t>ok, protection confirmation required during charging</t>
  </si>
  <si>
    <t>400KV-SSP-RAJGARH-1</t>
  </si>
  <si>
    <t>MP_SLDC</t>
  </si>
  <si>
    <t>for old disc replacement Work &amp; other line maintenance work</t>
  </si>
  <si>
    <t>08:00</t>
  </si>
  <si>
    <t>17:59</t>
  </si>
  <si>
    <t>WR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</si>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</sst>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64" fontId="4" fillId="3" borderId="6" xfId="0" applyNumberFormat="1" applyFont="1" applyFill="1" applyBorder="1" applyAlignment="1">
      <alignment horizontal="center" vertical="center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Q15" sqref="Q15"/>
    </sheetView>
  </sheetViews>
  <sheetFormatPr defaultRowHeight="15" x14ac:dyDescent="0.25"/>
  <cols>
    <col min="2" max="2" width="11.140625" customWidth="1"/>
    <col min="3" max="3" width="13.42578125" customWidth="1"/>
    <col min="5" max="5" width="47.42578125" customWidth="1"/>
    <col min="6" max="6" width="23.5703125" customWidth="1"/>
    <col min="7" max="7" width="16.140625" customWidth="1"/>
    <col min="8" max="8" width="65" customWidth="1"/>
    <col min="9" max="10" width="19.42578125" customWidth="1"/>
    <col min="11" max="11" width="30.28515625" customWidth="1"/>
    <col min="12" max="12" width="12" customWidth="1"/>
    <col min="13" max="13" width="46.42578125" customWidth="1"/>
  </cols>
  <sheetData>
    <row r="1" spans="1:13" ht="43.7" customHeight="1" x14ac:dyDescent="0.25">
      <c r="A1" s="1"/>
      <c r="B1" s="4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13" ht="42" customHeight="1" x14ac:dyDescent="0.25">
      <c r="A2" s="1" t="s">
        <v>1</v>
      </c>
      <c r="B2" s="2">
        <v>45970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7" t="s">
        <v>15</v>
      </c>
      <c r="L4" s="6"/>
      <c r="M4" s="3" t="s">
        <v>16</v>
      </c>
    </row>
    <row r="5" spans="1:13" ht="30.75" customHeight="1" x14ac:dyDescent="0.25">
      <c r="A5" s="8">
        <v>1</v>
      </c>
      <c r="B5" s="9">
        <v>45968.547314814816</v>
      </c>
      <c r="C5" s="8" t="s">
        <v>17</v>
      </c>
      <c r="D5" s="8"/>
      <c r="E5" s="8" t="s">
        <v>18</v>
      </c>
      <c r="F5" s="8" t="s">
        <v>19</v>
      </c>
      <c r="G5" s="8" t="s">
        <v>20</v>
      </c>
      <c r="H5" s="8" t="s">
        <v>21</v>
      </c>
      <c r="I5" s="10" t="s">
        <v>22</v>
      </c>
      <c r="J5" s="10" t="s">
        <v>23</v>
      </c>
      <c r="K5" s="11" t="s">
        <v>24</v>
      </c>
      <c r="L5" s="12" t="s">
        <v>25</v>
      </c>
      <c r="M5" s="8" t="s">
        <v>115</v>
      </c>
    </row>
    <row r="6" spans="1:13" ht="30.75" customHeight="1" x14ac:dyDescent="0.25">
      <c r="A6" s="8">
        <f>A5+1</f>
        <v>2</v>
      </c>
      <c r="B6" s="9">
        <v>45969.63726851852</v>
      </c>
      <c r="C6" s="8" t="s">
        <v>33</v>
      </c>
      <c r="D6" s="8"/>
      <c r="E6" s="8" t="s">
        <v>26</v>
      </c>
      <c r="F6" s="8" t="s">
        <v>19</v>
      </c>
      <c r="G6" s="8" t="s">
        <v>27</v>
      </c>
      <c r="H6" s="8" t="s">
        <v>28</v>
      </c>
      <c r="I6" s="10" t="s">
        <v>29</v>
      </c>
      <c r="J6" s="10" t="s">
        <v>30</v>
      </c>
      <c r="K6" s="11" t="s">
        <v>31</v>
      </c>
      <c r="L6" s="12" t="s">
        <v>32</v>
      </c>
      <c r="M6" s="8" t="s">
        <v>112</v>
      </c>
    </row>
    <row r="7" spans="1:13" ht="30.75" customHeight="1" x14ac:dyDescent="0.25">
      <c r="A7" s="8">
        <f t="shared" ref="A7:A20" si="0">A6+1</f>
        <v>3</v>
      </c>
      <c r="B7" s="9">
        <v>45968.555243055554</v>
      </c>
      <c r="C7" s="8" t="s">
        <v>34</v>
      </c>
      <c r="D7" s="8"/>
      <c r="E7" s="8" t="s">
        <v>35</v>
      </c>
      <c r="F7" s="8" t="s">
        <v>19</v>
      </c>
      <c r="G7" s="8" t="s">
        <v>27</v>
      </c>
      <c r="H7" s="8" t="s">
        <v>36</v>
      </c>
      <c r="I7" s="10" t="s">
        <v>22</v>
      </c>
      <c r="J7" s="10" t="s">
        <v>23</v>
      </c>
      <c r="K7" s="11" t="s">
        <v>24</v>
      </c>
      <c r="L7" s="12" t="s">
        <v>25</v>
      </c>
      <c r="M7" s="8" t="s">
        <v>117</v>
      </c>
    </row>
    <row r="8" spans="1:13" ht="30.75" customHeight="1" x14ac:dyDescent="0.25">
      <c r="A8" s="8">
        <f t="shared" si="0"/>
        <v>4</v>
      </c>
      <c r="B8" s="9">
        <v>45963.700092592589</v>
      </c>
      <c r="C8" s="8" t="s">
        <v>37</v>
      </c>
      <c r="D8" s="8" t="s">
        <v>38</v>
      </c>
      <c r="E8" s="8" t="s">
        <v>39</v>
      </c>
      <c r="F8" s="8" t="s">
        <v>40</v>
      </c>
      <c r="G8" s="8" t="s">
        <v>20</v>
      </c>
      <c r="H8" s="8" t="s">
        <v>41</v>
      </c>
      <c r="I8" s="10" t="s">
        <v>42</v>
      </c>
      <c r="J8" s="10" t="s">
        <v>43</v>
      </c>
      <c r="K8" s="11" t="s">
        <v>44</v>
      </c>
      <c r="L8" s="12" t="s">
        <v>45</v>
      </c>
      <c r="M8" s="8" t="s">
        <v>113</v>
      </c>
    </row>
    <row r="9" spans="1:13" ht="30.75" customHeight="1" x14ac:dyDescent="0.25">
      <c r="A9" s="8">
        <f t="shared" si="0"/>
        <v>5</v>
      </c>
      <c r="B9" s="9">
        <v>45969.517534722225</v>
      </c>
      <c r="C9" s="8" t="s">
        <v>46</v>
      </c>
      <c r="D9" s="8"/>
      <c r="E9" s="8" t="s">
        <v>47</v>
      </c>
      <c r="F9" s="8" t="s">
        <v>48</v>
      </c>
      <c r="G9" s="8" t="s">
        <v>20</v>
      </c>
      <c r="H9" s="8" t="s">
        <v>49</v>
      </c>
      <c r="I9" s="10" t="s">
        <v>29</v>
      </c>
      <c r="J9" s="10" t="s">
        <v>50</v>
      </c>
      <c r="K9" s="11" t="s">
        <v>51</v>
      </c>
      <c r="L9" s="12" t="s">
        <v>52</v>
      </c>
      <c r="M9" s="8" t="s">
        <v>114</v>
      </c>
    </row>
    <row r="10" spans="1:13" ht="30.75" customHeight="1" x14ac:dyDescent="0.25">
      <c r="A10" s="8">
        <f t="shared" si="0"/>
        <v>6</v>
      </c>
      <c r="B10" s="9">
        <v>45968.537465277775</v>
      </c>
      <c r="C10" s="8" t="s">
        <v>53</v>
      </c>
      <c r="D10" s="8"/>
      <c r="E10" s="8" t="s">
        <v>54</v>
      </c>
      <c r="F10" s="8" t="s">
        <v>55</v>
      </c>
      <c r="G10" s="8" t="s">
        <v>20</v>
      </c>
      <c r="H10" s="8" t="s">
        <v>56</v>
      </c>
      <c r="I10" s="10" t="s">
        <v>22</v>
      </c>
      <c r="J10" s="10" t="s">
        <v>50</v>
      </c>
      <c r="K10" s="11" t="s">
        <v>57</v>
      </c>
      <c r="L10" s="12" t="s">
        <v>58</v>
      </c>
      <c r="M10" s="8" t="s">
        <v>115</v>
      </c>
    </row>
    <row r="11" spans="1:13" ht="30.75" customHeight="1" x14ac:dyDescent="0.25">
      <c r="A11" s="8">
        <f t="shared" si="0"/>
        <v>7</v>
      </c>
      <c r="B11" s="9">
        <v>45964.491226851853</v>
      </c>
      <c r="C11" s="8" t="s">
        <v>59</v>
      </c>
      <c r="D11" s="8" t="s">
        <v>38</v>
      </c>
      <c r="E11" s="8" t="s">
        <v>60</v>
      </c>
      <c r="F11" s="8" t="s">
        <v>61</v>
      </c>
      <c r="G11" s="8" t="s">
        <v>20</v>
      </c>
      <c r="H11" s="8" t="s">
        <v>62</v>
      </c>
      <c r="I11" s="10" t="s">
        <v>42</v>
      </c>
      <c r="J11" s="10" t="s">
        <v>43</v>
      </c>
      <c r="K11" s="11" t="s">
        <v>63</v>
      </c>
      <c r="L11" s="12" t="s">
        <v>45</v>
      </c>
      <c r="M11" s="8" t="s">
        <v>113</v>
      </c>
    </row>
    <row r="12" spans="1:13" ht="30.75" customHeight="1" x14ac:dyDescent="0.25">
      <c r="A12" s="13">
        <f t="shared" si="0"/>
        <v>8</v>
      </c>
      <c r="B12" s="14">
        <v>45964.492615740739</v>
      </c>
      <c r="C12" s="13" t="s">
        <v>64</v>
      </c>
      <c r="D12" s="13" t="s">
        <v>38</v>
      </c>
      <c r="E12" s="13" t="s">
        <v>65</v>
      </c>
      <c r="F12" s="13" t="s">
        <v>61</v>
      </c>
      <c r="G12" s="13" t="s">
        <v>20</v>
      </c>
      <c r="H12" s="13" t="s">
        <v>62</v>
      </c>
      <c r="I12" s="15" t="s">
        <v>42</v>
      </c>
      <c r="J12" s="15" t="s">
        <v>43</v>
      </c>
      <c r="K12" s="16" t="s">
        <v>63</v>
      </c>
      <c r="L12" s="17" t="s">
        <v>45</v>
      </c>
      <c r="M12" s="13" t="s">
        <v>113</v>
      </c>
    </row>
    <row r="13" spans="1:13" ht="30.75" customHeight="1" x14ac:dyDescent="0.25">
      <c r="A13" s="18">
        <f t="shared" si="0"/>
        <v>9</v>
      </c>
      <c r="B13" s="19">
        <v>45968.489432870374</v>
      </c>
      <c r="C13" s="18" t="s">
        <v>66</v>
      </c>
      <c r="D13" s="18" t="s">
        <v>38</v>
      </c>
      <c r="E13" s="18" t="s">
        <v>67</v>
      </c>
      <c r="F13" s="18" t="s">
        <v>68</v>
      </c>
      <c r="G13" s="18" t="s">
        <v>20</v>
      </c>
      <c r="H13" s="18" t="s">
        <v>69</v>
      </c>
      <c r="I13" s="20" t="s">
        <v>70</v>
      </c>
      <c r="J13" s="20" t="s">
        <v>71</v>
      </c>
      <c r="K13" s="18" t="s">
        <v>72</v>
      </c>
      <c r="L13" s="18" t="s">
        <v>73</v>
      </c>
      <c r="M13" s="18" t="s">
        <v>116</v>
      </c>
    </row>
    <row r="14" spans="1:13" ht="30.75" customHeight="1" x14ac:dyDescent="0.25">
      <c r="A14" s="18">
        <f t="shared" si="0"/>
        <v>10</v>
      </c>
      <c r="B14" s="19">
        <v>45938.521956018521</v>
      </c>
      <c r="C14" s="18" t="s">
        <v>74</v>
      </c>
      <c r="D14" s="18" t="s">
        <v>38</v>
      </c>
      <c r="E14" s="18" t="s">
        <v>75</v>
      </c>
      <c r="F14" s="18" t="s">
        <v>76</v>
      </c>
      <c r="G14" s="18" t="s">
        <v>77</v>
      </c>
      <c r="H14" s="18" t="s">
        <v>78</v>
      </c>
      <c r="I14" s="20" t="s">
        <v>79</v>
      </c>
      <c r="J14" s="20" t="s">
        <v>80</v>
      </c>
      <c r="K14" s="18" t="s">
        <v>81</v>
      </c>
      <c r="L14" s="18" t="s">
        <v>82</v>
      </c>
      <c r="M14" s="18" t="s">
        <v>116</v>
      </c>
    </row>
    <row r="15" spans="1:13" ht="30.75" customHeight="1" x14ac:dyDescent="0.25">
      <c r="A15" s="18">
        <f t="shared" si="0"/>
        <v>11</v>
      </c>
      <c r="B15" s="19">
        <v>45963.714502314811</v>
      </c>
      <c r="C15" s="18" t="s">
        <v>83</v>
      </c>
      <c r="D15" s="18" t="s">
        <v>38</v>
      </c>
      <c r="E15" s="18" t="s">
        <v>84</v>
      </c>
      <c r="F15" s="18" t="s">
        <v>85</v>
      </c>
      <c r="G15" s="18" t="s">
        <v>20</v>
      </c>
      <c r="H15" s="18" t="s">
        <v>86</v>
      </c>
      <c r="I15" s="20" t="s">
        <v>42</v>
      </c>
      <c r="J15" s="20" t="s">
        <v>43</v>
      </c>
      <c r="K15" s="18" t="s">
        <v>44</v>
      </c>
      <c r="L15" s="18" t="s">
        <v>45</v>
      </c>
      <c r="M15" s="18" t="s">
        <v>113</v>
      </c>
    </row>
    <row r="16" spans="1:13" ht="30.75" customHeight="1" x14ac:dyDescent="0.25">
      <c r="A16" s="18">
        <f t="shared" si="0"/>
        <v>12</v>
      </c>
      <c r="B16" s="19">
        <v>45969.56962962963</v>
      </c>
      <c r="C16" s="18" t="s">
        <v>87</v>
      </c>
      <c r="D16" s="18"/>
      <c r="E16" s="18" t="s">
        <v>88</v>
      </c>
      <c r="F16" s="18" t="s">
        <v>89</v>
      </c>
      <c r="G16" s="18" t="s">
        <v>20</v>
      </c>
      <c r="H16" s="18" t="s">
        <v>90</v>
      </c>
      <c r="I16" s="20" t="s">
        <v>29</v>
      </c>
      <c r="J16" s="20" t="s">
        <v>91</v>
      </c>
      <c r="K16" s="18" t="s">
        <v>92</v>
      </c>
      <c r="L16" s="18" t="s">
        <v>58</v>
      </c>
      <c r="M16" s="18" t="s">
        <v>112</v>
      </c>
    </row>
    <row r="17" spans="1:13" ht="30.75" customHeight="1" x14ac:dyDescent="0.25">
      <c r="A17" s="18">
        <f t="shared" si="0"/>
        <v>13</v>
      </c>
      <c r="B17" s="19">
        <v>45967.510439814818</v>
      </c>
      <c r="C17" s="18" t="s">
        <v>93</v>
      </c>
      <c r="D17" s="18" t="s">
        <v>38</v>
      </c>
      <c r="E17" s="18" t="s">
        <v>94</v>
      </c>
      <c r="F17" s="18" t="s">
        <v>95</v>
      </c>
      <c r="G17" s="18" t="s">
        <v>20</v>
      </c>
      <c r="H17" s="18" t="s">
        <v>96</v>
      </c>
      <c r="I17" s="20" t="s">
        <v>97</v>
      </c>
      <c r="J17" s="20" t="s">
        <v>50</v>
      </c>
      <c r="K17" s="18" t="s">
        <v>98</v>
      </c>
      <c r="L17" s="18" t="s">
        <v>99</v>
      </c>
      <c r="M17" s="18" t="s">
        <v>115</v>
      </c>
    </row>
    <row r="18" spans="1:13" ht="30.75" customHeight="1" x14ac:dyDescent="0.25">
      <c r="A18" s="18">
        <f t="shared" si="0"/>
        <v>14</v>
      </c>
      <c r="B18" s="19">
        <v>45963.711967592593</v>
      </c>
      <c r="C18" s="18" t="s">
        <v>100</v>
      </c>
      <c r="D18" s="18" t="s">
        <v>38</v>
      </c>
      <c r="E18" s="18" t="s">
        <v>101</v>
      </c>
      <c r="F18" s="18" t="s">
        <v>102</v>
      </c>
      <c r="G18" s="18" t="s">
        <v>20</v>
      </c>
      <c r="H18" s="18" t="s">
        <v>86</v>
      </c>
      <c r="I18" s="20" t="s">
        <v>42</v>
      </c>
      <c r="J18" s="20" t="s">
        <v>43</v>
      </c>
      <c r="K18" s="18" t="s">
        <v>44</v>
      </c>
      <c r="L18" s="18" t="s">
        <v>45</v>
      </c>
      <c r="M18" s="18" t="s">
        <v>113</v>
      </c>
    </row>
    <row r="19" spans="1:13" ht="30.75" customHeight="1" x14ac:dyDescent="0.25">
      <c r="A19" s="18">
        <f t="shared" si="0"/>
        <v>15</v>
      </c>
      <c r="B19" s="19">
        <v>45964.567175925928</v>
      </c>
      <c r="C19" s="18" t="s">
        <v>103</v>
      </c>
      <c r="D19" s="18" t="s">
        <v>104</v>
      </c>
      <c r="E19" s="18" t="s">
        <v>105</v>
      </c>
      <c r="F19" s="18" t="s">
        <v>106</v>
      </c>
      <c r="G19" s="18" t="s">
        <v>20</v>
      </c>
      <c r="H19" s="18" t="s">
        <v>107</v>
      </c>
      <c r="I19" s="20" t="s">
        <v>108</v>
      </c>
      <c r="J19" s="20" t="s">
        <v>109</v>
      </c>
      <c r="K19" s="18" t="s">
        <v>110</v>
      </c>
      <c r="L19" s="18" t="s">
        <v>111</v>
      </c>
      <c r="M19" s="18" t="s">
        <v>114</v>
      </c>
    </row>
    <row r="20" spans="1:13" ht="33" customHeight="1" x14ac:dyDescent="0.25">
      <c r="A20" s="18">
        <f t="shared" si="0"/>
        <v>16</v>
      </c>
      <c r="B20" s="21"/>
      <c r="C20" s="22">
        <v>272693</v>
      </c>
      <c r="D20" s="21"/>
      <c r="E20" s="22" t="s">
        <v>118</v>
      </c>
      <c r="F20" s="22" t="s">
        <v>119</v>
      </c>
      <c r="G20" s="18" t="s">
        <v>123</v>
      </c>
      <c r="H20" s="22" t="s">
        <v>120</v>
      </c>
      <c r="I20" s="22" t="s">
        <v>121</v>
      </c>
      <c r="J20" s="22" t="s">
        <v>122</v>
      </c>
      <c r="K20" s="21"/>
      <c r="L20" s="21"/>
      <c r="M20" s="23" t="s">
        <v>124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2025-11-08T12:32:48Z</dcterms:created>
  <dcterms:modified xsi:type="dcterms:W3CDTF">2025-11-08T13:37:38Z</dcterms:modified>
</cp:coreProperties>
</file>
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Sheet0!$A$1:$M$23</definedName>
  </definedNames>
  <calcPr calcId="162913"/>
</workbook>
</file>

<file path=xl/calcChain.xml><?xml version="1.0" encoding="utf-8"?>
<calcChain xmlns="http://schemas.openxmlformats.org/spreadsheetml/2006/main">
  <c r="A24" i="1" l="1"/>
  <c r="A25" i="1"/>
  <c r="A26" i="1" s="1"/>
  <c r="A27" i="1" s="1"/>
  <c r="A28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<sst xmlns="http://schemas.openxmlformats.org/spreadsheetml/2006/main" count="257" uniqueCount="179">
  <si>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</si>
  <si>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</si>
  <si>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</si>
  <si>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</si>
  <si>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</si>
  <si>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</si>
  <si>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</si>
  <si>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</si>
  <si>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</si>
  <si>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</si>
  <si>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</si>
  <si>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</si>
  <si>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</si>
  <si>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</si>
  <si>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</si>
  <si>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</si>
  <si>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</si>
  <si>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</si>
  <si>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 kV Amarkantak-Jabalpur Circuit</t>
  </si>
  <si>
    <t>220KV_AMARKANTAK</t>
  </si>
  <si>
    <t>NON-OCCM-MP</t>
  </si>
  <si>
    <t>23-01-2026 18:00:00</t>
  </si>
  <si>
    <t>Jitendra Tiwari</t>
  </si>
  <si>
    <t>9425805298</t>
  </si>
  <si>
    <t>MR2601/0339</t>
  </si>
  <si>
    <t>For Conductor re-sagging &amp; other line maintenance</t>
  </si>
  <si>
    <t>22-01-2026 08:00:00</t>
  </si>
  <si>
    <t>MR2601/0196</t>
  </si>
  <si>
    <t>132KV_132 kV Bhopal-Amrawatkhurd line</t>
  </si>
  <si>
    <t>220KV_BHOPAL</t>
  </si>
  <si>
    <t>HTLS Conductor replacement work</t>
  </si>
  <si>
    <t>13-01-2026 07:00:00</t>
  </si>
  <si>
    <t>05-02-2026 18:00:00</t>
  </si>
  <si>
    <t>Ankit Mehroliya</t>
  </si>
  <si>
    <t>9425804506</t>
  </si>
  <si>
    <t>MR2601/0342</t>
  </si>
  <si>
    <t>220KV_220 KV Bina-BORL line Ckt-2.</t>
  </si>
  <si>
    <t>400KV_BINA4</t>
  </si>
  <si>
    <t>work at BORL end</t>
  </si>
  <si>
    <t>22-01-2026 09:00:00</t>
  </si>
  <si>
    <t>22-01-2026 18:00:00</t>
  </si>
  <si>
    <t>Dilip Singh Walkey</t>
  </si>
  <si>
    <t>9425804578</t>
  </si>
  <si>
    <t>MR2601/0341</t>
  </si>
  <si>
    <t>220KV_220 KV Main Bus</t>
  </si>
  <si>
    <t>220KV_CHATARPUR</t>
  </si>
  <si>
    <t>Strring work for new 200 MVA Transformer</t>
  </si>
  <si>
    <t>22-01-2026 17:00:00</t>
  </si>
  <si>
    <t>Brajendra Soni</t>
  </si>
  <si>
    <t>9131327770</t>
  </si>
  <si>
    <t>MR2601/0346</t>
  </si>
  <si>
    <t>132KV_132kV  Chhatarpur-Nowgaon Ckt. IInd Line</t>
  </si>
  <si>
    <t>JCT &amp; &amp; other Line maintenance work</t>
  </si>
  <si>
    <t>Manoj Kumar Tiwari</t>
  </si>
  <si>
    <t>9425804993</t>
  </si>
  <si>
    <t>MR2601/0345</t>
  </si>
  <si>
    <t>220KV_220kV  Chhatarpur-Ajaygarh (TBCB) Ckt. IInd Line</t>
  </si>
  <si>
    <t>JCT &amp; other Line maintenance work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</si>
  <si>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</si>
  <si>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</si>
  <si>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</si>
  <si>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</si>
  <si>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</si>
  <si>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</si>
  <si>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</si>
  <si>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</si>
  <si>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</si>
  <si>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MR2601/0347</t>
  </si>
  <si>
    <t>220KV_160  MVA BHEL 220/132 KV</t>
  </si>
  <si>
    <t>220KV_HOSHANGABAD</t>
  </si>
  <si>
    <t>TESTING OF NIFPS SYSTEM</t>
  </si>
  <si>
    <t>22-01-2026 12:00:00</t>
  </si>
  <si>
    <t>V.P.DWIVEDI</t>
  </si>
  <si>
    <t>9425804799</t>
  </si>
  <si>
    <t>MR2601/0322</t>
  </si>
  <si>
    <t>132KV_132 KV CHAMBAL-SATYASAI LINE</t>
  </si>
  <si>
    <t>132KV_INDORE CHAMBAL</t>
  </si>
  <si>
    <t>CONDUCTOR REPLACEMENT  WORK</t>
  </si>
  <si>
    <t>21-01-2026 21:00:00</t>
  </si>
  <si>
    <t>22-01-2026 06:00:00</t>
  </si>
  <si>
    <t>RAVINDRA PATIL</t>
  </si>
  <si>
    <t>9425801598</t>
  </si>
  <si>
    <t>400KV_KATNI4</t>
  </si>
  <si>
    <t>OCCM-MP</t>
  </si>
  <si>
    <t>MR2601/0009</t>
  </si>
  <si>
    <t>132KV_132 kv katni ic line ckt 1 st</t>
  </si>
  <si>
    <t>For stringing of htls conductor.</t>
  </si>
  <si>
    <t>02-01-2026 09:00:00</t>
  </si>
  <si>
    <t>pankaj yadav</t>
  </si>
  <si>
    <t>9406713326</t>
  </si>
  <si>
    <t>MR2601/0340</t>
  </si>
  <si>
    <t>400KV_400 kv katni brishigpur line ckt 2nd</t>
  </si>
  <si>
    <t>F/O disc replacement work loc.no. 182,219</t>
  </si>
  <si>
    <t>9306713326</t>
  </si>
  <si>
    <t>MR2601/0343</t>
  </si>
  <si>
    <t>132KV_132KV Mandsaur(400KV)-Malharagarh</t>
  </si>
  <si>
    <t>132KV_MALHARGARH</t>
  </si>
  <si>
    <t>For Line Maintenance work</t>
  </si>
  <si>
    <t>22-01-2026 10:00:00</t>
  </si>
  <si>
    <t>Gaurav Goyal</t>
  </si>
  <si>
    <t>9425805120</t>
  </si>
  <si>
    <t>MR2601/0197</t>
  </si>
  <si>
    <t>20MVA_132/33KV_VOLTAMP_X'mer_2</t>
  </si>
  <si>
    <t>132KV_MORWA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</si>
  <si>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</si>
  <si>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</si>
  <si>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</si>
  <si>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</si>
  <si>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</si>
  <si>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MR2601/0337</t>
  </si>
  <si>
    <t>220KV_220kv Nalkheda-Barod-2</t>
  </si>
  <si>
    <t>220KV_NALKHEDA</t>
  </si>
  <si>
    <t>NON-OCCM-WR</t>
  </si>
  <si>
    <t>Post monsoon Bay Maintenance work at Both end S/S</t>
  </si>
  <si>
    <t>VK Gupta</t>
  </si>
  <si>
    <t>9425801214</t>
  </si>
  <si>
    <t>MR2601/0272</t>
  </si>
  <si>
    <t>132KV_132 KV Pipariya-Bareli I</t>
  </si>
  <si>
    <t>220KV_PIPARIYA</t>
  </si>
  <si>
    <t>Resagging work loc.no.  79-9</t>
  </si>
  <si>
    <t>Ashutosh Rai</t>
  </si>
  <si>
    <t>9425806902</t>
  </si>
  <si>
    <t>MR2601/0350</t>
  </si>
  <si>
    <t>400KV_400KV SSTPH Pithampur ckt-2</t>
  </si>
  <si>
    <t>400KV_PITHAMPUR4</t>
  </si>
  <si>
    <t>Tower Restrengthening work on cross arm.</t>
  </si>
  <si>
    <t>28-01-2026 18:00:00</t>
  </si>
  <si>
    <t>Naresh Pandre</t>
  </si>
  <si>
    <t>9425806905</t>
  </si>
  <si>
    <t>MR2601/0349</t>
  </si>
  <si>
    <t>400KV_400KV SSTPH Pithampur ckt-1</t>
  </si>
  <si>
    <t>MR2601/0348</t>
  </si>
  <si>
    <t>220KV_220kv Rajgarh- Shujalpur(PGCIL) Ckt-I</t>
  </si>
  <si>
    <t>220KV_RAJGARH (BIAORA)</t>
  </si>
  <si>
    <t>Flosh over disc Replacement work</t>
  </si>
  <si>
    <t>P.S.Solanki</t>
  </si>
  <si>
    <t>9425820041</t>
  </si>
  <si>
    <t>MR2601/0344</t>
  </si>
  <si>
    <t>220KV_220KV SUKHA-JBP CKT-1 LOAD TRANSFER ON BUS COUPLER</t>
  </si>
  <si>
    <t>220KV_SUKHA</t>
  </si>
  <si>
    <t>HOT POINT ATTENDING WORK</t>
  </si>
  <si>
    <t>22-01-2026 11:00:00</t>
  </si>
  <si>
    <t>22-01-2026 14:00:00</t>
  </si>
  <si>
    <t>ASHISH SONKESHARIYA</t>
  </si>
  <si>
    <t>7587951153</t>
  </si>
  <si>
    <t>shall be given after normalisation of 220kv Anuppur - kotmikala ckt 1, 2</t>
  </si>
  <si>
    <t>sub ld</t>
  </si>
  <si>
    <t>ABT consent required for any metering work</t>
  </si>
  <si>
    <t>deferred</t>
  </si>
  <si>
    <t>ok, through sub ld</t>
  </si>
  <si>
    <t>deferred by WRLDC</t>
  </si>
  <si>
    <t>ok, line to be in service through TBC</t>
  </si>
  <si>
    <t>real time</t>
  </si>
  <si>
    <t>as opportunity s/d</t>
  </si>
  <si>
    <t>ok, shall be given after load management/shifting, timely normalisation required, Relay settings to be revised as per the changed line lengths. capacitor banks to be in service for addressing the voltage issues</t>
  </si>
  <si>
    <t>deferred due to s/d on 400KV-DAMOH-BIRSINGPUR-2 / 400KV-KORBA-NTPC-BIRSINGPUR-2</t>
  </si>
  <si>
    <t>400KV-DAMOH-BIRSINGPUR-2</t>
  </si>
  <si>
    <t>400KV-INDORE-MP-ASOJ-2</t>
  </si>
  <si>
    <t>400KV-KORBA-NTPC-BIRSINGPUR-2</t>
  </si>
  <si>
    <t>220KV-GWALIOR-MAHALGAON-3</t>
  </si>
  <si>
    <t>220KV-KHANDWA-CHHEGAON-1</t>
  </si>
  <si>
    <t>22-Jan-2026</t>
  </si>
  <si>
    <t>09:00</t>
  </si>
  <si>
    <t>18:00</t>
  </si>
  <si>
    <t>00:00</t>
  </si>
  <si>
    <t>24-Jan-2026</t>
  </si>
  <si>
    <t>23:59</t>
  </si>
  <si>
    <t>17:00</t>
  </si>
  <si>
    <t>08:00</t>
  </si>
  <si>
    <t>POWERGRID_WR2</t>
  </si>
  <si>
    <t>NTPC_KORBA</t>
  </si>
  <si>
    <t>MP_SLDC</t>
  </si>
  <si>
    <t>AMP of 400KV Damoh Birsingpur 2 Line reactor, Dia to be kept open at both ends.</t>
  </si>
  <si>
    <t>for SPR Slab Casting work(Safety Hight risk), Dia to be kept open at both ends.</t>
  </si>
  <si>
    <t>Annual PM and testing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</si>
  <si>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</si>
  <si>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</si>
  <si>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only one s/d from 400KV-DAMOH-BIRSINGPUR-2 and 400KV-KORBA-NTPC-BIRSINGPUR-2 to be given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</si>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</sst>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4"/>
      <color rgb="FF000000"/>
      <name val="Arial"/>
      <family val="2"/>
    </font>
    <font>
      <b/>
      <sz val="14"/>
      <color indexed="8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topLeftCell="B1" workbookViewId="0">
      <selection activeCell="H29" sqref="H29"/>
    </sheetView>
  </sheetViews>
  <sheetFormatPr defaultRowHeight="63.75" customHeight="1" x14ac:dyDescent="0.3"/>
  <cols>
    <col min="1" max="1" width="9.140625" style="4"/>
    <col min="2" max="2" width="11.140625" style="4" customWidth="1"/>
    <col min="3" max="3" width="8.28515625" style="4" customWidth="1"/>
    <col min="4" max="4" width="8.85546875" style="4" customWidth="1"/>
    <col min="5" max="5" width="53" style="30" customWidth="1"/>
    <col min="6" max="6" width="34.85546875" style="30" customWidth="1"/>
    <col min="7" max="7" width="7.5703125" style="4" customWidth="1"/>
    <col min="8" max="8" width="57.7109375" style="30" customWidth="1"/>
    <col min="9" max="9" width="11.85546875" style="4" customWidth="1"/>
    <col min="10" max="10" width="11" style="4" customWidth="1"/>
    <col min="11" max="11" width="9.7109375" style="4" customWidth="1"/>
    <col min="12" max="12" width="6.42578125" style="4" customWidth="1"/>
    <col min="13" max="13" width="40.140625" style="30" customWidth="1"/>
    <col min="14" max="16384" width="9.140625" style="4"/>
  </cols>
  <sheetData>
    <row r="1" spans="1:13" ht="63.75" customHeight="1" x14ac:dyDescent="0.25">
      <c r="A1" s="1"/>
      <c r="B1" s="5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63.75" customHeight="1" x14ac:dyDescent="0.25">
      <c r="A2" s="1" t="s">
        <v>1</v>
      </c>
      <c r="B2" s="12">
        <v>46044</v>
      </c>
      <c r="C2" s="1"/>
      <c r="D2" s="1"/>
      <c r="E2" s="24"/>
      <c r="F2" s="24"/>
      <c r="G2" s="1"/>
      <c r="H2" s="24"/>
      <c r="I2" s="1"/>
      <c r="J2" s="1"/>
      <c r="K2" s="1"/>
      <c r="L2" s="1"/>
      <c r="M2" s="24"/>
    </row>
    <row r="3" spans="1:13" ht="63.75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24"/>
      <c r="F3" s="24"/>
      <c r="G3" s="1"/>
      <c r="H3" s="24"/>
      <c r="I3" s="1"/>
      <c r="J3" s="1"/>
      <c r="K3" s="1"/>
      <c r="L3" s="1"/>
      <c r="M3" s="24"/>
    </row>
    <row r="4" spans="1:13" ht="63.75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25" t="s">
        <v>9</v>
      </c>
      <c r="F4" s="25" t="s">
        <v>10</v>
      </c>
      <c r="G4" s="2" t="s">
        <v>11</v>
      </c>
      <c r="H4" s="25" t="s">
        <v>12</v>
      </c>
      <c r="I4" s="2" t="s">
        <v>13</v>
      </c>
      <c r="J4" s="2" t="s">
        <v>14</v>
      </c>
      <c r="K4" s="13" t="s">
        <v>15</v>
      </c>
      <c r="L4" s="11"/>
      <c r="M4" s="25" t="s">
        <v>16</v>
      </c>
    </row>
    <row r="5" spans="1:13" ht="63.75" customHeight="1" x14ac:dyDescent="0.25">
      <c r="A5" s="3">
        <v>1</v>
      </c>
      <c r="B5" s="14">
        <v>46043.543032407404</v>
      </c>
      <c r="C5" s="3" t="s">
        <v>24</v>
      </c>
      <c r="D5" s="3" t="s">
        <v>17</v>
      </c>
      <c r="E5" s="25" t="s">
        <v>18</v>
      </c>
      <c r="F5" s="25" t="s">
        <v>19</v>
      </c>
      <c r="G5" s="3" t="s">
        <v>20</v>
      </c>
      <c r="H5" s="25" t="s">
        <v>25</v>
      </c>
      <c r="I5" s="15" t="s">
        <v>26</v>
      </c>
      <c r="J5" s="15" t="s">
        <v>21</v>
      </c>
      <c r="K5" s="16" t="s">
        <v>22</v>
      </c>
      <c r="L5" s="17" t="s">
        <v>23</v>
      </c>
      <c r="M5" s="25" t="s">
        <v>145</v>
      </c>
    </row>
    <row r="6" spans="1:13" ht="63.75" customHeight="1" x14ac:dyDescent="0.25">
      <c r="A6" s="3">
        <f>A5+1</f>
        <v>2</v>
      </c>
      <c r="B6" s="14">
        <v>46034.687615740739</v>
      </c>
      <c r="C6" s="3" t="s">
        <v>27</v>
      </c>
      <c r="D6" s="3" t="s">
        <v>17</v>
      </c>
      <c r="E6" s="25" t="s">
        <v>28</v>
      </c>
      <c r="F6" s="25" t="s">
        <v>29</v>
      </c>
      <c r="G6" s="3" t="s">
        <v>20</v>
      </c>
      <c r="H6" s="25" t="s">
        <v>30</v>
      </c>
      <c r="I6" s="15" t="s">
        <v>31</v>
      </c>
      <c r="J6" s="15" t="s">
        <v>32</v>
      </c>
      <c r="K6" s="16" t="s">
        <v>33</v>
      </c>
      <c r="L6" s="17" t="s">
        <v>34</v>
      </c>
      <c r="M6" s="25" t="s">
        <v>146</v>
      </c>
    </row>
    <row r="7" spans="1:13" ht="63.75" customHeight="1" x14ac:dyDescent="0.25">
      <c r="A7" s="3">
        <f t="shared" ref="A7:A28" si="0">A6+1</f>
        <v>3</v>
      </c>
      <c r="B7" s="14">
        <v>46043.607534722221</v>
      </c>
      <c r="C7" s="3" t="s">
        <v>35</v>
      </c>
      <c r="D7" s="3"/>
      <c r="E7" s="25" t="s">
        <v>36</v>
      </c>
      <c r="F7" s="25" t="s">
        <v>37</v>
      </c>
      <c r="G7" s="3" t="s">
        <v>20</v>
      </c>
      <c r="H7" s="25" t="s">
        <v>38</v>
      </c>
      <c r="I7" s="15" t="s">
        <v>39</v>
      </c>
      <c r="J7" s="15" t="s">
        <v>40</v>
      </c>
      <c r="K7" s="16" t="s">
        <v>41</v>
      </c>
      <c r="L7" s="17" t="s">
        <v>42</v>
      </c>
      <c r="M7" s="25" t="s">
        <v>147</v>
      </c>
    </row>
    <row r="8" spans="1:13" ht="63.75" customHeight="1" x14ac:dyDescent="0.25">
      <c r="A8" s="3">
        <f t="shared" si="0"/>
        <v>4</v>
      </c>
      <c r="B8" s="14">
        <v>46043.592199074075</v>
      </c>
      <c r="C8" s="3" t="s">
        <v>43</v>
      </c>
      <c r="D8" s="3"/>
      <c r="E8" s="32" t="s">
        <v>44</v>
      </c>
      <c r="F8" s="25" t="s">
        <v>45</v>
      </c>
      <c r="G8" s="3" t="s">
        <v>20</v>
      </c>
      <c r="H8" s="25" t="s">
        <v>46</v>
      </c>
      <c r="I8" s="15" t="s">
        <v>39</v>
      </c>
      <c r="J8" s="15" t="s">
        <v>47</v>
      </c>
      <c r="K8" s="16" t="s">
        <v>48</v>
      </c>
      <c r="L8" s="17" t="s">
        <v>49</v>
      </c>
      <c r="M8" s="2" t="s">
        <v>154</v>
      </c>
    </row>
    <row r="9" spans="1:13" ht="63.75" customHeight="1" x14ac:dyDescent="0.25">
      <c r="A9" s="3">
        <f t="shared" si="0"/>
        <v>5</v>
      </c>
      <c r="B9" s="14">
        <v>46043.663518518515</v>
      </c>
      <c r="C9" s="3" t="s">
        <v>50</v>
      </c>
      <c r="D9" s="3"/>
      <c r="E9" s="32" t="s">
        <v>51</v>
      </c>
      <c r="F9" s="25" t="s">
        <v>45</v>
      </c>
      <c r="G9" s="3" t="s">
        <v>20</v>
      </c>
      <c r="H9" s="25" t="s">
        <v>52</v>
      </c>
      <c r="I9" s="15" t="s">
        <v>39</v>
      </c>
      <c r="J9" s="15" t="s">
        <v>47</v>
      </c>
      <c r="K9" s="16" t="s">
        <v>53</v>
      </c>
      <c r="L9" s="17" t="s">
        <v>54</v>
      </c>
      <c r="M9" s="25" t="s">
        <v>153</v>
      </c>
    </row>
    <row r="10" spans="1:13" ht="63.75" customHeight="1" x14ac:dyDescent="0.25">
      <c r="A10" s="3">
        <f t="shared" si="0"/>
        <v>6</v>
      </c>
      <c r="B10" s="14">
        <v>46043.659907407404</v>
      </c>
      <c r="C10" s="3" t="s">
        <v>55</v>
      </c>
      <c r="D10" s="3"/>
      <c r="E10" s="32" t="s">
        <v>56</v>
      </c>
      <c r="F10" s="25" t="s">
        <v>45</v>
      </c>
      <c r="G10" s="3" t="s">
        <v>20</v>
      </c>
      <c r="H10" s="25" t="s">
        <v>57</v>
      </c>
      <c r="I10" s="15" t="s">
        <v>39</v>
      </c>
      <c r="J10" s="15" t="s">
        <v>47</v>
      </c>
      <c r="K10" s="16" t="s">
        <v>53</v>
      </c>
      <c r="L10" s="17" t="s">
        <v>54</v>
      </c>
      <c r="M10" s="25" t="s">
        <v>153</v>
      </c>
    </row>
    <row r="11" spans="1:13" ht="63.75" customHeight="1" x14ac:dyDescent="0.25">
      <c r="A11" s="3">
        <f t="shared" si="0"/>
        <v>7</v>
      </c>
      <c r="B11" s="14">
        <v>46039.472916666666</v>
      </c>
      <c r="C11" s="3" t="s">
        <v>58</v>
      </c>
      <c r="D11" s="3" t="s">
        <v>59</v>
      </c>
      <c r="E11" s="25" t="s">
        <v>60</v>
      </c>
      <c r="F11" s="25" t="s">
        <v>61</v>
      </c>
      <c r="G11" s="3" t="s">
        <v>20</v>
      </c>
      <c r="H11" s="25" t="s">
        <v>62</v>
      </c>
      <c r="I11" s="15" t="s">
        <v>63</v>
      </c>
      <c r="J11" s="15" t="s">
        <v>64</v>
      </c>
      <c r="K11" s="16" t="s">
        <v>65</v>
      </c>
      <c r="L11" s="17" t="s">
        <v>66</v>
      </c>
      <c r="M11" s="25" t="s">
        <v>148</v>
      </c>
    </row>
    <row r="12" spans="1:13" ht="63.75" customHeight="1" x14ac:dyDescent="0.25">
      <c r="A12" s="3">
        <f t="shared" si="0"/>
        <v>8</v>
      </c>
      <c r="B12" s="14">
        <v>46043.666064814817</v>
      </c>
      <c r="C12" s="3" t="s">
        <v>67</v>
      </c>
      <c r="D12" s="3"/>
      <c r="E12" s="25" t="s">
        <v>68</v>
      </c>
      <c r="F12" s="25" t="s">
        <v>69</v>
      </c>
      <c r="G12" s="3" t="s">
        <v>20</v>
      </c>
      <c r="H12" s="25" t="s">
        <v>70</v>
      </c>
      <c r="I12" s="15" t="s">
        <v>71</v>
      </c>
      <c r="J12" s="15" t="s">
        <v>47</v>
      </c>
      <c r="K12" s="16" t="s">
        <v>72</v>
      </c>
      <c r="L12" s="17" t="s">
        <v>73</v>
      </c>
      <c r="M12" s="25" t="s">
        <v>152</v>
      </c>
    </row>
    <row r="13" spans="1:13" ht="63.75" customHeight="1" x14ac:dyDescent="0.25">
      <c r="A13" s="3">
        <f t="shared" si="0"/>
        <v>9</v>
      </c>
      <c r="B13" s="14">
        <v>46042.560613425929</v>
      </c>
      <c r="C13" s="3" t="s">
        <v>74</v>
      </c>
      <c r="D13" s="3" t="s">
        <v>17</v>
      </c>
      <c r="E13" s="25" t="s">
        <v>75</v>
      </c>
      <c r="F13" s="25" t="s">
        <v>76</v>
      </c>
      <c r="G13" s="3" t="s">
        <v>20</v>
      </c>
      <c r="H13" s="25" t="s">
        <v>77</v>
      </c>
      <c r="I13" s="15" t="s">
        <v>78</v>
      </c>
      <c r="J13" s="15" t="s">
        <v>79</v>
      </c>
      <c r="K13" s="16" t="s">
        <v>80</v>
      </c>
      <c r="L13" s="17" t="s">
        <v>81</v>
      </c>
      <c r="M13" s="25" t="s">
        <v>146</v>
      </c>
    </row>
    <row r="14" spans="1:13" ht="63.75" customHeight="1" x14ac:dyDescent="0.25">
      <c r="A14" s="3">
        <f t="shared" si="0"/>
        <v>10</v>
      </c>
      <c r="B14" s="14">
        <v>46023.642534722225</v>
      </c>
      <c r="C14" s="3" t="s">
        <v>84</v>
      </c>
      <c r="D14" s="3" t="s">
        <v>59</v>
      </c>
      <c r="E14" s="25" t="s">
        <v>85</v>
      </c>
      <c r="F14" s="25" t="s">
        <v>82</v>
      </c>
      <c r="G14" s="3" t="s">
        <v>20</v>
      </c>
      <c r="H14" s="25" t="s">
        <v>86</v>
      </c>
      <c r="I14" s="15" t="s">
        <v>87</v>
      </c>
      <c r="J14" s="15" t="s">
        <v>40</v>
      </c>
      <c r="K14" s="16" t="s">
        <v>88</v>
      </c>
      <c r="L14" s="17" t="s">
        <v>89</v>
      </c>
      <c r="M14" s="25" t="s">
        <v>148</v>
      </c>
    </row>
    <row r="15" spans="1:13" ht="63.75" customHeight="1" x14ac:dyDescent="0.25">
      <c r="A15" s="3">
        <f t="shared" si="0"/>
        <v>11</v>
      </c>
      <c r="B15" s="14">
        <v>46043.587581018517</v>
      </c>
      <c r="C15" s="3" t="s">
        <v>90</v>
      </c>
      <c r="D15" s="3"/>
      <c r="E15" s="25" t="s">
        <v>91</v>
      </c>
      <c r="F15" s="25" t="s">
        <v>82</v>
      </c>
      <c r="G15" s="3" t="s">
        <v>20</v>
      </c>
      <c r="H15" s="25" t="s">
        <v>92</v>
      </c>
      <c r="I15" s="15" t="s">
        <v>39</v>
      </c>
      <c r="J15" s="15" t="s">
        <v>40</v>
      </c>
      <c r="K15" s="16" t="s">
        <v>88</v>
      </c>
      <c r="L15" s="17" t="s">
        <v>93</v>
      </c>
      <c r="M15" s="33" t="s">
        <v>155</v>
      </c>
    </row>
    <row r="16" spans="1:13" ht="63.75" customHeight="1" x14ac:dyDescent="0.25">
      <c r="A16" s="3">
        <f t="shared" si="0"/>
        <v>12</v>
      </c>
      <c r="B16" s="14">
        <v>46043.626770833333</v>
      </c>
      <c r="C16" s="3" t="s">
        <v>94</v>
      </c>
      <c r="D16" s="3"/>
      <c r="E16" s="25" t="s">
        <v>95</v>
      </c>
      <c r="F16" s="25" t="s">
        <v>96</v>
      </c>
      <c r="G16" s="3" t="s">
        <v>20</v>
      </c>
      <c r="H16" s="25" t="s">
        <v>97</v>
      </c>
      <c r="I16" s="15" t="s">
        <v>98</v>
      </c>
      <c r="J16" s="15" t="s">
        <v>40</v>
      </c>
      <c r="K16" s="16" t="s">
        <v>99</v>
      </c>
      <c r="L16" s="17" t="s">
        <v>100</v>
      </c>
      <c r="M16" s="25" t="s">
        <v>146</v>
      </c>
    </row>
    <row r="17" spans="1:13" ht="63.75" customHeight="1" x14ac:dyDescent="0.25">
      <c r="A17" s="3">
        <f t="shared" si="0"/>
        <v>13</v>
      </c>
      <c r="B17" s="14">
        <v>46034.699479166666</v>
      </c>
      <c r="C17" s="3" t="s">
        <v>101</v>
      </c>
      <c r="D17" s="3" t="s">
        <v>59</v>
      </c>
      <c r="E17" s="25" t="s">
        <v>102</v>
      </c>
      <c r="F17" s="25" t="s">
        <v>103</v>
      </c>
      <c r="G17" s="3" t="s">
        <v>20</v>
      </c>
      <c r="H17" s="25" t="s">
        <v>104</v>
      </c>
      <c r="I17" s="15" t="s">
        <v>105</v>
      </c>
      <c r="J17" s="15" t="s">
        <v>106</v>
      </c>
      <c r="K17" s="16" t="s">
        <v>107</v>
      </c>
      <c r="L17" s="17" t="s">
        <v>108</v>
      </c>
      <c r="M17" s="25" t="s">
        <v>59</v>
      </c>
    </row>
    <row r="18" spans="1:13" ht="63.75" customHeight="1" x14ac:dyDescent="0.25">
      <c r="A18" s="3">
        <f t="shared" si="0"/>
        <v>14</v>
      </c>
      <c r="B18" s="14">
        <v>46043.478148148148</v>
      </c>
      <c r="C18" s="3" t="s">
        <v>109</v>
      </c>
      <c r="D18" s="3"/>
      <c r="E18" s="25" t="s">
        <v>110</v>
      </c>
      <c r="F18" s="25" t="s">
        <v>111</v>
      </c>
      <c r="G18" s="3" t="s">
        <v>112</v>
      </c>
      <c r="H18" s="25" t="s">
        <v>113</v>
      </c>
      <c r="I18" s="15" t="s">
        <v>98</v>
      </c>
      <c r="J18" s="15" t="s">
        <v>47</v>
      </c>
      <c r="K18" s="16" t="s">
        <v>114</v>
      </c>
      <c r="L18" s="17" t="s">
        <v>115</v>
      </c>
      <c r="M18" s="25" t="s">
        <v>149</v>
      </c>
    </row>
    <row r="19" spans="1:13" ht="63.75" customHeight="1" x14ac:dyDescent="0.25">
      <c r="A19" s="3">
        <f t="shared" si="0"/>
        <v>15</v>
      </c>
      <c r="B19" s="14">
        <v>46039.608391203707</v>
      </c>
      <c r="C19" s="3" t="s">
        <v>116</v>
      </c>
      <c r="D19" s="3" t="s">
        <v>17</v>
      </c>
      <c r="E19" s="25" t="s">
        <v>117</v>
      </c>
      <c r="F19" s="25" t="s">
        <v>118</v>
      </c>
      <c r="G19" s="3" t="s">
        <v>20</v>
      </c>
      <c r="H19" s="25" t="s">
        <v>119</v>
      </c>
      <c r="I19" s="15" t="s">
        <v>63</v>
      </c>
      <c r="J19" s="15" t="s">
        <v>21</v>
      </c>
      <c r="K19" s="16" t="s">
        <v>120</v>
      </c>
      <c r="L19" s="17" t="s">
        <v>121</v>
      </c>
      <c r="M19" s="25" t="s">
        <v>146</v>
      </c>
    </row>
    <row r="20" spans="1:13" ht="63.75" customHeight="1" x14ac:dyDescent="0.25">
      <c r="A20" s="3">
        <f t="shared" si="0"/>
        <v>16</v>
      </c>
      <c r="B20" s="14">
        <v>46043.684155092589</v>
      </c>
      <c r="C20" s="3" t="s">
        <v>122</v>
      </c>
      <c r="D20" s="3" t="s">
        <v>59</v>
      </c>
      <c r="E20" s="25" t="s">
        <v>123</v>
      </c>
      <c r="F20" s="25" t="s">
        <v>124</v>
      </c>
      <c r="G20" s="3" t="s">
        <v>20</v>
      </c>
      <c r="H20" s="25" t="s">
        <v>125</v>
      </c>
      <c r="I20" s="15" t="s">
        <v>26</v>
      </c>
      <c r="J20" s="15" t="s">
        <v>126</v>
      </c>
      <c r="K20" s="16" t="s">
        <v>127</v>
      </c>
      <c r="L20" s="17" t="s">
        <v>128</v>
      </c>
      <c r="M20" s="25" t="s">
        <v>148</v>
      </c>
    </row>
    <row r="21" spans="1:13" ht="63.75" customHeight="1" x14ac:dyDescent="0.25">
      <c r="A21" s="3">
        <f t="shared" si="0"/>
        <v>17</v>
      </c>
      <c r="B21" s="14">
        <v>46043.682893518519</v>
      </c>
      <c r="C21" s="3" t="s">
        <v>129</v>
      </c>
      <c r="D21" s="3" t="s">
        <v>59</v>
      </c>
      <c r="E21" s="25" t="s">
        <v>130</v>
      </c>
      <c r="F21" s="25" t="s">
        <v>124</v>
      </c>
      <c r="G21" s="3" t="s">
        <v>20</v>
      </c>
      <c r="H21" s="25" t="s">
        <v>125</v>
      </c>
      <c r="I21" s="15" t="s">
        <v>26</v>
      </c>
      <c r="J21" s="15" t="s">
        <v>126</v>
      </c>
      <c r="K21" s="16" t="s">
        <v>127</v>
      </c>
      <c r="L21" s="17" t="s">
        <v>128</v>
      </c>
      <c r="M21" s="25" t="s">
        <v>148</v>
      </c>
    </row>
    <row r="22" spans="1:13" ht="63.75" customHeight="1" x14ac:dyDescent="0.25">
      <c r="A22" s="6">
        <f t="shared" si="0"/>
        <v>18</v>
      </c>
      <c r="B22" s="18">
        <v>46043.671793981484</v>
      </c>
      <c r="C22" s="6" t="s">
        <v>131</v>
      </c>
      <c r="D22" s="6"/>
      <c r="E22" s="26" t="s">
        <v>132</v>
      </c>
      <c r="F22" s="26" t="s">
        <v>133</v>
      </c>
      <c r="G22" s="6" t="s">
        <v>83</v>
      </c>
      <c r="H22" s="26" t="s">
        <v>134</v>
      </c>
      <c r="I22" s="19" t="s">
        <v>26</v>
      </c>
      <c r="J22" s="19" t="s">
        <v>40</v>
      </c>
      <c r="K22" s="20" t="s">
        <v>135</v>
      </c>
      <c r="L22" s="21" t="s">
        <v>136</v>
      </c>
      <c r="M22" s="26" t="s">
        <v>150</v>
      </c>
    </row>
    <row r="23" spans="1:13" ht="63.75" customHeight="1" x14ac:dyDescent="0.25">
      <c r="A23" s="7">
        <f t="shared" si="0"/>
        <v>19</v>
      </c>
      <c r="B23" s="22">
        <v>46043.639606481483</v>
      </c>
      <c r="C23" s="7" t="s">
        <v>137</v>
      </c>
      <c r="D23" s="7"/>
      <c r="E23" s="27" t="s">
        <v>138</v>
      </c>
      <c r="F23" s="27" t="s">
        <v>139</v>
      </c>
      <c r="G23" s="7" t="s">
        <v>20</v>
      </c>
      <c r="H23" s="27" t="s">
        <v>140</v>
      </c>
      <c r="I23" s="23" t="s">
        <v>141</v>
      </c>
      <c r="J23" s="23" t="s">
        <v>142</v>
      </c>
      <c r="K23" s="7" t="s">
        <v>143</v>
      </c>
      <c r="L23" s="7" t="s">
        <v>144</v>
      </c>
      <c r="M23" s="27" t="s">
        <v>151</v>
      </c>
    </row>
    <row r="24" spans="1:13" ht="63.75" customHeight="1" x14ac:dyDescent="0.25">
      <c r="A24" s="6">
        <f t="shared" si="0"/>
        <v>20</v>
      </c>
      <c r="B24" s="8"/>
      <c r="C24" s="9">
        <v>281414</v>
      </c>
      <c r="D24" s="8"/>
      <c r="E24" s="31" t="s">
        <v>156</v>
      </c>
      <c r="F24" s="31">
        <v>400</v>
      </c>
      <c r="G24" s="9" t="s">
        <v>169</v>
      </c>
      <c r="H24" s="31" t="s">
        <v>172</v>
      </c>
      <c r="I24" s="9" t="s">
        <v>161</v>
      </c>
      <c r="J24" s="9" t="s">
        <v>162</v>
      </c>
      <c r="K24" s="9" t="s">
        <v>161</v>
      </c>
      <c r="L24" s="9" t="s">
        <v>163</v>
      </c>
      <c r="M24" s="34" t="s">
        <v>177</v>
      </c>
    </row>
    <row r="25" spans="1:13" ht="63.75" customHeight="1" x14ac:dyDescent="0.25">
      <c r="A25" s="7">
        <f t="shared" si="0"/>
        <v>21</v>
      </c>
      <c r="B25" s="8"/>
      <c r="C25" s="9">
        <v>283043</v>
      </c>
      <c r="D25" s="8"/>
      <c r="E25" s="31" t="s">
        <v>157</v>
      </c>
      <c r="F25" s="31">
        <v>400</v>
      </c>
      <c r="G25" s="9" t="s">
        <v>169</v>
      </c>
      <c r="H25" s="31" t="s">
        <v>173</v>
      </c>
      <c r="I25" s="9" t="s">
        <v>161</v>
      </c>
      <c r="J25" s="9" t="s">
        <v>162</v>
      </c>
      <c r="K25" s="9" t="s">
        <v>161</v>
      </c>
      <c r="L25" s="9" t="s">
        <v>163</v>
      </c>
      <c r="M25" s="28" t="s">
        <v>178</v>
      </c>
    </row>
    <row r="26" spans="1:13" ht="63.75" customHeight="1" x14ac:dyDescent="0.25">
      <c r="A26" s="6">
        <f t="shared" si="0"/>
        <v>22</v>
      </c>
      <c r="B26" s="8"/>
      <c r="C26" s="9">
        <v>280154</v>
      </c>
      <c r="D26" s="8"/>
      <c r="E26" s="31" t="s">
        <v>158</v>
      </c>
      <c r="F26" s="31">
        <v>400</v>
      </c>
      <c r="G26" s="9" t="s">
        <v>170</v>
      </c>
      <c r="H26" s="31" t="s">
        <v>174</v>
      </c>
      <c r="I26" s="9" t="s">
        <v>161</v>
      </c>
      <c r="J26" s="9" t="s">
        <v>164</v>
      </c>
      <c r="K26" s="9" t="s">
        <v>165</v>
      </c>
      <c r="L26" s="9" t="s">
        <v>166</v>
      </c>
      <c r="M26" s="34" t="s">
        <v>177</v>
      </c>
    </row>
    <row r="27" spans="1:13" ht="63.75" customHeight="1" x14ac:dyDescent="0.25">
      <c r="A27" s="7">
        <f t="shared" si="0"/>
        <v>23</v>
      </c>
      <c r="B27" s="8"/>
      <c r="C27" s="9">
        <v>281059</v>
      </c>
      <c r="D27" s="8"/>
      <c r="E27" s="31" t="s">
        <v>159</v>
      </c>
      <c r="F27" s="31">
        <v>220</v>
      </c>
      <c r="G27" s="9" t="s">
        <v>171</v>
      </c>
      <c r="H27" s="35" t="s">
        <v>175</v>
      </c>
      <c r="I27" s="9" t="s">
        <v>161</v>
      </c>
      <c r="J27" s="9" t="s">
        <v>162</v>
      </c>
      <c r="K27" s="9" t="s">
        <v>161</v>
      </c>
      <c r="L27" s="9" t="s">
        <v>167</v>
      </c>
      <c r="M27" s="28" t="s">
        <v>152</v>
      </c>
    </row>
    <row r="28" spans="1:13" ht="63.75" customHeight="1" x14ac:dyDescent="0.25">
      <c r="A28" s="6">
        <f t="shared" si="0"/>
        <v>24</v>
      </c>
      <c r="B28" s="8"/>
      <c r="C28" s="9">
        <v>281060</v>
      </c>
      <c r="D28" s="8"/>
      <c r="E28" s="31" t="s">
        <v>160</v>
      </c>
      <c r="F28" s="31">
        <v>220</v>
      </c>
      <c r="G28" s="9" t="s">
        <v>171</v>
      </c>
      <c r="H28" s="35" t="s">
        <v>176</v>
      </c>
      <c r="I28" s="9" t="s">
        <v>161</v>
      </c>
      <c r="J28" s="9" t="s">
        <v>168</v>
      </c>
      <c r="K28" s="9" t="s">
        <v>161</v>
      </c>
      <c r="L28" s="9" t="s">
        <v>163</v>
      </c>
      <c r="M28" s="28" t="s">
        <v>152</v>
      </c>
    </row>
    <row r="29" spans="1:13" ht="63.75" customHeight="1" x14ac:dyDescent="0.3">
      <c r="A29" s="8"/>
      <c r="B29" s="8"/>
      <c r="C29" s="8"/>
      <c r="D29" s="8"/>
      <c r="E29" s="29"/>
      <c r="F29" s="29"/>
      <c r="G29" s="8"/>
      <c r="H29" s="29"/>
      <c r="I29" s="8"/>
      <c r="J29" s="8"/>
      <c r="K29" s="8"/>
      <c r="L29" s="8"/>
      <c r="M29" s="29"/>
    </row>
    <row r="30" spans="1:13" ht="63.75" customHeight="1" x14ac:dyDescent="0.3">
      <c r="A30" s="8"/>
      <c r="B30" s="8"/>
      <c r="C30" s="8"/>
      <c r="D30" s="8"/>
      <c r="E30" s="29"/>
      <c r="F30" s="29"/>
      <c r="G30" s="8"/>
      <c r="H30" s="29"/>
      <c r="I30" s="8"/>
      <c r="J30" s="8"/>
      <c r="K30" s="8"/>
      <c r="L30" s="8"/>
      <c r="M30" s="29"/>
    </row>
    <row r="31" spans="1:13" ht="63.75" customHeight="1" x14ac:dyDescent="0.3">
      <c r="A31" s="8"/>
      <c r="B31" s="8"/>
      <c r="C31" s="8"/>
      <c r="D31" s="8"/>
      <c r="E31" s="29"/>
      <c r="F31" s="29"/>
      <c r="G31" s="8"/>
      <c r="H31" s="29"/>
      <c r="I31" s="8"/>
      <c r="J31" s="8"/>
      <c r="K31" s="8"/>
      <c r="L31" s="8"/>
      <c r="M31" s="29"/>
    </row>
    <row r="32" spans="1:13" ht="63.75" customHeight="1" x14ac:dyDescent="0.3">
      <c r="A32" s="8"/>
      <c r="B32" s="8"/>
      <c r="C32" s="8"/>
      <c r="D32" s="8"/>
      <c r="E32" s="29"/>
      <c r="F32" s="29"/>
      <c r="G32" s="8"/>
      <c r="H32" s="29"/>
      <c r="I32" s="8"/>
      <c r="J32" s="8"/>
      <c r="K32" s="8"/>
      <c r="L32" s="8"/>
      <c r="M32" s="29"/>
    </row>
    <row r="33" spans="1:13" ht="63.75" customHeight="1" x14ac:dyDescent="0.3">
      <c r="A33" s="8"/>
      <c r="B33" s="8"/>
      <c r="C33" s="8"/>
      <c r="D33" s="8"/>
      <c r="E33" s="29"/>
      <c r="F33" s="29"/>
      <c r="G33" s="8"/>
      <c r="H33" s="29"/>
      <c r="I33" s="8"/>
      <c r="J33" s="8"/>
      <c r="K33" s="8"/>
      <c r="L33" s="8"/>
      <c r="M33" s="29"/>
    </row>
    <row r="34" spans="1:13" ht="63.75" customHeight="1" x14ac:dyDescent="0.3">
      <c r="A34" s="8"/>
      <c r="B34" s="8"/>
      <c r="C34" s="8"/>
      <c r="D34" s="8"/>
      <c r="E34" s="29"/>
      <c r="F34" s="29"/>
      <c r="G34" s="8"/>
      <c r="H34" s="29"/>
      <c r="I34" s="8"/>
      <c r="J34" s="8"/>
      <c r="K34" s="8"/>
      <c r="L34" s="8"/>
      <c r="M34" s="29"/>
    </row>
    <row r="35" spans="1:13" ht="63.75" customHeight="1" x14ac:dyDescent="0.3">
      <c r="A35" s="8"/>
      <c r="B35" s="8"/>
      <c r="C35" s="8"/>
      <c r="D35" s="8"/>
      <c r="E35" s="29"/>
      <c r="F35" s="29"/>
      <c r="G35" s="8"/>
      <c r="H35" s="29"/>
      <c r="I35" s="8"/>
      <c r="J35" s="8"/>
      <c r="K35" s="8"/>
      <c r="L35" s="8"/>
      <c r="M35" s="29"/>
    </row>
    <row r="36" spans="1:13" ht="63.75" customHeight="1" x14ac:dyDescent="0.3">
      <c r="A36" s="8"/>
      <c r="B36" s="8"/>
      <c r="C36" s="8"/>
      <c r="D36" s="8"/>
      <c r="E36" s="29"/>
      <c r="F36" s="29"/>
      <c r="G36" s="8"/>
      <c r="H36" s="29"/>
      <c r="I36" s="8"/>
      <c r="J36" s="8"/>
      <c r="K36" s="8"/>
      <c r="L36" s="8"/>
      <c r="M36" s="29"/>
    </row>
    <row r="37" spans="1:13" ht="63.75" customHeight="1" x14ac:dyDescent="0.3">
      <c r="A37" s="8"/>
      <c r="B37" s="8"/>
      <c r="C37" s="8"/>
      <c r="D37" s="8"/>
      <c r="E37" s="29"/>
      <c r="F37" s="29"/>
      <c r="G37" s="8"/>
      <c r="H37" s="29"/>
      <c r="I37" s="8"/>
      <c r="J37" s="8"/>
      <c r="K37" s="8"/>
      <c r="L37" s="8"/>
      <c r="M37" s="29"/>
    </row>
    <row r="38" spans="1:13" ht="63.75" customHeight="1" x14ac:dyDescent="0.3">
      <c r="A38" s="8"/>
      <c r="B38" s="8"/>
      <c r="C38" s="8"/>
      <c r="D38" s="8"/>
      <c r="E38" s="29"/>
      <c r="F38" s="29"/>
      <c r="G38" s="8"/>
      <c r="H38" s="29"/>
      <c r="I38" s="8"/>
      <c r="J38" s="8"/>
      <c r="K38" s="8"/>
      <c r="L38" s="8"/>
      <c r="M38" s="29"/>
    </row>
    <row r="39" spans="1:13" ht="63.75" customHeight="1" x14ac:dyDescent="0.3">
      <c r="A39" s="8"/>
      <c r="B39" s="8"/>
      <c r="C39" s="8"/>
      <c r="D39" s="8"/>
      <c r="E39" s="29"/>
      <c r="F39" s="29"/>
      <c r="G39" s="8"/>
      <c r="H39" s="29"/>
      <c r="I39" s="8"/>
      <c r="J39" s="8"/>
      <c r="K39" s="8"/>
      <c r="L39" s="8"/>
      <c r="M39" s="29"/>
    </row>
    <row r="40" spans="1:13" ht="63.75" customHeight="1" x14ac:dyDescent="0.3">
      <c r="A40" s="8"/>
      <c r="B40" s="8"/>
      <c r="C40" s="8"/>
      <c r="D40" s="8"/>
      <c r="E40" s="29"/>
      <c r="F40" s="29"/>
      <c r="G40" s="8"/>
      <c r="H40" s="29"/>
      <c r="I40" s="8"/>
      <c r="J40" s="8"/>
      <c r="K40" s="8"/>
      <c r="L40" s="8"/>
      <c r="M40" s="29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2026-01-21T10:58:29Z</dcterms:created>
  <dcterms:modified xsi:type="dcterms:W3CDTF">2026-01-21T14:01:21Z</dcterms:modified>
</cp:coreProperties>
</file>
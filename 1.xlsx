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" i="1" l="1"/>
  <c r="A37" i="1"/>
  <c r="A38" i="1" s="1"/>
  <c r="A39" i="1" s="1"/>
  <c r="A40" i="1" s="1"/>
  <c r="A41" i="1" s="1"/>
  <c r="A42" i="1" s="1"/>
  <c r="A43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6" i="1"/>
</calcChain>
</file>

<file path=xl/sharedStrings.xml><?xml version="1.0" encoding="utf-8"?>
<sst xmlns="http://schemas.openxmlformats.org/spreadsheetml/2006/main" count="393" uniqueCount="251">
  <si>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</si>
  <si>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</si>
  <si>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</si>
  <si>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</si>
  <si>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</si>
  <si>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</si>
  <si>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</si>
  <si>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</si>
  <si>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</si>
  <si>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</si>
  <si>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</si>
  <si>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</si>
  <si>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</si>
  <si>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</si>
  <si>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</si>
  <si>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</si>
  <si>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</si>
  <si>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MR2604/0065</t>
  </si>
  <si>
    <t>Daily</t>
  </si>
  <si>
    <t>220KV_220kV Bina- Guna Ckt.</t>
  </si>
  <si>
    <t>400KV_BINA4</t>
  </si>
  <si>
    <t>NON-OCCM-MP</t>
  </si>
  <si>
    <t>For Re-Sagging work</t>
  </si>
  <si>
    <t>04-04-2026 09:00:00</t>
  </si>
  <si>
    <t>06-04-2026 18:00:00</t>
  </si>
  <si>
    <t>Akhilesh Singh</t>
  </si>
  <si>
    <t>8586865656</t>
  </si>
  <si>
    <t>132KV_132 KV MAIN BUS</t>
  </si>
  <si>
    <t>220KV_BIRSINGHPUR</t>
  </si>
  <si>
    <t>131 KV SHAHDOL CKT -1 160 MVA- MER</t>
  </si>
  <si>
    <t>04-04-2026 10:00:00</t>
  </si>
  <si>
    <t>04-04-2026 17:00:00</t>
  </si>
  <si>
    <t>TOSHAN SINGH</t>
  </si>
  <si>
    <t>9752605559</t>
  </si>
  <si>
    <t>MR2604/0074</t>
  </si>
  <si>
    <t>MR2604/0086</t>
  </si>
  <si>
    <t>132KV_132 kV Nepa - Pipalpani Redial LIne</t>
  </si>
  <si>
    <t>400KV_CHHEGAON4</t>
  </si>
  <si>
    <t>NON-OCCM-WR</t>
  </si>
  <si>
    <t>Flash Over Disc Replacement &amp; Line Maint.Work</t>
  </si>
  <si>
    <t>04-04-2026 08:00:00</t>
  </si>
  <si>
    <t>04-04-2026 12:00:00</t>
  </si>
  <si>
    <t>M.K.More</t>
  </si>
  <si>
    <t>9425805258</t>
  </si>
  <si>
    <t>MR2604/0039</t>
  </si>
  <si>
    <t>220KV_220 kV Chhindwara-Pandhurna</t>
  </si>
  <si>
    <t>220KV_CHHINDWARA</t>
  </si>
  <si>
    <t>Conductor Re-sagging work</t>
  </si>
  <si>
    <t>03-04-2026 09:00:00</t>
  </si>
  <si>
    <t>A.M.Shende</t>
  </si>
  <si>
    <t>7587951136</t>
  </si>
  <si>
    <t>MR2604/0072</t>
  </si>
  <si>
    <t>132KV_63 mva x-mer bbl</t>
  </si>
  <si>
    <t>220KV_GORABAZAR</t>
  </si>
  <si>
    <t>pre monsson work</t>
  </si>
  <si>
    <t>R S BAIS</t>
  </si>
  <si>
    <t>9425163265</t>
  </si>
  <si>
    <t>MR2604/0083</t>
  </si>
  <si>
    <t>220KV_160 mva transeformer 1 st BHEL</t>
  </si>
  <si>
    <t>220KV_GUNA</t>
  </si>
  <si>
    <t>PREMONSOON MAINT WORK AND RELAY TESTING WORK</t>
  </si>
  <si>
    <t>04-04-2026 18:00:00</t>
  </si>
  <si>
    <t>SAGAR SINGH DHAKAD</t>
  </si>
  <si>
    <t>9589205697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</si>
  <si>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</si>
  <si>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</si>
  <si>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</si>
  <si>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</si>
  <si>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</si>
  <si>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</si>
  <si>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</si>
  <si>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</si>
  <si>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</si>
  <si>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</si>
  <si>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</si>
  <si>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</si>
  <si>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ANNUAL MAINTENANCE</t>
  </si>
  <si>
    <t>01-04-2026 06:00:00</t>
  </si>
  <si>
    <t>15-04-2026 18:00:00</t>
  </si>
  <si>
    <t>SANJAY PATEL</t>
  </si>
  <si>
    <t>9575074321</t>
  </si>
  <si>
    <t>MR2604/0021</t>
  </si>
  <si>
    <t>220KV_220 kV Jabalpur- narsinghpur ckt-I</t>
  </si>
  <si>
    <t>220KV_JABALPUR</t>
  </si>
  <si>
    <t>Resagging work at Loc. No. 27R, 27R1, 28R, 29R</t>
  </si>
  <si>
    <t>02-04-2026 08:00:00</t>
  </si>
  <si>
    <t>10-04-2026 19:00:00</t>
  </si>
  <si>
    <t>Jitendra Tiwari</t>
  </si>
  <si>
    <t>9425805298</t>
  </si>
  <si>
    <t>MR2604/0022</t>
  </si>
  <si>
    <t>220KV_220 kV Jabalpur- Narsinghpur ckt-II</t>
  </si>
  <si>
    <t>MR2603/0291</t>
  </si>
  <si>
    <t>400KV_400KV JP BINA -MP BINA LINE</t>
  </si>
  <si>
    <t>400KV_JP BINA</t>
  </si>
  <si>
    <t>PRIVENTIVE MAINTANCE</t>
  </si>
  <si>
    <t>06-04-2026 19:00:00</t>
  </si>
  <si>
    <t>Krishna SinghThakur</t>
  </si>
  <si>
    <t>7987976012</t>
  </si>
  <si>
    <t>MR2604/0045</t>
  </si>
  <si>
    <t>132KV_132/33 kV 40 MVA BBL X-MER</t>
  </si>
  <si>
    <t>132KV_KARAKBEL</t>
  </si>
  <si>
    <t>PRE MONSOON MAINTENANCE AND TESTING WORK</t>
  </si>
  <si>
    <t>DINESH KUSHWAHA</t>
  </si>
  <si>
    <t>9425801319</t>
  </si>
  <si>
    <t>MR2604/0046</t>
  </si>
  <si>
    <t>132KV_132KV INTERCONNECTOR IST LINE</t>
  </si>
  <si>
    <t>132KV_KATNI</t>
  </si>
  <si>
    <t>HTLS CONDUCTOR REPLACEMENT WORK</t>
  </si>
  <si>
    <t>08-04-2026 18:00:00</t>
  </si>
  <si>
    <t>MANOJ KUMAR TIWARI</t>
  </si>
  <si>
    <t>9425804993</t>
  </si>
  <si>
    <t>MR2604/0079</t>
  </si>
  <si>
    <t>40MVA_132/33KV_TELK_X'mer_1</t>
  </si>
  <si>
    <t>132KV_KHAPASWAMI</t>
  </si>
  <si>
    <t>Transformer painting work.</t>
  </si>
  <si>
    <t>S.K.Okte</t>
  </si>
  <si>
    <t>7587951132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</si>
  <si>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</si>
  <si>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</si>
  <si>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</si>
  <si>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</si>
  <si>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</si>
  <si>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</si>
  <si>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</si>
  <si>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MR2604/0082</t>
  </si>
  <si>
    <t>220KV_Chhindwara Pandhurna</t>
  </si>
  <si>
    <t>220KV_PANDHURNA</t>
  </si>
  <si>
    <t>F/O disc replacement &amp; other line maint. work</t>
  </si>
  <si>
    <t>SHIV KUMAR</t>
  </si>
  <si>
    <t>9425806917</t>
  </si>
  <si>
    <t>MR2604/0001</t>
  </si>
  <si>
    <t>400KV_400KV SSTPH Pithampur ckt 1</t>
  </si>
  <si>
    <t>400KV_PITHAMPUR4</t>
  </si>
  <si>
    <t>Tower Restrengthening work on cross arm</t>
  </si>
  <si>
    <t>Naresh Pandre</t>
  </si>
  <si>
    <t>9425806905</t>
  </si>
  <si>
    <t>MR2604/0002</t>
  </si>
  <si>
    <t>400KV_400 KV SSTPH- Pithampur ckt 2</t>
  </si>
  <si>
    <t>MR2604/0084</t>
  </si>
  <si>
    <t>220KV_160MVA Transformer-I (EMCO)</t>
  </si>
  <si>
    <t>220KV_RAJGARH DHAR</t>
  </si>
  <si>
    <t>REPLACEMENT OF OLD DISC INSULATOR STRING</t>
  </si>
  <si>
    <t>MANOJ RANDA</t>
  </si>
  <si>
    <t>9425820034</t>
  </si>
  <si>
    <t>MR2604/0042</t>
  </si>
  <si>
    <t>220KV_220KV MAIN BUS-I</t>
  </si>
  <si>
    <t>OLD DISC REPLACEMENT WORK AGAINST R&amp;R</t>
  </si>
  <si>
    <t>13-04-2026 18:00:00</t>
  </si>
  <si>
    <t>132KV_132  kv Satna â¿¿  Majhagwan line</t>
  </si>
  <si>
    <t>220KV_SATNA</t>
  </si>
  <si>
    <t>ERS at conductor shifting work</t>
  </si>
  <si>
    <t>Mr.R.K.Prajapati</t>
  </si>
  <si>
    <t>9407070182</t>
  </si>
  <si>
    <t>MR2604/0052</t>
  </si>
  <si>
    <t>MR2604/0085</t>
  </si>
  <si>
    <t>132KV_132kv Main bus -1</t>
  </si>
  <si>
    <t>OCCM-MP</t>
  </si>
  <si>
    <t>For Main bus Rph high Span conductor repair</t>
  </si>
  <si>
    <t>Poshkar kushwaha AE</t>
  </si>
  <si>
    <t>9425813990</t>
  </si>
  <si>
    <t>MR2603/0664</t>
  </si>
  <si>
    <t>400KV_400KV SARNI ITARSI</t>
  </si>
  <si>
    <t>400KV_SATPURA TPS</t>
  </si>
  <si>
    <t>Connection to newly installed RTU</t>
  </si>
  <si>
    <t>YASHWANT WARATHE</t>
  </si>
  <si>
    <t>9425611046</t>
  </si>
  <si>
    <t>MR2604/0033</t>
  </si>
  <si>
    <t>132KV_132kV Seoni Nainpur Ckt-IInd</t>
  </si>
  <si>
    <t>220KV_SEONI</t>
  </si>
  <si>
    <t>Replacement of damage OPGW wire</t>
  </si>
  <si>
    <t>03-04-2026 08:00:00</t>
  </si>
  <si>
    <t>Amol Shende</t>
  </si>
  <si>
    <t>MR2604/0077</t>
  </si>
  <si>
    <t>220KV_220kv shajapur inox ckt 1st</t>
  </si>
  <si>
    <t>220KV_SHAJAPUR</t>
  </si>
  <si>
    <t>SUB STATION MAITENANCE</t>
  </si>
  <si>
    <t>04-04-2026 14:00:00</t>
  </si>
  <si>
    <t>K SACHINDRA</t>
  </si>
  <si>
    <t>9425805295</t>
  </si>
  <si>
    <t>MR2604/0078</t>
  </si>
  <si>
    <t>220KV_SHAJAPUR INOX 2ND CKT</t>
  </si>
  <si>
    <t>BAY MAINTENNACE WORK</t>
  </si>
  <si>
    <t>04-04-2026 19:00:00</t>
  </si>
  <si>
    <t>MR2604/0068</t>
  </si>
  <si>
    <t>220KV_220 KV JBP NO.1 FEEDER LOAD TRANSFER ON BUS COUPLER</t>
  </si>
  <si>
    <t>220KV_SUKHA</t>
  </si>
  <si>
    <t>HOT POINT ATTENDING WORK</t>
  </si>
  <si>
    <t>04-04-2026 13:00:00</t>
  </si>
  <si>
    <t>04-04-2026 15:00:00</t>
  </si>
  <si>
    <t>ASHISH SONKESHARIYA</t>
  </si>
  <si>
    <t>7587951153</t>
  </si>
  <si>
    <t>MR2604/0069</t>
  </si>
  <si>
    <t>220KV_220/33KV 50 MVA BHEL XMER-1</t>
  </si>
  <si>
    <t>MR2604/0081</t>
  </si>
  <si>
    <t>132KV_132 kV Tikamgarh-Prithvipur  line</t>
  </si>
  <si>
    <t>220KV_TIKAMGARH</t>
  </si>
  <si>
    <t>DFO &amp; other line maintenance work</t>
  </si>
  <si>
    <t>04-04-2026 16:00:00</t>
  </si>
  <si>
    <t>MR2604/0071</t>
  </si>
  <si>
    <t>220KV_160mva xmer make bhel</t>
  </si>
  <si>
    <t>220KV_UDAIPURA</t>
  </si>
  <si>
    <t>Pre monsoon maintenance and testing work</t>
  </si>
  <si>
    <t>Pankaj hariyale</t>
  </si>
  <si>
    <t>9827202680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</si>
  <si>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</si>
  <si>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</si>
  <si>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</si>
  <si>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</si>
  <si>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</si>
  <si>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</si>
  <si>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</si>
  <si>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</si>
  <si>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sub ld</t>
  </si>
  <si>
    <t>ok, 220kv Pandhurna-Kalmeshwar ckt to be in service</t>
  </si>
  <si>
    <t>ok, through sub ld</t>
  </si>
  <si>
    <t>o&amp;m consnet required</t>
  </si>
  <si>
    <t>ok</t>
  </si>
  <si>
    <t>as per system availability</t>
  </si>
  <si>
    <t>ok, shall be given after 11hrs, 220kv Narsinghpur-Pipariya ckt to be opened for load management</t>
  </si>
  <si>
    <t>ok, WRLDC code to be taken</t>
  </si>
  <si>
    <t>ok, 132kv Katni-Saleemnabad ckt to be opened</t>
  </si>
  <si>
    <t>as opportunity s/d</t>
  </si>
  <si>
    <t>deferred, not in WRLDC list</t>
  </si>
  <si>
    <t>ok, line to be in service through TBC</t>
  </si>
  <si>
    <t>ok, as per real time load management</t>
  </si>
  <si>
    <t>APPROVED OUTAGE LIST FOR DATED 04.04.2026</t>
  </si>
  <si>
    <t>400KV-SINGAJI-PITHAMPUR-1</t>
  </si>
  <si>
    <t>04-Apr-2026</t>
  </si>
  <si>
    <t>08:00</t>
  </si>
  <si>
    <t>18-Apr-2026</t>
  </si>
  <si>
    <t>18:00</t>
  </si>
  <si>
    <t xml:space="preserve">FOR TOWER STRENGHTING WORK AT VARIOUS LINE LOCATIONS I.E. CONE TIGHTNING &amp; STRENGTHNING, MISSING PART PROVIDING  </t>
  </si>
  <si>
    <t>400KV-SINGAJI-PITHAMPUR-2</t>
  </si>
  <si>
    <t>400KV/220KV KHANDWA-ICT-2</t>
  </si>
  <si>
    <t>07:00</t>
  </si>
  <si>
    <t>Schedule AMP Work .Dia to be kept open at both Sides</t>
  </si>
  <si>
    <t>400KV-SSP-RAJGARH-1</t>
  </si>
  <si>
    <t>SHUTDOWN REQUIRED FOR REPLACEMENT OF DEFECTIVE DISC INSULATOR</t>
  </si>
  <si>
    <t>220KV-BINA-MP-BINA-1</t>
  </si>
  <si>
    <t>09:00</t>
  </si>
  <si>
    <t>17:00</t>
  </si>
  <si>
    <t>FOR BAY MAINTENANCE &amp; TESTING WORK AT SUBSTASTION, REPLACEMENT OF DAMAGED CLAMPS/JUMPERS ETC.</t>
  </si>
  <si>
    <t>real time</t>
  </si>
  <si>
    <t>400KV-BINA-MP-JP-BINA-1</t>
  </si>
  <si>
    <t>06:00</t>
  </si>
  <si>
    <t>19:00</t>
  </si>
  <si>
    <t xml:space="preserve">
For line maintenance and conductor resagging work</t>
  </si>
  <si>
    <t>400KV-SSP-RAJGARH-2</t>
  </si>
  <si>
    <t>A/R OFF REQUIRED DUE TO OUTAGE OF CKT -1</t>
  </si>
  <si>
    <t>ok, line to be in service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</si>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</sst>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5" borderId="5" xfId="0" applyFill="1" applyBorder="1"/>
    <xf numFmtId="0" fontId="6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B41" sqref="B4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8" customWidth="1"/>
    <col min="6" max="6" width="22" customWidth="1"/>
    <col min="7" max="7" width="16.140625" customWidth="1"/>
    <col min="8" max="8" width="49.140625" customWidth="1"/>
    <col min="9" max="10" width="19.5703125" customWidth="1"/>
    <col min="11" max="11" width="23.7109375" customWidth="1"/>
    <col min="12" max="12" width="12" customWidth="1"/>
    <col min="13" max="13" width="50.2851562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46116</v>
      </c>
      <c r="C2" s="1"/>
      <c r="D2" s="1"/>
      <c r="E2" s="14" t="s">
        <v>225</v>
      </c>
      <c r="F2" s="15"/>
      <c r="G2" s="15"/>
      <c r="H2" s="15"/>
      <c r="I2" s="15"/>
      <c r="J2" s="16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8.25" customHeight="1" x14ac:dyDescent="0.25">
      <c r="A5" s="4">
        <v>1</v>
      </c>
      <c r="B5" s="5">
        <v>46114.705879629626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214</v>
      </c>
    </row>
    <row r="6" spans="1:13" ht="38.25" customHeight="1" x14ac:dyDescent="0.25">
      <c r="A6" s="4">
        <f>A5+1</f>
        <v>2</v>
      </c>
      <c r="B6" s="5">
        <v>46115.574189814812</v>
      </c>
      <c r="C6" s="4" t="s">
        <v>34</v>
      </c>
      <c r="D6" s="4"/>
      <c r="E6" s="9" t="s">
        <v>27</v>
      </c>
      <c r="F6" s="4" t="s">
        <v>28</v>
      </c>
      <c r="G6" s="4" t="s">
        <v>21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224</v>
      </c>
    </row>
    <row r="7" spans="1:13" ht="38.25" customHeight="1" x14ac:dyDescent="0.25">
      <c r="A7" s="4">
        <f t="shared" ref="A7:A43" si="0">A6+1</f>
        <v>3</v>
      </c>
      <c r="B7" s="5">
        <v>46115.669178240743</v>
      </c>
      <c r="C7" s="4" t="s">
        <v>35</v>
      </c>
      <c r="D7" s="4"/>
      <c r="E7" s="4" t="s">
        <v>36</v>
      </c>
      <c r="F7" s="4" t="s">
        <v>37</v>
      </c>
      <c r="G7" s="4" t="s">
        <v>38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212</v>
      </c>
    </row>
    <row r="8" spans="1:13" ht="38.25" customHeight="1" x14ac:dyDescent="0.25">
      <c r="A8" s="4">
        <f t="shared" si="0"/>
        <v>4</v>
      </c>
      <c r="B8" s="5">
        <v>46114.613217592596</v>
      </c>
      <c r="C8" s="4" t="s">
        <v>44</v>
      </c>
      <c r="D8" s="4" t="s">
        <v>18</v>
      </c>
      <c r="E8" s="4" t="s">
        <v>45</v>
      </c>
      <c r="F8" s="4" t="s">
        <v>46</v>
      </c>
      <c r="G8" s="4" t="s">
        <v>21</v>
      </c>
      <c r="H8" s="4" t="s">
        <v>47</v>
      </c>
      <c r="I8" s="6" t="s">
        <v>48</v>
      </c>
      <c r="J8" s="6" t="s">
        <v>24</v>
      </c>
      <c r="K8" s="7" t="s">
        <v>49</v>
      </c>
      <c r="L8" s="8" t="s">
        <v>50</v>
      </c>
      <c r="M8" s="4" t="s">
        <v>213</v>
      </c>
    </row>
    <row r="9" spans="1:13" ht="38.25" customHeight="1" x14ac:dyDescent="0.25">
      <c r="A9" s="4">
        <f t="shared" si="0"/>
        <v>5</v>
      </c>
      <c r="B9" s="5">
        <v>46115.557997685188</v>
      </c>
      <c r="C9" s="4" t="s">
        <v>51</v>
      </c>
      <c r="D9" s="4"/>
      <c r="E9" s="4" t="s">
        <v>52</v>
      </c>
      <c r="F9" s="4" t="s">
        <v>53</v>
      </c>
      <c r="G9" s="4" t="s">
        <v>21</v>
      </c>
      <c r="H9" s="4" t="s">
        <v>54</v>
      </c>
      <c r="I9" s="6" t="s">
        <v>23</v>
      </c>
      <c r="J9" s="6" t="s">
        <v>31</v>
      </c>
      <c r="K9" s="7" t="s">
        <v>55</v>
      </c>
      <c r="L9" s="8" t="s">
        <v>56</v>
      </c>
      <c r="M9" s="4" t="s">
        <v>215</v>
      </c>
    </row>
    <row r="10" spans="1:13" ht="38.25" customHeight="1" x14ac:dyDescent="0.25">
      <c r="A10" s="4">
        <f t="shared" si="0"/>
        <v>6</v>
      </c>
      <c r="B10" s="5">
        <v>46115.631643518522</v>
      </c>
      <c r="C10" s="4" t="s">
        <v>57</v>
      </c>
      <c r="D10" s="4"/>
      <c r="E10" s="4" t="s">
        <v>58</v>
      </c>
      <c r="F10" s="4" t="s">
        <v>59</v>
      </c>
      <c r="G10" s="4" t="s">
        <v>21</v>
      </c>
      <c r="H10" s="4" t="s">
        <v>60</v>
      </c>
      <c r="I10" s="6" t="s">
        <v>30</v>
      </c>
      <c r="J10" s="6" t="s">
        <v>61</v>
      </c>
      <c r="K10" s="7" t="s">
        <v>62</v>
      </c>
      <c r="L10" s="8" t="s">
        <v>63</v>
      </c>
      <c r="M10" s="4" t="s">
        <v>214</v>
      </c>
    </row>
    <row r="11" spans="1:13" ht="38.25" customHeight="1" x14ac:dyDescent="0.25">
      <c r="A11" s="4">
        <f t="shared" si="0"/>
        <v>7</v>
      </c>
      <c r="B11" s="5">
        <v>46050.577592592592</v>
      </c>
      <c r="C11" s="4" t="s">
        <v>67</v>
      </c>
      <c r="D11" s="4" t="s">
        <v>18</v>
      </c>
      <c r="E11" s="4" t="s">
        <v>68</v>
      </c>
      <c r="F11" s="4" t="s">
        <v>65</v>
      </c>
      <c r="G11" s="4" t="s">
        <v>21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66</v>
      </c>
      <c r="M11" s="4" t="s">
        <v>216</v>
      </c>
    </row>
    <row r="12" spans="1:13" ht="38.25" customHeight="1" x14ac:dyDescent="0.25">
      <c r="A12" s="4">
        <f t="shared" si="0"/>
        <v>8</v>
      </c>
      <c r="B12" s="5">
        <v>46111.48060185185</v>
      </c>
      <c r="C12" s="4" t="s">
        <v>73</v>
      </c>
      <c r="D12" s="4" t="s">
        <v>64</v>
      </c>
      <c r="E12" s="4" t="s">
        <v>74</v>
      </c>
      <c r="F12" s="4" t="s">
        <v>75</v>
      </c>
      <c r="G12" s="4" t="s">
        <v>38</v>
      </c>
      <c r="H12" s="4" t="s">
        <v>76</v>
      </c>
      <c r="I12" s="6" t="s">
        <v>77</v>
      </c>
      <c r="J12" s="6" t="s">
        <v>78</v>
      </c>
      <c r="K12" s="7" t="s">
        <v>79</v>
      </c>
      <c r="L12" s="8" t="s">
        <v>80</v>
      </c>
      <c r="M12" s="4" t="s">
        <v>217</v>
      </c>
    </row>
    <row r="13" spans="1:13" ht="38.25" customHeight="1" x14ac:dyDescent="0.25">
      <c r="A13" s="4">
        <f t="shared" si="0"/>
        <v>9</v>
      </c>
      <c r="B13" s="5">
        <v>46113.663113425922</v>
      </c>
      <c r="C13" s="4" t="s">
        <v>81</v>
      </c>
      <c r="D13" s="4" t="s">
        <v>18</v>
      </c>
      <c r="E13" s="4" t="s">
        <v>82</v>
      </c>
      <c r="F13" s="4" t="s">
        <v>83</v>
      </c>
      <c r="G13" s="4" t="s">
        <v>21</v>
      </c>
      <c r="H13" s="4" t="s">
        <v>84</v>
      </c>
      <c r="I13" s="6" t="s">
        <v>85</v>
      </c>
      <c r="J13" s="6" t="s">
        <v>86</v>
      </c>
      <c r="K13" s="7" t="s">
        <v>87</v>
      </c>
      <c r="L13" s="8" t="s">
        <v>88</v>
      </c>
      <c r="M13" s="4" t="s">
        <v>218</v>
      </c>
    </row>
    <row r="14" spans="1:13" ht="38.25" customHeight="1" x14ac:dyDescent="0.25">
      <c r="A14" s="4">
        <f t="shared" si="0"/>
        <v>10</v>
      </c>
      <c r="B14" s="5">
        <v>46113.665219907409</v>
      </c>
      <c r="C14" s="4" t="s">
        <v>89</v>
      </c>
      <c r="D14" s="4" t="s">
        <v>18</v>
      </c>
      <c r="E14" s="4" t="s">
        <v>90</v>
      </c>
      <c r="F14" s="4" t="s">
        <v>83</v>
      </c>
      <c r="G14" s="4" t="s">
        <v>21</v>
      </c>
      <c r="H14" s="4" t="s">
        <v>84</v>
      </c>
      <c r="I14" s="6" t="s">
        <v>85</v>
      </c>
      <c r="J14" s="6" t="s">
        <v>86</v>
      </c>
      <c r="K14" s="7" t="s">
        <v>87</v>
      </c>
      <c r="L14" s="8" t="s">
        <v>88</v>
      </c>
      <c r="M14" s="4" t="s">
        <v>218</v>
      </c>
    </row>
    <row r="15" spans="1:13" ht="38.25" customHeight="1" x14ac:dyDescent="0.25">
      <c r="A15" s="4">
        <f t="shared" si="0"/>
        <v>11</v>
      </c>
      <c r="B15" s="5">
        <v>46095.718784722223</v>
      </c>
      <c r="C15" s="4" t="s">
        <v>91</v>
      </c>
      <c r="D15" s="4" t="s">
        <v>18</v>
      </c>
      <c r="E15" s="4" t="s">
        <v>92</v>
      </c>
      <c r="F15" s="4" t="s">
        <v>93</v>
      </c>
      <c r="G15" s="4" t="s">
        <v>38</v>
      </c>
      <c r="H15" s="4" t="s">
        <v>94</v>
      </c>
      <c r="I15" s="6" t="s">
        <v>77</v>
      </c>
      <c r="J15" s="6" t="s">
        <v>95</v>
      </c>
      <c r="K15" s="7" t="s">
        <v>96</v>
      </c>
      <c r="L15" s="8" t="s">
        <v>97</v>
      </c>
      <c r="M15" s="4" t="s">
        <v>219</v>
      </c>
    </row>
    <row r="16" spans="1:13" ht="38.25" customHeight="1" x14ac:dyDescent="0.25">
      <c r="A16" s="4">
        <f t="shared" si="0"/>
        <v>12</v>
      </c>
      <c r="B16" s="5">
        <v>46114.636990740742</v>
      </c>
      <c r="C16" s="4" t="s">
        <v>98</v>
      </c>
      <c r="D16" s="4"/>
      <c r="E16" s="4" t="s">
        <v>99</v>
      </c>
      <c r="F16" s="4" t="s">
        <v>100</v>
      </c>
      <c r="G16" s="4" t="s">
        <v>21</v>
      </c>
      <c r="H16" s="4" t="s">
        <v>101</v>
      </c>
      <c r="I16" s="6" t="s">
        <v>30</v>
      </c>
      <c r="J16" s="6" t="s">
        <v>61</v>
      </c>
      <c r="K16" s="7" t="s">
        <v>102</v>
      </c>
      <c r="L16" s="8" t="s">
        <v>103</v>
      </c>
      <c r="M16" s="4" t="s">
        <v>215</v>
      </c>
    </row>
    <row r="17" spans="1:13" ht="38.25" customHeight="1" x14ac:dyDescent="0.25">
      <c r="A17" s="4">
        <f t="shared" si="0"/>
        <v>13</v>
      </c>
      <c r="B17" s="5">
        <v>46114.674560185187</v>
      </c>
      <c r="C17" s="4" t="s">
        <v>104</v>
      </c>
      <c r="D17" s="4" t="s">
        <v>18</v>
      </c>
      <c r="E17" s="4" t="s">
        <v>105</v>
      </c>
      <c r="F17" s="4" t="s">
        <v>106</v>
      </c>
      <c r="G17" s="4" t="s">
        <v>21</v>
      </c>
      <c r="H17" s="4" t="s">
        <v>107</v>
      </c>
      <c r="I17" s="6" t="s">
        <v>48</v>
      </c>
      <c r="J17" s="6" t="s">
        <v>108</v>
      </c>
      <c r="K17" s="7" t="s">
        <v>109</v>
      </c>
      <c r="L17" s="8" t="s">
        <v>110</v>
      </c>
      <c r="M17" s="4" t="s">
        <v>220</v>
      </c>
    </row>
    <row r="18" spans="1:13" ht="38.25" customHeight="1" x14ac:dyDescent="0.25">
      <c r="A18" s="4">
        <f t="shared" si="0"/>
        <v>14</v>
      </c>
      <c r="B18" s="5">
        <v>46115.605034722219</v>
      </c>
      <c r="C18" s="4" t="s">
        <v>111</v>
      </c>
      <c r="D18" s="4"/>
      <c r="E18" s="4" t="s">
        <v>112</v>
      </c>
      <c r="F18" s="4" t="s">
        <v>113</v>
      </c>
      <c r="G18" s="4" t="s">
        <v>21</v>
      </c>
      <c r="H18" s="4" t="s">
        <v>114</v>
      </c>
      <c r="I18" s="6" t="s">
        <v>23</v>
      </c>
      <c r="J18" s="6" t="s">
        <v>61</v>
      </c>
      <c r="K18" s="7" t="s">
        <v>115</v>
      </c>
      <c r="L18" s="8" t="s">
        <v>116</v>
      </c>
      <c r="M18" s="4" t="s">
        <v>215</v>
      </c>
    </row>
    <row r="19" spans="1:13" ht="38.25" customHeight="1" x14ac:dyDescent="0.25">
      <c r="A19" s="4">
        <f t="shared" si="0"/>
        <v>15</v>
      </c>
      <c r="B19" s="5">
        <v>46109.748136574075</v>
      </c>
      <c r="C19" s="4" t="s">
        <v>117</v>
      </c>
      <c r="D19" s="4" t="s">
        <v>64</v>
      </c>
      <c r="E19" s="4" t="s">
        <v>118</v>
      </c>
      <c r="F19" s="4" t="s">
        <v>119</v>
      </c>
      <c r="G19" s="4" t="s">
        <v>38</v>
      </c>
      <c r="H19" s="4" t="s">
        <v>120</v>
      </c>
      <c r="I19" s="6" t="s">
        <v>121</v>
      </c>
      <c r="J19" s="6" t="s">
        <v>78</v>
      </c>
      <c r="K19" s="7" t="s">
        <v>122</v>
      </c>
      <c r="L19" s="8" t="s">
        <v>123</v>
      </c>
      <c r="M19" s="4" t="s">
        <v>217</v>
      </c>
    </row>
    <row r="20" spans="1:13" ht="38.25" customHeight="1" x14ac:dyDescent="0.25">
      <c r="A20" s="4">
        <f t="shared" si="0"/>
        <v>16</v>
      </c>
      <c r="B20" s="5">
        <v>46115.626620370371</v>
      </c>
      <c r="C20" s="4" t="s">
        <v>124</v>
      </c>
      <c r="D20" s="4"/>
      <c r="E20" s="4" t="s">
        <v>125</v>
      </c>
      <c r="F20" s="4" t="s">
        <v>126</v>
      </c>
      <c r="G20" s="4" t="s">
        <v>21</v>
      </c>
      <c r="H20" s="4" t="s">
        <v>127</v>
      </c>
      <c r="I20" s="6" t="s">
        <v>23</v>
      </c>
      <c r="J20" s="6" t="s">
        <v>31</v>
      </c>
      <c r="K20" s="7" t="s">
        <v>128</v>
      </c>
      <c r="L20" s="8" t="s">
        <v>129</v>
      </c>
      <c r="M20" s="4" t="s">
        <v>221</v>
      </c>
    </row>
    <row r="21" spans="1:13" ht="38.25" customHeight="1" x14ac:dyDescent="0.25">
      <c r="A21" s="4">
        <f t="shared" si="0"/>
        <v>17</v>
      </c>
      <c r="B21" s="5">
        <v>46113.401608796295</v>
      </c>
      <c r="C21" s="4" t="s">
        <v>130</v>
      </c>
      <c r="D21" s="4" t="s">
        <v>64</v>
      </c>
      <c r="E21" s="4" t="s">
        <v>131</v>
      </c>
      <c r="F21" s="4" t="s">
        <v>132</v>
      </c>
      <c r="G21" s="4" t="s">
        <v>21</v>
      </c>
      <c r="H21" s="4" t="s">
        <v>133</v>
      </c>
      <c r="I21" s="6" t="s">
        <v>85</v>
      </c>
      <c r="J21" s="6" t="s">
        <v>78</v>
      </c>
      <c r="K21" s="7" t="s">
        <v>134</v>
      </c>
      <c r="L21" s="8" t="s">
        <v>135</v>
      </c>
      <c r="M21" s="4" t="s">
        <v>219</v>
      </c>
    </row>
    <row r="22" spans="1:13" ht="38.25" customHeight="1" x14ac:dyDescent="0.25">
      <c r="A22" s="4">
        <f t="shared" si="0"/>
        <v>18</v>
      </c>
      <c r="B22" s="5">
        <v>46113.402939814812</v>
      </c>
      <c r="C22" s="4" t="s">
        <v>136</v>
      </c>
      <c r="D22" s="4" t="s">
        <v>64</v>
      </c>
      <c r="E22" s="4" t="s">
        <v>137</v>
      </c>
      <c r="F22" s="4" t="s">
        <v>132</v>
      </c>
      <c r="G22" s="4" t="s">
        <v>21</v>
      </c>
      <c r="H22" s="4" t="s">
        <v>133</v>
      </c>
      <c r="I22" s="6" t="s">
        <v>85</v>
      </c>
      <c r="J22" s="6" t="s">
        <v>78</v>
      </c>
      <c r="K22" s="7" t="s">
        <v>134</v>
      </c>
      <c r="L22" s="8" t="s">
        <v>135</v>
      </c>
      <c r="M22" s="4" t="s">
        <v>219</v>
      </c>
    </row>
    <row r="23" spans="1:13" ht="38.25" customHeight="1" x14ac:dyDescent="0.25">
      <c r="A23" s="4">
        <f t="shared" si="0"/>
        <v>19</v>
      </c>
      <c r="B23" s="5">
        <v>46115.658159722225</v>
      </c>
      <c r="C23" s="4" t="s">
        <v>138</v>
      </c>
      <c r="D23" s="4"/>
      <c r="E23" s="4" t="s">
        <v>139</v>
      </c>
      <c r="F23" s="4" t="s">
        <v>140</v>
      </c>
      <c r="G23" s="4" t="s">
        <v>21</v>
      </c>
      <c r="H23" s="4" t="s">
        <v>141</v>
      </c>
      <c r="I23" s="6" t="s">
        <v>23</v>
      </c>
      <c r="J23" s="6" t="s">
        <v>61</v>
      </c>
      <c r="K23" s="7" t="s">
        <v>142</v>
      </c>
      <c r="L23" s="8" t="s">
        <v>143</v>
      </c>
      <c r="M23" s="4" t="s">
        <v>214</v>
      </c>
    </row>
    <row r="24" spans="1:13" ht="38.25" customHeight="1" x14ac:dyDescent="0.25">
      <c r="A24" s="4">
        <f t="shared" si="0"/>
        <v>20</v>
      </c>
      <c r="B24" s="5">
        <v>46114.621898148151</v>
      </c>
      <c r="C24" s="4" t="s">
        <v>144</v>
      </c>
      <c r="D24" s="4" t="s">
        <v>64</v>
      </c>
      <c r="E24" s="4" t="s">
        <v>145</v>
      </c>
      <c r="F24" s="4" t="s">
        <v>140</v>
      </c>
      <c r="G24" s="4" t="s">
        <v>21</v>
      </c>
      <c r="H24" s="4" t="s">
        <v>146</v>
      </c>
      <c r="I24" s="6" t="s">
        <v>48</v>
      </c>
      <c r="J24" s="6" t="s">
        <v>147</v>
      </c>
      <c r="K24" s="7" t="s">
        <v>142</v>
      </c>
      <c r="L24" s="8" t="s">
        <v>143</v>
      </c>
      <c r="M24" s="4" t="s">
        <v>64</v>
      </c>
    </row>
    <row r="25" spans="1:13" ht="38.25" customHeight="1" x14ac:dyDescent="0.25">
      <c r="A25" s="4">
        <f t="shared" si="0"/>
        <v>21</v>
      </c>
      <c r="B25" s="5">
        <v>46114.68550925926</v>
      </c>
      <c r="C25" s="4" t="s">
        <v>153</v>
      </c>
      <c r="D25" s="4"/>
      <c r="E25" s="4" t="s">
        <v>148</v>
      </c>
      <c r="F25" s="4" t="s">
        <v>149</v>
      </c>
      <c r="G25" s="4" t="s">
        <v>21</v>
      </c>
      <c r="H25" s="4" t="s">
        <v>150</v>
      </c>
      <c r="I25" s="6" t="s">
        <v>30</v>
      </c>
      <c r="J25" s="6" t="s">
        <v>31</v>
      </c>
      <c r="K25" s="7" t="s">
        <v>151</v>
      </c>
      <c r="L25" s="8" t="s">
        <v>152</v>
      </c>
      <c r="M25" s="4" t="s">
        <v>216</v>
      </c>
    </row>
    <row r="26" spans="1:13" ht="38.25" customHeight="1" x14ac:dyDescent="0.25">
      <c r="A26" s="4">
        <f t="shared" si="0"/>
        <v>22</v>
      </c>
      <c r="B26" s="5">
        <v>46115.668321759258</v>
      </c>
      <c r="C26" s="4" t="s">
        <v>154</v>
      </c>
      <c r="D26" s="4"/>
      <c r="E26" s="9" t="s">
        <v>155</v>
      </c>
      <c r="F26" s="4" t="s">
        <v>149</v>
      </c>
      <c r="G26" s="4" t="s">
        <v>156</v>
      </c>
      <c r="H26" s="4" t="s">
        <v>157</v>
      </c>
      <c r="I26" s="6" t="s">
        <v>30</v>
      </c>
      <c r="J26" s="6" t="s">
        <v>31</v>
      </c>
      <c r="K26" s="7" t="s">
        <v>158</v>
      </c>
      <c r="L26" s="8" t="s">
        <v>159</v>
      </c>
      <c r="M26" s="4" t="s">
        <v>224</v>
      </c>
    </row>
    <row r="27" spans="1:13" ht="38.25" customHeight="1" x14ac:dyDescent="0.25">
      <c r="A27" s="4">
        <f t="shared" si="0"/>
        <v>23</v>
      </c>
      <c r="B27" s="5">
        <v>46109.629780092589</v>
      </c>
      <c r="C27" s="4" t="s">
        <v>160</v>
      </c>
      <c r="D27" s="4"/>
      <c r="E27" s="4" t="s">
        <v>161</v>
      </c>
      <c r="F27" s="4" t="s">
        <v>162</v>
      </c>
      <c r="G27" s="4" t="s">
        <v>21</v>
      </c>
      <c r="H27" s="4" t="s">
        <v>163</v>
      </c>
      <c r="I27" s="6" t="s">
        <v>30</v>
      </c>
      <c r="J27" s="6" t="s">
        <v>61</v>
      </c>
      <c r="K27" s="7" t="s">
        <v>164</v>
      </c>
      <c r="L27" s="8" t="s">
        <v>165</v>
      </c>
      <c r="M27" s="4" t="s">
        <v>222</v>
      </c>
    </row>
    <row r="28" spans="1:13" ht="38.25" customHeight="1" x14ac:dyDescent="0.25">
      <c r="A28" s="4">
        <f t="shared" si="0"/>
        <v>24</v>
      </c>
      <c r="B28" s="5">
        <v>46114.541956018518</v>
      </c>
      <c r="C28" s="4" t="s">
        <v>166</v>
      </c>
      <c r="D28" s="4" t="s">
        <v>18</v>
      </c>
      <c r="E28" s="4" t="s">
        <v>167</v>
      </c>
      <c r="F28" s="4" t="s">
        <v>168</v>
      </c>
      <c r="G28" s="4" t="s">
        <v>21</v>
      </c>
      <c r="H28" s="4" t="s">
        <v>169</v>
      </c>
      <c r="I28" s="6" t="s">
        <v>170</v>
      </c>
      <c r="J28" s="6" t="s">
        <v>147</v>
      </c>
      <c r="K28" s="7" t="s">
        <v>171</v>
      </c>
      <c r="L28" s="8" t="s">
        <v>50</v>
      </c>
      <c r="M28" s="4" t="s">
        <v>216</v>
      </c>
    </row>
    <row r="29" spans="1:13" ht="38.25" customHeight="1" x14ac:dyDescent="0.25">
      <c r="A29" s="4">
        <f t="shared" si="0"/>
        <v>25</v>
      </c>
      <c r="B29" s="5">
        <v>46115.599004629628</v>
      </c>
      <c r="C29" s="4" t="s">
        <v>172</v>
      </c>
      <c r="D29" s="4"/>
      <c r="E29" s="4" t="s">
        <v>173</v>
      </c>
      <c r="F29" s="4" t="s">
        <v>174</v>
      </c>
      <c r="G29" s="4" t="s">
        <v>21</v>
      </c>
      <c r="H29" s="4" t="s">
        <v>175</v>
      </c>
      <c r="I29" s="6" t="s">
        <v>30</v>
      </c>
      <c r="J29" s="6" t="s">
        <v>176</v>
      </c>
      <c r="K29" s="7" t="s">
        <v>177</v>
      </c>
      <c r="L29" s="8" t="s">
        <v>178</v>
      </c>
      <c r="M29" s="4" t="s">
        <v>214</v>
      </c>
    </row>
    <row r="30" spans="1:13" ht="38.25" customHeight="1" x14ac:dyDescent="0.25">
      <c r="A30" s="4">
        <f t="shared" si="0"/>
        <v>26</v>
      </c>
      <c r="B30" s="5">
        <v>46115.600532407407</v>
      </c>
      <c r="C30" s="4" t="s">
        <v>179</v>
      </c>
      <c r="D30" s="4"/>
      <c r="E30" s="4" t="s">
        <v>180</v>
      </c>
      <c r="F30" s="4" t="s">
        <v>174</v>
      </c>
      <c r="G30" s="4" t="s">
        <v>21</v>
      </c>
      <c r="H30" s="4" t="s">
        <v>181</v>
      </c>
      <c r="I30" s="6" t="s">
        <v>176</v>
      </c>
      <c r="J30" s="6" t="s">
        <v>182</v>
      </c>
      <c r="K30" s="7" t="s">
        <v>177</v>
      </c>
      <c r="L30" s="8" t="s">
        <v>178</v>
      </c>
      <c r="M30" s="4" t="s">
        <v>214</v>
      </c>
    </row>
    <row r="31" spans="1:13" ht="38.25" customHeight="1" x14ac:dyDescent="0.25">
      <c r="A31" s="4">
        <f t="shared" si="0"/>
        <v>27</v>
      </c>
      <c r="B31" s="5">
        <v>46115.444062499999</v>
      </c>
      <c r="C31" s="4" t="s">
        <v>183</v>
      </c>
      <c r="D31" s="4"/>
      <c r="E31" s="4" t="s">
        <v>184</v>
      </c>
      <c r="F31" s="4" t="s">
        <v>185</v>
      </c>
      <c r="G31" s="4" t="s">
        <v>21</v>
      </c>
      <c r="H31" s="4" t="s">
        <v>186</v>
      </c>
      <c r="I31" s="6" t="s">
        <v>187</v>
      </c>
      <c r="J31" s="6" t="s">
        <v>188</v>
      </c>
      <c r="K31" s="7" t="s">
        <v>189</v>
      </c>
      <c r="L31" s="8" t="s">
        <v>190</v>
      </c>
      <c r="M31" s="4" t="s">
        <v>223</v>
      </c>
    </row>
    <row r="32" spans="1:13" ht="38.25" customHeight="1" x14ac:dyDescent="0.25">
      <c r="A32" s="4">
        <f t="shared" si="0"/>
        <v>28</v>
      </c>
      <c r="B32" s="5">
        <v>46115.459085648145</v>
      </c>
      <c r="C32" s="4" t="s">
        <v>191</v>
      </c>
      <c r="D32" s="4"/>
      <c r="E32" s="4" t="s">
        <v>192</v>
      </c>
      <c r="F32" s="4" t="s">
        <v>185</v>
      </c>
      <c r="G32" s="4" t="s">
        <v>21</v>
      </c>
      <c r="H32" s="4" t="s">
        <v>186</v>
      </c>
      <c r="I32" s="6" t="s">
        <v>30</v>
      </c>
      <c r="J32" s="6" t="s">
        <v>41</v>
      </c>
      <c r="K32" s="7" t="s">
        <v>189</v>
      </c>
      <c r="L32" s="8" t="s">
        <v>190</v>
      </c>
      <c r="M32" s="4" t="s">
        <v>215</v>
      </c>
    </row>
    <row r="33" spans="1:13" ht="38.25" customHeight="1" x14ac:dyDescent="0.25">
      <c r="A33" s="4">
        <f t="shared" si="0"/>
        <v>29</v>
      </c>
      <c r="B33" s="5">
        <v>46115.61451388889</v>
      </c>
      <c r="C33" s="4" t="s">
        <v>193</v>
      </c>
      <c r="D33" s="4"/>
      <c r="E33" s="4" t="s">
        <v>194</v>
      </c>
      <c r="F33" s="4" t="s">
        <v>195</v>
      </c>
      <c r="G33" s="4" t="s">
        <v>21</v>
      </c>
      <c r="H33" s="4" t="s">
        <v>196</v>
      </c>
      <c r="I33" s="6" t="s">
        <v>30</v>
      </c>
      <c r="J33" s="6" t="s">
        <v>197</v>
      </c>
      <c r="K33" s="7" t="s">
        <v>72</v>
      </c>
      <c r="L33" s="8" t="s">
        <v>66</v>
      </c>
      <c r="M33" s="4" t="s">
        <v>216</v>
      </c>
    </row>
    <row r="34" spans="1:13" ht="38.25" customHeight="1" x14ac:dyDescent="0.25">
      <c r="A34" s="4">
        <f t="shared" si="0"/>
        <v>30</v>
      </c>
      <c r="B34" s="5">
        <v>46115.508333333331</v>
      </c>
      <c r="C34" s="4" t="s">
        <v>198</v>
      </c>
      <c r="D34" s="4"/>
      <c r="E34" s="4" t="s">
        <v>199</v>
      </c>
      <c r="F34" s="4" t="s">
        <v>200</v>
      </c>
      <c r="G34" s="4" t="s">
        <v>21</v>
      </c>
      <c r="H34" s="4" t="s">
        <v>201</v>
      </c>
      <c r="I34" s="6" t="s">
        <v>30</v>
      </c>
      <c r="J34" s="6" t="s">
        <v>61</v>
      </c>
      <c r="K34" s="7" t="s">
        <v>202</v>
      </c>
      <c r="L34" s="8" t="s">
        <v>203</v>
      </c>
      <c r="M34" s="4" t="s">
        <v>214</v>
      </c>
    </row>
    <row r="35" spans="1:13" ht="38.25" customHeight="1" x14ac:dyDescent="0.25">
      <c r="A35" s="17">
        <f t="shared" si="0"/>
        <v>31</v>
      </c>
      <c r="B35" s="18">
        <v>46111.697233796294</v>
      </c>
      <c r="C35" s="17" t="s">
        <v>204</v>
      </c>
      <c r="D35" s="17" t="s">
        <v>18</v>
      </c>
      <c r="E35" s="17" t="s">
        <v>205</v>
      </c>
      <c r="F35" s="17" t="s">
        <v>206</v>
      </c>
      <c r="G35" s="17" t="s">
        <v>21</v>
      </c>
      <c r="H35" s="17" t="s">
        <v>207</v>
      </c>
      <c r="I35" s="19" t="s">
        <v>208</v>
      </c>
      <c r="J35" s="19" t="s">
        <v>209</v>
      </c>
      <c r="K35" s="20" t="s">
        <v>210</v>
      </c>
      <c r="L35" s="21" t="s">
        <v>211</v>
      </c>
      <c r="M35" s="17" t="s">
        <v>222</v>
      </c>
    </row>
    <row r="36" spans="1:13" ht="45" x14ac:dyDescent="0.25">
      <c r="A36" s="4">
        <f t="shared" si="0"/>
        <v>32</v>
      </c>
      <c r="B36" s="22"/>
      <c r="C36" s="22"/>
      <c r="D36" s="22"/>
      <c r="E36" s="23" t="s">
        <v>226</v>
      </c>
      <c r="F36" s="22"/>
      <c r="G36" s="22"/>
      <c r="H36" s="23" t="s">
        <v>231</v>
      </c>
      <c r="I36" s="23" t="s">
        <v>227</v>
      </c>
      <c r="J36" s="23" t="s">
        <v>228</v>
      </c>
      <c r="K36" s="23" t="s">
        <v>229</v>
      </c>
      <c r="L36" s="23" t="s">
        <v>230</v>
      </c>
      <c r="M36" s="24" t="s">
        <v>219</v>
      </c>
    </row>
    <row r="37" spans="1:13" ht="45" x14ac:dyDescent="0.25">
      <c r="A37" s="17">
        <f t="shared" si="0"/>
        <v>33</v>
      </c>
      <c r="B37" s="22"/>
      <c r="C37" s="22"/>
      <c r="D37" s="22"/>
      <c r="E37" s="23" t="s">
        <v>232</v>
      </c>
      <c r="F37" s="22"/>
      <c r="G37" s="22"/>
      <c r="H37" s="23" t="s">
        <v>231</v>
      </c>
      <c r="I37" s="23" t="s">
        <v>227</v>
      </c>
      <c r="J37" s="23" t="s">
        <v>228</v>
      </c>
      <c r="K37" s="23" t="s">
        <v>229</v>
      </c>
      <c r="L37" s="23" t="s">
        <v>230</v>
      </c>
      <c r="M37" s="24" t="s">
        <v>219</v>
      </c>
    </row>
    <row r="38" spans="1:13" ht="30" x14ac:dyDescent="0.25">
      <c r="A38" s="4">
        <f t="shared" si="0"/>
        <v>34</v>
      </c>
      <c r="B38" s="22"/>
      <c r="C38" s="22"/>
      <c r="D38" s="22"/>
      <c r="E38" s="23" t="s">
        <v>233</v>
      </c>
      <c r="F38" s="22"/>
      <c r="G38" s="22"/>
      <c r="H38" s="23" t="s">
        <v>235</v>
      </c>
      <c r="I38" s="23" t="s">
        <v>227</v>
      </c>
      <c r="J38" s="23" t="s">
        <v>234</v>
      </c>
      <c r="K38" s="23" t="s">
        <v>227</v>
      </c>
      <c r="L38" s="23" t="s">
        <v>230</v>
      </c>
      <c r="M38" s="25" t="s">
        <v>216</v>
      </c>
    </row>
    <row r="39" spans="1:13" ht="30" x14ac:dyDescent="0.25">
      <c r="A39" s="17">
        <f t="shared" si="0"/>
        <v>35</v>
      </c>
      <c r="B39" s="22"/>
      <c r="C39" s="22"/>
      <c r="D39" s="22"/>
      <c r="E39" s="23" t="s">
        <v>236</v>
      </c>
      <c r="F39" s="22"/>
      <c r="G39" s="22"/>
      <c r="H39" s="23" t="s">
        <v>237</v>
      </c>
      <c r="I39" s="23" t="s">
        <v>227</v>
      </c>
      <c r="J39" s="23" t="s">
        <v>228</v>
      </c>
      <c r="K39" s="23" t="s">
        <v>227</v>
      </c>
      <c r="L39" s="23" t="s">
        <v>230</v>
      </c>
      <c r="M39" s="25" t="s">
        <v>214</v>
      </c>
    </row>
    <row r="40" spans="1:13" ht="45" x14ac:dyDescent="0.25">
      <c r="A40" s="4">
        <f t="shared" si="0"/>
        <v>36</v>
      </c>
      <c r="B40" s="22"/>
      <c r="C40" s="22"/>
      <c r="D40" s="22"/>
      <c r="E40" s="23" t="s">
        <v>238</v>
      </c>
      <c r="F40" s="22"/>
      <c r="G40" s="22"/>
      <c r="H40" s="23" t="s">
        <v>241</v>
      </c>
      <c r="I40" s="23" t="s">
        <v>227</v>
      </c>
      <c r="J40" s="23" t="s">
        <v>239</v>
      </c>
      <c r="K40" s="23" t="s">
        <v>227</v>
      </c>
      <c r="L40" s="23" t="s">
        <v>240</v>
      </c>
      <c r="M40" s="25" t="s">
        <v>242</v>
      </c>
    </row>
    <row r="41" spans="1:13" ht="30" x14ac:dyDescent="0.25">
      <c r="A41" s="17">
        <f t="shared" si="0"/>
        <v>37</v>
      </c>
      <c r="B41" s="22"/>
      <c r="C41" s="22"/>
      <c r="D41" s="22"/>
      <c r="E41" s="23" t="s">
        <v>243</v>
      </c>
      <c r="F41" s="22"/>
      <c r="G41" s="22"/>
      <c r="H41" s="23" t="s">
        <v>246</v>
      </c>
      <c r="I41" s="23" t="s">
        <v>227</v>
      </c>
      <c r="J41" s="23" t="s">
        <v>244</v>
      </c>
      <c r="K41" s="23" t="s">
        <v>227</v>
      </c>
      <c r="L41" s="23" t="s">
        <v>245</v>
      </c>
      <c r="M41" s="25" t="s">
        <v>219</v>
      </c>
    </row>
    <row r="42" spans="1:13" x14ac:dyDescent="0.25">
      <c r="A42" s="4">
        <f t="shared" si="0"/>
        <v>38</v>
      </c>
      <c r="B42" s="22"/>
      <c r="C42" s="22"/>
      <c r="D42" s="22"/>
      <c r="E42" s="23" t="s">
        <v>247</v>
      </c>
      <c r="F42" s="22"/>
      <c r="G42" s="22"/>
      <c r="H42" s="23" t="s">
        <v>248</v>
      </c>
      <c r="I42" s="23" t="s">
        <v>227</v>
      </c>
      <c r="J42" s="23" t="s">
        <v>228</v>
      </c>
      <c r="K42" s="23" t="s">
        <v>227</v>
      </c>
      <c r="L42" s="23" t="s">
        <v>230</v>
      </c>
      <c r="M42" s="25" t="s">
        <v>249</v>
      </c>
    </row>
    <row r="43" spans="1:13" x14ac:dyDescent="0.25">
      <c r="A43" s="17">
        <f t="shared" si="0"/>
        <v>39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6" t="s">
        <v>250</v>
      </c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2026-04-03T15:30:13Z</dcterms:created>
  <dcterms:modified xsi:type="dcterms:W3CDTF">2026-04-03T16:18:04Z</dcterms:modified>
</cp:coreProperties>
</file>
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Sheet0!$A$1:$M$30</definedName>
  </definedNames>
  <calcPr calcId="162913"/>
</workbook>
</file>

<file path=xl/calcChain.xml><?xml version="1.0" encoding="utf-8"?>
<calcChain xmlns="http://schemas.openxmlformats.org/spreadsheetml/2006/main">
  <c r="A31" i="1" l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7" i="1" l="1"/>
  <c r="A8" i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6" i="1"/>
</calcChain>
</file>

<file path=xl/sharedStrings.xml><?xml version="1.0" encoding="utf-8"?>
<sst xmlns="http://schemas.openxmlformats.org/spreadsheetml/2006/main" count="377" uniqueCount="227">
  <si>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</si>
  <si>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</si>
  <si>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</si>
  <si>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</si>
  <si>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</si>
  <si>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</si>
  <si>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</si>
  <si>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</si>
  <si>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</si>
  <si>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</si>
  <si>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</si>
  <si>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</si>
  <si>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</si>
  <si>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</si>
  <si>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</si>
  <si>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</si>
  <si>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</si>
  <si>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132KV_63 MVA BBL Xmer</t>
  </si>
  <si>
    <t>132KV_AMARPATAN</t>
  </si>
  <si>
    <t>NON-OCCM-MP</t>
  </si>
  <si>
    <t>33 kv main bus fly over jumper removing</t>
  </si>
  <si>
    <t>11-06-2026 08:00:00</t>
  </si>
  <si>
    <t>11-06-2026 10:00:00</t>
  </si>
  <si>
    <t>Arun kumar</t>
  </si>
  <si>
    <t>9131207339</t>
  </si>
  <si>
    <t>MR2606/0224</t>
  </si>
  <si>
    <t>132KV_33 KV Main bus</t>
  </si>
  <si>
    <t>33 KV main bus fly over jumper connecting purpose</t>
  </si>
  <si>
    <t>11-06-2026 16:00:00</t>
  </si>
  <si>
    <t>11-06-2026 18:00:00</t>
  </si>
  <si>
    <t>replacement of high span jumper</t>
  </si>
  <si>
    <t>MR2606/0218</t>
  </si>
  <si>
    <t>MR2606/0222</t>
  </si>
  <si>
    <t>MR2605/0368</t>
  </si>
  <si>
    <t>Daily</t>
  </si>
  <si>
    <t>220KV_220 kV Anuppur-Kotmikala Circuit II</t>
  </si>
  <si>
    <t>220KV_ANUPPUR</t>
  </si>
  <si>
    <t>For Conductor re-sagging work maintained</t>
  </si>
  <si>
    <t>09-06-2026 08:00:00</t>
  </si>
  <si>
    <t>23-06-2026 18:00:00</t>
  </si>
  <si>
    <t>Jagdish Prasad Asati</t>
  </si>
  <si>
    <t>9424445533</t>
  </si>
  <si>
    <t>MR2605/0301</t>
  </si>
  <si>
    <t>Continuous</t>
  </si>
  <si>
    <t>400KV_Bus-Bar</t>
  </si>
  <si>
    <t>400KV_BHOPAL4</t>
  </si>
  <si>
    <t>For Commissioning of New 400kV Bus-Bar Panel</t>
  </si>
  <si>
    <t>13-05-2026 10:00:00</t>
  </si>
  <si>
    <t>30-06-2026 18:00:00</t>
  </si>
  <si>
    <t>RK Gayaki</t>
  </si>
  <si>
    <t>9407528876</t>
  </si>
  <si>
    <t>MR2606/0225</t>
  </si>
  <si>
    <t>220KV_220KV DAMOH - TIKAMGARH MPPTCL CKT.</t>
  </si>
  <si>
    <t>220KV_DAMOH</t>
  </si>
  <si>
    <t>FOR LINE MAINTENANCE WORK</t>
  </si>
  <si>
    <t>11-06-2026 17:00:00</t>
  </si>
  <si>
    <t>M.M. BAIG</t>
  </si>
  <si>
    <t>9425805067</t>
  </si>
  <si>
    <t>MR2606/0072</t>
  </si>
  <si>
    <t>400KV_400 KV ISP-NAGDA</t>
  </si>
  <si>
    <t>400KV_INDIRASAGAR</t>
  </si>
  <si>
    <t>NON-OCCM-WR</t>
  </si>
  <si>
    <t>ANNUAL MAINTENANCE</t>
  </si>
  <si>
    <t>11-06-2026 07:00:00</t>
  </si>
  <si>
    <t>SANJAY PATEL</t>
  </si>
  <si>
    <t>9575074321</t>
  </si>
  <si>
    <t>MR2605/0727</t>
  </si>
  <si>
    <t>400KV_U#05</t>
  </si>
  <si>
    <t>01-06-2026 06:00:00</t>
  </si>
  <si>
    <t>15-06-2026 18:00:00</t>
  </si>
  <si>
    <t>MR2606/0128</t>
  </si>
  <si>
    <t>220KV_Indore - Indore North Zone Ckt-1 Line.</t>
  </si>
  <si>
    <t>220KV_INDORE-NZ</t>
  </si>
  <si>
    <t>OCCM-MP</t>
  </si>
  <si>
    <t>Difective Disc Insulators</t>
  </si>
  <si>
    <t>12-06-2026 18:00:00</t>
  </si>
  <si>
    <t>RAVINDRA PATIL</t>
  </si>
  <si>
    <t>8305612190</t>
  </si>
  <si>
    <t>MR2606/0227</t>
  </si>
  <si>
    <t>132KV_132/33KV 50MVA Transformer</t>
  </si>
  <si>
    <t>220KV_ITARSI</t>
  </si>
  <si>
    <t>Pre Monsoon Maintanence &amp; Testing work</t>
  </si>
  <si>
    <t>11-06-2026 15:00:00</t>
  </si>
  <si>
    <t>J.D.Khoria</t>
  </si>
  <si>
    <t>9425804975</t>
  </si>
  <si>
    <t>220KV_JABALPUR</t>
  </si>
  <si>
    <t>20-06-2026 17:00:00</t>
  </si>
  <si>
    <t>Rajesh Tiwari</t>
  </si>
  <si>
    <t>7898239595</t>
  </si>
  <si>
    <t>MR2605/0706</t>
  </si>
  <si>
    <t>220KV_220kv Jabalpur-Narsinghpur CKT-II</t>
  </si>
  <si>
    <t>Stringing of 132KV Sahpura-JBP line</t>
  </si>
  <si>
    <t>01-06-2026 09:00:00</t>
  </si>
  <si>
    <t>MR2606/0213</t>
  </si>
  <si>
    <t>132KV_132 KV KATNI - KAYMORE LINE CKT - 2ND</t>
  </si>
  <si>
    <t>400KV_KATNI4</t>
  </si>
  <si>
    <t>Re-sagging  of  Conductor and  other line maintena</t>
  </si>
  <si>
    <t>11-06-2026 09:00:00</t>
  </si>
  <si>
    <t>MANOJ KUMAR TIWARI</t>
  </si>
  <si>
    <t>9425804993</t>
  </si>
  <si>
    <t>MR2606/0129</t>
  </si>
  <si>
    <t>400KV_400kV Kirnapur Bhilai Line</t>
  </si>
  <si>
    <t>400KV_KIRNAPUR</t>
  </si>
  <si>
    <t>Suspension Calmp Tightening &amp; Other Maint. Work</t>
  </si>
  <si>
    <t>08-06-2026 09:00:00</t>
  </si>
  <si>
    <t>S.K. BHALADHARE</t>
  </si>
  <si>
    <t>9425807264</t>
  </si>
  <si>
    <t>MR2606/0228</t>
  </si>
  <si>
    <t>220KV_220 kv Satna (PGCIL)  â¿¿  Kotar  line</t>
  </si>
  <si>
    <t>220KV_KOTAR</t>
  </si>
  <si>
    <t>For line maintenance work</t>
  </si>
  <si>
    <t>11-06-2026 19:00:00</t>
  </si>
  <si>
    <t>Mr.R.K.Prajapati</t>
  </si>
  <si>
    <t>9407070182</t>
  </si>
  <si>
    <t>MR2606/0226</t>
  </si>
  <si>
    <t>220KV_220kV Malanpur - PGCIL ckt-2</t>
  </si>
  <si>
    <t>220KV_MALANPUR</t>
  </si>
  <si>
    <t>Line Mintenance work</t>
  </si>
  <si>
    <t>Pankaj Kumar</t>
  </si>
  <si>
    <t>9425805317</t>
  </si>
  <si>
    <t>MR2606/0215</t>
  </si>
  <si>
    <t>220KV_220KV Mehgaon Auraiya line</t>
  </si>
  <si>
    <t>220KV_MEHGAON</t>
  </si>
  <si>
    <t>Old Insulator replacement work &amp; other maintenanac</t>
  </si>
  <si>
    <t>Baidyanath Kumar</t>
  </si>
  <si>
    <t>6265588473</t>
  </si>
  <si>
    <t>MR2606/0187</t>
  </si>
  <si>
    <t>160MVA_220/132KV_CGL_X'mer_2</t>
  </si>
  <si>
    <t>220KV_NEEMUCH</t>
  </si>
  <si>
    <t>OCCM-WR</t>
  </si>
  <si>
    <t>220KV C&amp;R Panel replacement work</t>
  </si>
  <si>
    <t>10-06-2026 09:00:00</t>
  </si>
  <si>
    <t>S.H. Mansuri</t>
  </si>
  <si>
    <t>7587951068</t>
  </si>
  <si>
    <t>MR2606/0002</t>
  </si>
  <si>
    <t>220KV_220 KV-GENERATING UNIT # 5</t>
  </si>
  <si>
    <t>220KV_OMKARESHWAR</t>
  </si>
  <si>
    <t>Annual maintenance f Generating Unit # 5</t>
  </si>
  <si>
    <t>01-06-2026 10:00:00</t>
  </si>
  <si>
    <t>Pankaj Sharma</t>
  </si>
  <si>
    <t>7389491599</t>
  </si>
  <si>
    <t>MR2606/0231</t>
  </si>
  <si>
    <t>220KV_220KV Pithampur Sector-1</t>
  </si>
  <si>
    <t>400KV_PITHAMPUR4</t>
  </si>
  <si>
    <t>For pre monsoon maint and testing work</t>
  </si>
  <si>
    <t>Rajudas bairagi</t>
  </si>
  <si>
    <t>9425801532</t>
  </si>
  <si>
    <t>MR2606/0223</t>
  </si>
  <si>
    <t>132KV_132 KV Rewa- Rewa II (Sagra) DCDS line</t>
  </si>
  <si>
    <t>220KV_REWA</t>
  </si>
  <si>
    <t>disc insulator replacement &amp; other line maintenanc</t>
  </si>
  <si>
    <t>Mr. Ajay Kumar Chaurasia</t>
  </si>
  <si>
    <t>9425805081</t>
  </si>
  <si>
    <t>MR2606/0230</t>
  </si>
  <si>
    <t>220KV_50MVA  bbl xmer</t>
  </si>
  <si>
    <t>400KV_SAGAR</t>
  </si>
  <si>
    <t>NIFPS valve change  work</t>
  </si>
  <si>
    <t>11-06-2026 12:00:00</t>
  </si>
  <si>
    <t>Srajan Sisodiya</t>
  </si>
  <si>
    <t>7879960164</t>
  </si>
  <si>
    <t>MR2606/0141</t>
  </si>
  <si>
    <t>132KV_132 kv Satna  â¿¿  Satna IC â¿¿II  line</t>
  </si>
  <si>
    <t>220KV_SATNA</t>
  </si>
  <si>
    <t>Mr. R.K.Prajapati</t>
  </si>
  <si>
    <t>07-06-2026 05:00:00</t>
  </si>
  <si>
    <t>12-06-2026 14:00:00</t>
  </si>
  <si>
    <t>MR2606/0233</t>
  </si>
  <si>
    <t>132KV_132 kV Shahpura- Shrinagar DP line</t>
  </si>
  <si>
    <t>132KV_SHAHPURA</t>
  </si>
  <si>
    <t>F/o Disc change at loc. No. 152 R Ph, 161 R Ph</t>
  </si>
  <si>
    <t>11-06-2026 11:00:00</t>
  </si>
  <si>
    <t>Jitendra Tiwari</t>
  </si>
  <si>
    <t>9425805298</t>
  </si>
  <si>
    <t>MR2606/0229</t>
  </si>
  <si>
    <t>220KV_220kV Sidhi - Rewa Ckt</t>
  </si>
  <si>
    <t>220KV_SIDHI</t>
  </si>
  <si>
    <t>Disc F/o Change at loc. No - 18 R ph</t>
  </si>
  <si>
    <t>G.L Sahu</t>
  </si>
  <si>
    <t>9425805102</t>
  </si>
  <si>
    <t>MR2605/0472</t>
  </si>
  <si>
    <t>132KV_220kv _Unit No 1</t>
  </si>
  <si>
    <t>220KV_TONS</t>
  </si>
  <si>
    <t>Replacement of hydraulic power pack with new one</t>
  </si>
  <si>
    <t>01-06-2026 00:00:00</t>
  </si>
  <si>
    <t>05-07-2026 00:00:00</t>
  </si>
  <si>
    <t>Mr CL KIRADE</t>
  </si>
  <si>
    <t>9301373521</t>
  </si>
  <si>
    <t>MR2606/0216</t>
  </si>
  <si>
    <t>220KV_220 KV UJJAIN NAGDA LINE CKT I ST</t>
  </si>
  <si>
    <t>400KV_UJJAIN4</t>
  </si>
  <si>
    <t>RE- SAGGING WORK</t>
  </si>
  <si>
    <t>KUMAR SACHINDRA SHARMA</t>
  </si>
  <si>
    <t>9425805295</t>
  </si>
  <si>
    <t>deferred</t>
  </si>
  <si>
    <t>ok</t>
  </si>
  <si>
    <t>as per system availability</t>
  </si>
  <si>
    <t>ok, through sub ld</t>
  </si>
  <si>
    <t>sub ld</t>
  </si>
  <si>
    <t>real time</t>
  </si>
  <si>
    <t>ok, for x-mers</t>
  </si>
  <si>
    <t>220KV-GWALIOR-GWALIOR-II-1</t>
  </si>
  <si>
    <t>400KV-KIRNAPUR-BHILAI-1</t>
  </si>
  <si>
    <t>400KV-BHOPAL-MP-ITARSI-2</t>
  </si>
  <si>
    <t>400KV-CHHEGAON-RAJGARH-1</t>
  </si>
  <si>
    <t>220KV-MEHGAON-AURIYA-1</t>
  </si>
  <si>
    <t>220KV-GWALIOR-MALANPUR-2</t>
  </si>
  <si>
    <t>220KV-INDORE-UJJAIN-1</t>
  </si>
  <si>
    <t>220KV-SHUJALPUR-SHUJALPUR-MP-2</t>
  </si>
  <si>
    <t>220KV-INDORE-INDORE NORTH ZONE-1</t>
  </si>
  <si>
    <t>132KV-VSTPS-WAIDHAN-1</t>
  </si>
  <si>
    <t>220KV-SATNA-KOTAR-1</t>
  </si>
  <si>
    <t>POWERGRID_WR2</t>
  </si>
  <si>
    <t>MP_SLDC</t>
  </si>
  <si>
    <t>AMP Work</t>
  </si>
  <si>
    <t xml:space="preserve">FOR INSTALLATION OF VIBRATION DAMPER (VD) AT VARIOUS LOCATION  </t>
  </si>
  <si>
    <t>FOR LINE MAINTENANCE WORK i.e. CLEANING OF DISC INSULATORS DURING LINE PATROLLING , REPLACEMENT OF FLASHOVERED DISC INSULATORS, TREE BRANCH CUTTING ETC AT VARIOUS TOWER LOCATIONS</t>
  </si>
  <si>
    <t xml:space="preserve">FOR REPLACEMENT OF SINGLE FITTING HARDWARE INTO DOUBLE FITTING HARDWARE AT VARIOUS ROAD CROSSING LOCATIONS </t>
  </si>
  <si>
    <t>FOR LINE MAINTENANCE WORK I.E. CLEANING OF DISC INSULATORS DURING LINE PATROLLING, REPLACEMENT OF FLASHOVERED DISC INSULATORS, TREE BRANCH CUTTING ETC AT VARIOUS TOWER LOCATIONS</t>
  </si>
  <si>
    <t>FOR BAY MAINTENANCE &amp; TESTING WORK AT SUBSTASTION, REPLACEMENT OF DAMAGED CLAMPS/JUMPERS ETC.</t>
  </si>
  <si>
    <t>SHUTDOWN REQUIRED FOR REPLACEMENT OF DIFECTIVE DISC INSULATORS IN INDUSTIRAL AREA</t>
  </si>
  <si>
    <t>11-Jun-2026</t>
  </si>
  <si>
    <t>09:00</t>
  </si>
  <si>
    <t>18:00</t>
  </si>
  <si>
    <t>17:00</t>
  </si>
  <si>
    <t>08:00</t>
  </si>
  <si>
    <t>06:00</t>
  </si>
  <si>
    <t>19:00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</si>
</sst>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409]dd\-mm\-yyyy"/>
    <numFmt numFmtId="165" formatCode="[$-1010409]dd/mm/yyyy\ hh:mm"/>
  </numFmts>
  <fonts count="8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sz val="11"/>
      <name val="Calibri"/>
      <family val="2"/>
      <scheme val="minor"/>
    </font>
    <font>
      <b/>
      <sz val="12"/>
      <name val="Calibri"/>
      <family val="2"/>
      <scheme val="minor"/>
    </font>
    <font>
      <b/>
      <sz val="12"/>
      <color indexed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0" fontId="3" fillId="0" borderId="3" xfId="0" applyFont="1" applyBorder="1" applyAlignment="1">
      <alignment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165" fontId="4" fillId="0" borderId="1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164" fontId="4" fillId="0" borderId="6" xfId="0" applyNumberFormat="1" applyFont="1" applyBorder="1" applyAlignment="1">
      <alignment horizontal="center" vertical="center" wrapText="1"/>
    </xf>
    <xf numFmtId="165" fontId="4" fillId="0" borderId="6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 wrapText="1"/>
    </xf>
    <xf numFmtId="165" fontId="4" fillId="0" borderId="5" xfId="0" applyNumberFormat="1" applyFont="1" applyBorder="1" applyAlignment="1">
      <alignment horizontal="center" vertical="center" wrapText="1"/>
    </xf>
    <xf numFmtId="0" fontId="0" fillId="0" borderId="5" xfId="0" applyBorder="1" applyAlignment="1">
      <alignment wrapText="1"/>
    </xf>
    <xf numFmtId="0" fontId="5" fillId="3" borderId="5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7" fillId="0" borderId="5" xfId="0" applyFont="1" applyBorder="1" applyAlignment="1">
      <alignment wrapText="1"/>
    </xf>
    <xf numFmtId="0" fontId="7" fillId="0" borderId="0" xfId="0" applyFont="1" applyAlignment="1">
      <alignment wrapText="1"/>
    </xf>
    <xf numFmtId="0" fontId="7" fillId="3" borderId="5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281483</xdr:colOff>
      <xdr:row>0</xdr:row>
      <xdr:rowOff>555785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42"/>
  <sheetViews>
    <sheetView tabSelected="1" workbookViewId="0">
      <selection activeCell="H4" sqref="H4"/>
    </sheetView>
  </sheetViews>
  <sheetFormatPr defaultRowHeight="67.5" customHeight="1" x14ac:dyDescent="0.25"/>
  <cols>
    <col min="1" max="1" width="4.85546875" style="5" customWidth="1"/>
    <col min="2" max="2" width="10.42578125" style="5" customWidth="1"/>
    <col min="3" max="3" width="7.28515625" style="5" customWidth="1"/>
    <col min="4" max="4" width="6.5703125" style="5" customWidth="1"/>
    <col min="5" max="5" width="49.5703125" style="30" customWidth="1"/>
    <col min="6" max="6" width="29.85546875" style="30" customWidth="1"/>
    <col min="7" max="7" width="9.140625" style="5" customWidth="1"/>
    <col min="8" max="8" width="51.42578125" style="30" customWidth="1"/>
    <col min="9" max="9" width="10.85546875" style="5" customWidth="1"/>
    <col min="10" max="10" width="10.140625" style="5" customWidth="1"/>
    <col min="11" max="11" width="9.28515625" style="5" customWidth="1"/>
    <col min="12" max="12" width="5.7109375" style="5" customWidth="1"/>
    <col min="13" max="13" width="32.85546875" style="30" customWidth="1"/>
    <col min="14" max="16384" width="9.140625" style="5"/>
  </cols>
  <sheetData>
    <row r="1" spans="1:13" ht="67.5" customHeight="1" x14ac:dyDescent="0.25">
      <c r="A1" s="2"/>
      <c r="B1" s="6" t="s">
        <v>0</v>
      </c>
      <c r="C1" s="7"/>
      <c r="D1" s="7"/>
      <c r="E1" s="7"/>
      <c r="F1" s="7"/>
      <c r="G1" s="7"/>
      <c r="H1" s="7"/>
      <c r="I1" s="7"/>
      <c r="J1" s="7"/>
      <c r="K1" s="7"/>
      <c r="L1" s="7"/>
      <c r="M1" s="8"/>
    </row>
    <row r="2" spans="1:13" ht="67.5" customHeight="1" x14ac:dyDescent="0.25">
      <c r="A2" s="2" t="s">
        <v>1</v>
      </c>
      <c r="B2" s="9">
        <v>46184</v>
      </c>
      <c r="C2" s="2"/>
      <c r="D2" s="2"/>
      <c r="E2" s="1"/>
      <c r="F2" s="1"/>
      <c r="G2" s="2"/>
      <c r="H2" s="1"/>
      <c r="I2" s="2"/>
      <c r="J2" s="2"/>
      <c r="K2" s="2"/>
      <c r="L2" s="2"/>
      <c r="M2" s="1"/>
    </row>
    <row r="3" spans="1:13" ht="67.5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1"/>
      <c r="F3" s="1"/>
      <c r="G3" s="2"/>
      <c r="H3" s="1"/>
      <c r="I3" s="2"/>
      <c r="J3" s="2"/>
      <c r="K3" s="2"/>
      <c r="L3" s="2"/>
      <c r="M3" s="1"/>
    </row>
    <row r="4" spans="1:13" ht="67.5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25" t="s">
        <v>9</v>
      </c>
      <c r="F4" s="25" t="s">
        <v>10</v>
      </c>
      <c r="G4" s="3" t="s">
        <v>11</v>
      </c>
      <c r="H4" s="25" t="s">
        <v>12</v>
      </c>
      <c r="I4" s="3" t="s">
        <v>13</v>
      </c>
      <c r="J4" s="3" t="s">
        <v>14</v>
      </c>
      <c r="K4" s="10" t="s">
        <v>15</v>
      </c>
      <c r="L4" s="8"/>
      <c r="M4" s="25" t="s">
        <v>16</v>
      </c>
    </row>
    <row r="5" spans="1:13" ht="67.5" customHeight="1" x14ac:dyDescent="0.25">
      <c r="A5" s="4">
        <v>1</v>
      </c>
      <c r="B5" s="11">
        <v>46183.601898148147</v>
      </c>
      <c r="C5" s="4" t="s">
        <v>25</v>
      </c>
      <c r="D5" s="4"/>
      <c r="E5" s="25" t="s">
        <v>26</v>
      </c>
      <c r="F5" s="25" t="s">
        <v>18</v>
      </c>
      <c r="G5" s="4" t="s">
        <v>19</v>
      </c>
      <c r="H5" s="25" t="s">
        <v>27</v>
      </c>
      <c r="I5" s="12" t="s">
        <v>28</v>
      </c>
      <c r="J5" s="12" t="s">
        <v>29</v>
      </c>
      <c r="K5" s="13" t="s">
        <v>23</v>
      </c>
      <c r="L5" s="14" t="s">
        <v>24</v>
      </c>
      <c r="M5" s="25" t="s">
        <v>199</v>
      </c>
    </row>
    <row r="6" spans="1:13" ht="67.5" customHeight="1" x14ac:dyDescent="0.25">
      <c r="A6" s="4">
        <f>A5+1</f>
        <v>2</v>
      </c>
      <c r="B6" s="11">
        <v>46183.594641203701</v>
      </c>
      <c r="C6" s="4" t="s">
        <v>31</v>
      </c>
      <c r="D6" s="4"/>
      <c r="E6" s="25" t="s">
        <v>17</v>
      </c>
      <c r="F6" s="25" t="s">
        <v>18</v>
      </c>
      <c r="G6" s="4" t="s">
        <v>19</v>
      </c>
      <c r="H6" s="25" t="s">
        <v>30</v>
      </c>
      <c r="I6" s="12" t="s">
        <v>22</v>
      </c>
      <c r="J6" s="12" t="s">
        <v>29</v>
      </c>
      <c r="K6" s="13" t="s">
        <v>23</v>
      </c>
      <c r="L6" s="14" t="s">
        <v>24</v>
      </c>
      <c r="M6" s="25" t="s">
        <v>194</v>
      </c>
    </row>
    <row r="7" spans="1:13" ht="67.5" customHeight="1" x14ac:dyDescent="0.25">
      <c r="A7" s="4">
        <f t="shared" ref="A7:A42" si="0">A6+1</f>
        <v>3</v>
      </c>
      <c r="B7" s="11">
        <v>46183.598726851851</v>
      </c>
      <c r="C7" s="4" t="s">
        <v>32</v>
      </c>
      <c r="D7" s="4"/>
      <c r="E7" s="25" t="s">
        <v>17</v>
      </c>
      <c r="F7" s="25" t="s">
        <v>18</v>
      </c>
      <c r="G7" s="4" t="s">
        <v>19</v>
      </c>
      <c r="H7" s="25" t="s">
        <v>20</v>
      </c>
      <c r="I7" s="12" t="s">
        <v>21</v>
      </c>
      <c r="J7" s="12" t="s">
        <v>22</v>
      </c>
      <c r="K7" s="13" t="s">
        <v>23</v>
      </c>
      <c r="L7" s="14" t="s">
        <v>24</v>
      </c>
      <c r="M7" s="25" t="s">
        <v>194</v>
      </c>
    </row>
    <row r="8" spans="1:13" ht="67.5" customHeight="1" x14ac:dyDescent="0.25">
      <c r="A8" s="4">
        <f t="shared" si="0"/>
        <v>4</v>
      </c>
      <c r="B8" s="11">
        <v>46156.70208333333</v>
      </c>
      <c r="C8" s="4" t="s">
        <v>33</v>
      </c>
      <c r="D8" s="4" t="s">
        <v>34</v>
      </c>
      <c r="E8" s="25" t="s">
        <v>35</v>
      </c>
      <c r="F8" s="25" t="s">
        <v>36</v>
      </c>
      <c r="G8" s="4" t="s">
        <v>19</v>
      </c>
      <c r="H8" s="25" t="s">
        <v>37</v>
      </c>
      <c r="I8" s="12" t="s">
        <v>38</v>
      </c>
      <c r="J8" s="12" t="s">
        <v>39</v>
      </c>
      <c r="K8" s="13" t="s">
        <v>40</v>
      </c>
      <c r="L8" s="14" t="s">
        <v>41</v>
      </c>
      <c r="M8" s="25" t="s">
        <v>193</v>
      </c>
    </row>
    <row r="9" spans="1:13" ht="67.5" customHeight="1" x14ac:dyDescent="0.25">
      <c r="A9" s="4">
        <f t="shared" si="0"/>
        <v>5</v>
      </c>
      <c r="B9" s="11">
        <v>46154.485196759262</v>
      </c>
      <c r="C9" s="4" t="s">
        <v>42</v>
      </c>
      <c r="D9" s="4" t="s">
        <v>43</v>
      </c>
      <c r="E9" s="25" t="s">
        <v>44</v>
      </c>
      <c r="F9" s="25" t="s">
        <v>45</v>
      </c>
      <c r="G9" s="4" t="s">
        <v>19</v>
      </c>
      <c r="H9" s="25" t="s">
        <v>46</v>
      </c>
      <c r="I9" s="12" t="s">
        <v>47</v>
      </c>
      <c r="J9" s="12" t="s">
        <v>48</v>
      </c>
      <c r="K9" s="13" t="s">
        <v>49</v>
      </c>
      <c r="L9" s="14" t="s">
        <v>50</v>
      </c>
      <c r="M9" s="25" t="s">
        <v>193</v>
      </c>
    </row>
    <row r="10" spans="1:13" ht="67.5" customHeight="1" x14ac:dyDescent="0.25">
      <c r="A10" s="4">
        <f t="shared" si="0"/>
        <v>6</v>
      </c>
      <c r="B10" s="11">
        <v>46183.608634259261</v>
      </c>
      <c r="C10" s="4" t="s">
        <v>51</v>
      </c>
      <c r="D10" s="4"/>
      <c r="E10" s="25" t="s">
        <v>52</v>
      </c>
      <c r="F10" s="25" t="s">
        <v>53</v>
      </c>
      <c r="G10" s="4" t="s">
        <v>19</v>
      </c>
      <c r="H10" s="25" t="s">
        <v>54</v>
      </c>
      <c r="I10" s="12" t="s">
        <v>22</v>
      </c>
      <c r="J10" s="12" t="s">
        <v>55</v>
      </c>
      <c r="K10" s="13" t="s">
        <v>56</v>
      </c>
      <c r="L10" s="14" t="s">
        <v>57</v>
      </c>
      <c r="M10" s="25" t="s">
        <v>194</v>
      </c>
    </row>
    <row r="11" spans="1:13" ht="67.5" customHeight="1" x14ac:dyDescent="0.25">
      <c r="A11" s="4">
        <f t="shared" si="0"/>
        <v>7</v>
      </c>
      <c r="B11" s="11">
        <v>46177.49627314815</v>
      </c>
      <c r="C11" s="4" t="s">
        <v>58</v>
      </c>
      <c r="D11" s="4"/>
      <c r="E11" s="25" t="s">
        <v>59</v>
      </c>
      <c r="F11" s="25" t="s">
        <v>60</v>
      </c>
      <c r="G11" s="4" t="s">
        <v>61</v>
      </c>
      <c r="H11" s="25" t="s">
        <v>62</v>
      </c>
      <c r="I11" s="12" t="s">
        <v>63</v>
      </c>
      <c r="J11" s="12" t="s">
        <v>55</v>
      </c>
      <c r="K11" s="13" t="s">
        <v>64</v>
      </c>
      <c r="L11" s="14" t="s">
        <v>65</v>
      </c>
      <c r="M11" s="25" t="s">
        <v>194</v>
      </c>
    </row>
    <row r="12" spans="1:13" ht="67.5" customHeight="1" x14ac:dyDescent="0.25">
      <c r="A12" s="4">
        <f t="shared" si="0"/>
        <v>8</v>
      </c>
      <c r="B12" s="11">
        <v>46172.729803240742</v>
      </c>
      <c r="C12" s="4" t="s">
        <v>66</v>
      </c>
      <c r="D12" s="4" t="s">
        <v>43</v>
      </c>
      <c r="E12" s="25" t="s">
        <v>67</v>
      </c>
      <c r="F12" s="25" t="s">
        <v>60</v>
      </c>
      <c r="G12" s="4" t="s">
        <v>61</v>
      </c>
      <c r="H12" s="25" t="s">
        <v>62</v>
      </c>
      <c r="I12" s="12" t="s">
        <v>68</v>
      </c>
      <c r="J12" s="12" t="s">
        <v>69</v>
      </c>
      <c r="K12" s="13" t="s">
        <v>64</v>
      </c>
      <c r="L12" s="14" t="s">
        <v>65</v>
      </c>
      <c r="M12" s="25" t="s">
        <v>195</v>
      </c>
    </row>
    <row r="13" spans="1:13" ht="67.5" customHeight="1" x14ac:dyDescent="0.25">
      <c r="A13" s="4">
        <f t="shared" si="0"/>
        <v>9</v>
      </c>
      <c r="B13" s="11">
        <v>46179.581006944441</v>
      </c>
      <c r="C13" s="4" t="s">
        <v>70</v>
      </c>
      <c r="D13" s="4" t="s">
        <v>34</v>
      </c>
      <c r="E13" s="25" t="s">
        <v>71</v>
      </c>
      <c r="F13" s="25" t="s">
        <v>72</v>
      </c>
      <c r="G13" s="4" t="s">
        <v>73</v>
      </c>
      <c r="H13" s="25" t="s">
        <v>74</v>
      </c>
      <c r="I13" s="12" t="s">
        <v>38</v>
      </c>
      <c r="J13" s="12" t="s">
        <v>75</v>
      </c>
      <c r="K13" s="13" t="s">
        <v>76</v>
      </c>
      <c r="L13" s="14" t="s">
        <v>77</v>
      </c>
      <c r="M13" s="25" t="s">
        <v>196</v>
      </c>
    </row>
    <row r="14" spans="1:13" ht="67.5" customHeight="1" x14ac:dyDescent="0.25">
      <c r="A14" s="4">
        <f t="shared" si="0"/>
        <v>10</v>
      </c>
      <c r="B14" s="11">
        <v>46183.629027777781</v>
      </c>
      <c r="C14" s="4" t="s">
        <v>78</v>
      </c>
      <c r="D14" s="4"/>
      <c r="E14" s="25" t="s">
        <v>79</v>
      </c>
      <c r="F14" s="25" t="s">
        <v>80</v>
      </c>
      <c r="G14" s="4" t="s">
        <v>19</v>
      </c>
      <c r="H14" s="25" t="s">
        <v>81</v>
      </c>
      <c r="I14" s="12" t="s">
        <v>63</v>
      </c>
      <c r="J14" s="12" t="s">
        <v>82</v>
      </c>
      <c r="K14" s="13" t="s">
        <v>83</v>
      </c>
      <c r="L14" s="14" t="s">
        <v>84</v>
      </c>
      <c r="M14" s="25" t="s">
        <v>197</v>
      </c>
    </row>
    <row r="15" spans="1:13" ht="67.5" customHeight="1" x14ac:dyDescent="0.25">
      <c r="A15" s="4">
        <f t="shared" si="0"/>
        <v>11</v>
      </c>
      <c r="B15" s="11">
        <v>46171.784594907411</v>
      </c>
      <c r="C15" s="4" t="s">
        <v>89</v>
      </c>
      <c r="D15" s="4" t="s">
        <v>43</v>
      </c>
      <c r="E15" s="25" t="s">
        <v>90</v>
      </c>
      <c r="F15" s="25" t="s">
        <v>85</v>
      </c>
      <c r="G15" s="4" t="s">
        <v>19</v>
      </c>
      <c r="H15" s="25" t="s">
        <v>91</v>
      </c>
      <c r="I15" s="12" t="s">
        <v>92</v>
      </c>
      <c r="J15" s="12" t="s">
        <v>86</v>
      </c>
      <c r="K15" s="13" t="s">
        <v>87</v>
      </c>
      <c r="L15" s="14" t="s">
        <v>88</v>
      </c>
      <c r="M15" s="25" t="s">
        <v>43</v>
      </c>
    </row>
    <row r="16" spans="1:13" ht="67.5" customHeight="1" x14ac:dyDescent="0.25">
      <c r="A16" s="4">
        <f t="shared" si="0"/>
        <v>12</v>
      </c>
      <c r="B16" s="11">
        <v>46183.52412037037</v>
      </c>
      <c r="C16" s="4" t="s">
        <v>93</v>
      </c>
      <c r="D16" s="4" t="s">
        <v>34</v>
      </c>
      <c r="E16" s="25" t="s">
        <v>94</v>
      </c>
      <c r="F16" s="25" t="s">
        <v>95</v>
      </c>
      <c r="G16" s="4" t="s">
        <v>19</v>
      </c>
      <c r="H16" s="25" t="s">
        <v>96</v>
      </c>
      <c r="I16" s="12" t="s">
        <v>97</v>
      </c>
      <c r="J16" s="12" t="s">
        <v>75</v>
      </c>
      <c r="K16" s="13" t="s">
        <v>98</v>
      </c>
      <c r="L16" s="14" t="s">
        <v>99</v>
      </c>
      <c r="M16" s="25" t="s">
        <v>194</v>
      </c>
    </row>
    <row r="17" spans="1:13" ht="67.5" customHeight="1" x14ac:dyDescent="0.25">
      <c r="A17" s="4">
        <f t="shared" si="0"/>
        <v>13</v>
      </c>
      <c r="B17" s="11">
        <v>46179.582986111112</v>
      </c>
      <c r="C17" s="4" t="s">
        <v>100</v>
      </c>
      <c r="D17" s="4" t="s">
        <v>34</v>
      </c>
      <c r="E17" s="25" t="s">
        <v>101</v>
      </c>
      <c r="F17" s="25" t="s">
        <v>102</v>
      </c>
      <c r="G17" s="4" t="s">
        <v>73</v>
      </c>
      <c r="H17" s="25" t="s">
        <v>103</v>
      </c>
      <c r="I17" s="12" t="s">
        <v>104</v>
      </c>
      <c r="J17" s="12" t="s">
        <v>75</v>
      </c>
      <c r="K17" s="13" t="s">
        <v>105</v>
      </c>
      <c r="L17" s="14" t="s">
        <v>106</v>
      </c>
      <c r="M17" s="25" t="s">
        <v>194</v>
      </c>
    </row>
    <row r="18" spans="1:13" ht="67.5" customHeight="1" x14ac:dyDescent="0.25">
      <c r="A18" s="4">
        <f t="shared" si="0"/>
        <v>14</v>
      </c>
      <c r="B18" s="11">
        <v>46183.639502314814</v>
      </c>
      <c r="C18" s="4" t="s">
        <v>107</v>
      </c>
      <c r="D18" s="4"/>
      <c r="E18" s="25" t="s">
        <v>108</v>
      </c>
      <c r="F18" s="25" t="s">
        <v>109</v>
      </c>
      <c r="G18" s="4" t="s">
        <v>73</v>
      </c>
      <c r="H18" s="25" t="s">
        <v>110</v>
      </c>
      <c r="I18" s="12" t="s">
        <v>21</v>
      </c>
      <c r="J18" s="12" t="s">
        <v>111</v>
      </c>
      <c r="K18" s="13" t="s">
        <v>112</v>
      </c>
      <c r="L18" s="14" t="s">
        <v>113</v>
      </c>
      <c r="M18" s="25" t="s">
        <v>194</v>
      </c>
    </row>
    <row r="19" spans="1:13" ht="67.5" customHeight="1" x14ac:dyDescent="0.25">
      <c r="A19" s="4">
        <f t="shared" si="0"/>
        <v>15</v>
      </c>
      <c r="B19" s="11">
        <v>46183.624490740738</v>
      </c>
      <c r="C19" s="4" t="s">
        <v>114</v>
      </c>
      <c r="D19" s="4"/>
      <c r="E19" s="25" t="s">
        <v>115</v>
      </c>
      <c r="F19" s="25" t="s">
        <v>116</v>
      </c>
      <c r="G19" s="4" t="s">
        <v>73</v>
      </c>
      <c r="H19" s="25" t="s">
        <v>117</v>
      </c>
      <c r="I19" s="12" t="s">
        <v>22</v>
      </c>
      <c r="J19" s="12" t="s">
        <v>55</v>
      </c>
      <c r="K19" s="13" t="s">
        <v>118</v>
      </c>
      <c r="L19" s="14" t="s">
        <v>119</v>
      </c>
      <c r="M19" s="25" t="s">
        <v>196</v>
      </c>
    </row>
    <row r="20" spans="1:13" ht="67.5" customHeight="1" x14ac:dyDescent="0.25">
      <c r="A20" s="4">
        <f t="shared" si="0"/>
        <v>16</v>
      </c>
      <c r="B20" s="11">
        <v>46183.588356481479</v>
      </c>
      <c r="C20" s="4" t="s">
        <v>120</v>
      </c>
      <c r="D20" s="4"/>
      <c r="E20" s="25" t="s">
        <v>121</v>
      </c>
      <c r="F20" s="25" t="s">
        <v>122</v>
      </c>
      <c r="G20" s="4" t="s">
        <v>73</v>
      </c>
      <c r="H20" s="25" t="s">
        <v>123</v>
      </c>
      <c r="I20" s="12" t="s">
        <v>63</v>
      </c>
      <c r="J20" s="12" t="s">
        <v>29</v>
      </c>
      <c r="K20" s="13" t="s">
        <v>124</v>
      </c>
      <c r="L20" s="14" t="s">
        <v>125</v>
      </c>
      <c r="M20" s="25" t="s">
        <v>196</v>
      </c>
    </row>
    <row r="21" spans="1:13" ht="67.5" customHeight="1" x14ac:dyDescent="0.25">
      <c r="A21" s="4">
        <f t="shared" si="0"/>
        <v>17</v>
      </c>
      <c r="B21" s="11">
        <v>46182.524212962962</v>
      </c>
      <c r="C21" s="4" t="s">
        <v>126</v>
      </c>
      <c r="D21" s="4" t="s">
        <v>43</v>
      </c>
      <c r="E21" s="25" t="s">
        <v>127</v>
      </c>
      <c r="F21" s="25" t="s">
        <v>128</v>
      </c>
      <c r="G21" s="4" t="s">
        <v>129</v>
      </c>
      <c r="H21" s="25" t="s">
        <v>130</v>
      </c>
      <c r="I21" s="12" t="s">
        <v>131</v>
      </c>
      <c r="J21" s="12" t="s">
        <v>55</v>
      </c>
      <c r="K21" s="13" t="s">
        <v>132</v>
      </c>
      <c r="L21" s="14" t="s">
        <v>133</v>
      </c>
      <c r="M21" s="25" t="s">
        <v>43</v>
      </c>
    </row>
    <row r="22" spans="1:13" ht="67.5" customHeight="1" x14ac:dyDescent="0.25">
      <c r="A22" s="4">
        <f t="shared" si="0"/>
        <v>18</v>
      </c>
      <c r="B22" s="11">
        <v>46174.30568287037</v>
      </c>
      <c r="C22" s="4" t="s">
        <v>134</v>
      </c>
      <c r="D22" s="4" t="s">
        <v>43</v>
      </c>
      <c r="E22" s="25" t="s">
        <v>135</v>
      </c>
      <c r="F22" s="25" t="s">
        <v>136</v>
      </c>
      <c r="G22" s="4" t="s">
        <v>61</v>
      </c>
      <c r="H22" s="25" t="s">
        <v>137</v>
      </c>
      <c r="I22" s="12" t="s">
        <v>138</v>
      </c>
      <c r="J22" s="12" t="s">
        <v>69</v>
      </c>
      <c r="K22" s="13" t="s">
        <v>139</v>
      </c>
      <c r="L22" s="14" t="s">
        <v>140</v>
      </c>
      <c r="M22" s="25" t="s">
        <v>195</v>
      </c>
    </row>
    <row r="23" spans="1:13" ht="67.5" customHeight="1" x14ac:dyDescent="0.25">
      <c r="A23" s="4">
        <f t="shared" si="0"/>
        <v>19</v>
      </c>
      <c r="B23" s="11">
        <v>46183.698796296296</v>
      </c>
      <c r="C23" s="4" t="s">
        <v>141</v>
      </c>
      <c r="D23" s="4"/>
      <c r="E23" s="25" t="s">
        <v>142</v>
      </c>
      <c r="F23" s="25" t="s">
        <v>143</v>
      </c>
      <c r="G23" s="4" t="s">
        <v>19</v>
      </c>
      <c r="H23" s="25" t="s">
        <v>144</v>
      </c>
      <c r="I23" s="12" t="s">
        <v>22</v>
      </c>
      <c r="J23" s="12" t="s">
        <v>55</v>
      </c>
      <c r="K23" s="13" t="s">
        <v>145</v>
      </c>
      <c r="L23" s="14" t="s">
        <v>146</v>
      </c>
      <c r="M23" s="25" t="s">
        <v>198</v>
      </c>
    </row>
    <row r="24" spans="1:13" ht="67.5" customHeight="1" x14ac:dyDescent="0.25">
      <c r="A24" s="4">
        <f t="shared" si="0"/>
        <v>20</v>
      </c>
      <c r="B24" s="11">
        <v>46183.601446759261</v>
      </c>
      <c r="C24" s="4" t="s">
        <v>147</v>
      </c>
      <c r="D24" s="4"/>
      <c r="E24" s="25" t="s">
        <v>148</v>
      </c>
      <c r="F24" s="25" t="s">
        <v>149</v>
      </c>
      <c r="G24" s="4" t="s">
        <v>19</v>
      </c>
      <c r="H24" s="25" t="s">
        <v>150</v>
      </c>
      <c r="I24" s="12" t="s">
        <v>22</v>
      </c>
      <c r="J24" s="12" t="s">
        <v>55</v>
      </c>
      <c r="K24" s="13" t="s">
        <v>151</v>
      </c>
      <c r="L24" s="14" t="s">
        <v>152</v>
      </c>
      <c r="M24" s="25" t="s">
        <v>194</v>
      </c>
    </row>
    <row r="25" spans="1:13" ht="67.5" customHeight="1" x14ac:dyDescent="0.25">
      <c r="A25" s="4">
        <f t="shared" si="0"/>
        <v>21</v>
      </c>
      <c r="B25" s="11">
        <v>46183.649942129632</v>
      </c>
      <c r="C25" s="4" t="s">
        <v>153</v>
      </c>
      <c r="D25" s="4"/>
      <c r="E25" s="25" t="s">
        <v>154</v>
      </c>
      <c r="F25" s="25" t="s">
        <v>155</v>
      </c>
      <c r="G25" s="4" t="s">
        <v>19</v>
      </c>
      <c r="H25" s="25" t="s">
        <v>156</v>
      </c>
      <c r="I25" s="12" t="s">
        <v>157</v>
      </c>
      <c r="J25" s="12" t="s">
        <v>55</v>
      </c>
      <c r="K25" s="13" t="s">
        <v>158</v>
      </c>
      <c r="L25" s="14" t="s">
        <v>159</v>
      </c>
      <c r="M25" s="25" t="s">
        <v>194</v>
      </c>
    </row>
    <row r="26" spans="1:13" ht="67.5" customHeight="1" x14ac:dyDescent="0.25">
      <c r="A26" s="4">
        <f t="shared" si="0"/>
        <v>22</v>
      </c>
      <c r="B26" s="11">
        <v>46179.773912037039</v>
      </c>
      <c r="C26" s="4" t="s">
        <v>160</v>
      </c>
      <c r="D26" s="4" t="s">
        <v>34</v>
      </c>
      <c r="E26" s="25" t="s">
        <v>161</v>
      </c>
      <c r="F26" s="25" t="s">
        <v>162</v>
      </c>
      <c r="G26" s="4" t="s">
        <v>19</v>
      </c>
      <c r="H26" s="25" t="s">
        <v>163</v>
      </c>
      <c r="I26" s="12" t="s">
        <v>164</v>
      </c>
      <c r="J26" s="12" t="s">
        <v>165</v>
      </c>
      <c r="K26" s="13" t="s">
        <v>163</v>
      </c>
      <c r="L26" s="14" t="s">
        <v>113</v>
      </c>
      <c r="M26" s="25" t="s">
        <v>194</v>
      </c>
    </row>
    <row r="27" spans="1:13" ht="67.5" customHeight="1" x14ac:dyDescent="0.25">
      <c r="A27" s="4">
        <f t="shared" si="0"/>
        <v>23</v>
      </c>
      <c r="B27" s="11">
        <v>46183.715740740743</v>
      </c>
      <c r="C27" s="4" t="s">
        <v>166</v>
      </c>
      <c r="D27" s="4"/>
      <c r="E27" s="25" t="s">
        <v>167</v>
      </c>
      <c r="F27" s="25" t="s">
        <v>168</v>
      </c>
      <c r="G27" s="4" t="s">
        <v>19</v>
      </c>
      <c r="H27" s="25" t="s">
        <v>169</v>
      </c>
      <c r="I27" s="12" t="s">
        <v>170</v>
      </c>
      <c r="J27" s="12" t="s">
        <v>29</v>
      </c>
      <c r="K27" s="13" t="s">
        <v>171</v>
      </c>
      <c r="L27" s="14" t="s">
        <v>172</v>
      </c>
      <c r="M27" s="25" t="s">
        <v>194</v>
      </c>
    </row>
    <row r="28" spans="1:13" ht="67.5" customHeight="1" x14ac:dyDescent="0.25">
      <c r="A28" s="15">
        <f t="shared" si="0"/>
        <v>24</v>
      </c>
      <c r="B28" s="16">
        <v>46183.644016203703</v>
      </c>
      <c r="C28" s="15" t="s">
        <v>173</v>
      </c>
      <c r="D28" s="15"/>
      <c r="E28" s="26" t="s">
        <v>174</v>
      </c>
      <c r="F28" s="26" t="s">
        <v>175</v>
      </c>
      <c r="G28" s="15" t="s">
        <v>19</v>
      </c>
      <c r="H28" s="26" t="s">
        <v>176</v>
      </c>
      <c r="I28" s="17" t="s">
        <v>22</v>
      </c>
      <c r="J28" s="17" t="s">
        <v>55</v>
      </c>
      <c r="K28" s="18" t="s">
        <v>177</v>
      </c>
      <c r="L28" s="19" t="s">
        <v>178</v>
      </c>
      <c r="M28" s="26" t="s">
        <v>194</v>
      </c>
    </row>
    <row r="29" spans="1:13" ht="67.5" customHeight="1" x14ac:dyDescent="0.25">
      <c r="A29" s="20">
        <f t="shared" si="0"/>
        <v>25</v>
      </c>
      <c r="B29" s="21">
        <v>46160.785312499997</v>
      </c>
      <c r="C29" s="20" t="s">
        <v>179</v>
      </c>
      <c r="D29" s="20" t="s">
        <v>43</v>
      </c>
      <c r="E29" s="27" t="s">
        <v>180</v>
      </c>
      <c r="F29" s="27" t="s">
        <v>181</v>
      </c>
      <c r="G29" s="20" t="s">
        <v>19</v>
      </c>
      <c r="H29" s="27" t="s">
        <v>182</v>
      </c>
      <c r="I29" s="22" t="s">
        <v>183</v>
      </c>
      <c r="J29" s="22" t="s">
        <v>184</v>
      </c>
      <c r="K29" s="20" t="s">
        <v>185</v>
      </c>
      <c r="L29" s="20" t="s">
        <v>186</v>
      </c>
      <c r="M29" s="27" t="s">
        <v>195</v>
      </c>
    </row>
    <row r="30" spans="1:13" ht="67.5" customHeight="1" x14ac:dyDescent="0.25">
      <c r="A30" s="20">
        <f t="shared" si="0"/>
        <v>26</v>
      </c>
      <c r="B30" s="21">
        <v>46183.591562499998</v>
      </c>
      <c r="C30" s="20" t="s">
        <v>187</v>
      </c>
      <c r="D30" s="20"/>
      <c r="E30" s="27" t="s">
        <v>188</v>
      </c>
      <c r="F30" s="27" t="s">
        <v>189</v>
      </c>
      <c r="G30" s="20" t="s">
        <v>19</v>
      </c>
      <c r="H30" s="27" t="s">
        <v>190</v>
      </c>
      <c r="I30" s="22" t="s">
        <v>21</v>
      </c>
      <c r="J30" s="22" t="s">
        <v>29</v>
      </c>
      <c r="K30" s="20" t="s">
        <v>191</v>
      </c>
      <c r="L30" s="20" t="s">
        <v>192</v>
      </c>
      <c r="M30" s="27" t="s">
        <v>196</v>
      </c>
    </row>
    <row r="31" spans="1:13" ht="67.5" customHeight="1" x14ac:dyDescent="0.25">
      <c r="A31" s="20">
        <f t="shared" si="0"/>
        <v>27</v>
      </c>
      <c r="B31" s="23"/>
      <c r="C31" s="24">
        <v>309848</v>
      </c>
      <c r="D31" s="23"/>
      <c r="E31" s="28" t="s">
        <v>200</v>
      </c>
      <c r="F31" s="28">
        <v>220</v>
      </c>
      <c r="G31" s="24" t="s">
        <v>211</v>
      </c>
      <c r="H31" s="28" t="s">
        <v>213</v>
      </c>
      <c r="I31" s="24" t="s">
        <v>220</v>
      </c>
      <c r="J31" s="24" t="s">
        <v>221</v>
      </c>
      <c r="K31" s="24" t="s">
        <v>220</v>
      </c>
      <c r="L31" s="24" t="s">
        <v>222</v>
      </c>
      <c r="M31" s="31" t="s">
        <v>196</v>
      </c>
    </row>
    <row r="32" spans="1:13" ht="67.5" customHeight="1" x14ac:dyDescent="0.25">
      <c r="A32" s="20">
        <f t="shared" si="0"/>
        <v>28</v>
      </c>
      <c r="B32" s="23"/>
      <c r="C32" s="24">
        <v>310233</v>
      </c>
      <c r="D32" s="23"/>
      <c r="E32" s="28" t="s">
        <v>201</v>
      </c>
      <c r="F32" s="28">
        <v>400</v>
      </c>
      <c r="G32" s="24" t="s">
        <v>212</v>
      </c>
      <c r="H32" s="28" t="s">
        <v>214</v>
      </c>
      <c r="I32" s="24" t="s">
        <v>220</v>
      </c>
      <c r="J32" s="24" t="s">
        <v>221</v>
      </c>
      <c r="K32" s="24" t="s">
        <v>220</v>
      </c>
      <c r="L32" s="24" t="s">
        <v>222</v>
      </c>
      <c r="M32" s="31" t="s">
        <v>194</v>
      </c>
    </row>
    <row r="33" spans="1:13" ht="67.5" customHeight="1" x14ac:dyDescent="0.25">
      <c r="A33" s="20">
        <f t="shared" si="0"/>
        <v>29</v>
      </c>
      <c r="B33" s="23"/>
      <c r="C33" s="24">
        <v>310234</v>
      </c>
      <c r="D33" s="23"/>
      <c r="E33" s="28" t="s">
        <v>202</v>
      </c>
      <c r="F33" s="28">
        <v>400</v>
      </c>
      <c r="G33" s="24" t="s">
        <v>212</v>
      </c>
      <c r="H33" s="28" t="s">
        <v>215</v>
      </c>
      <c r="I33" s="24" t="s">
        <v>220</v>
      </c>
      <c r="J33" s="24" t="s">
        <v>221</v>
      </c>
      <c r="K33" s="24" t="s">
        <v>220</v>
      </c>
      <c r="L33" s="24" t="s">
        <v>223</v>
      </c>
      <c r="M33" s="31" t="s">
        <v>198</v>
      </c>
    </row>
    <row r="34" spans="1:13" ht="67.5" customHeight="1" x14ac:dyDescent="0.25">
      <c r="A34" s="20">
        <f t="shared" si="0"/>
        <v>30</v>
      </c>
      <c r="B34" s="23"/>
      <c r="C34" s="24">
        <v>310235</v>
      </c>
      <c r="D34" s="23"/>
      <c r="E34" s="28" t="s">
        <v>203</v>
      </c>
      <c r="F34" s="28">
        <v>400</v>
      </c>
      <c r="G34" s="24" t="s">
        <v>212</v>
      </c>
      <c r="H34" s="28" t="s">
        <v>215</v>
      </c>
      <c r="I34" s="24" t="s">
        <v>220</v>
      </c>
      <c r="J34" s="24" t="s">
        <v>224</v>
      </c>
      <c r="K34" s="24" t="s">
        <v>220</v>
      </c>
      <c r="L34" s="24" t="s">
        <v>222</v>
      </c>
      <c r="M34" s="31" t="s">
        <v>198</v>
      </c>
    </row>
    <row r="35" spans="1:13" ht="67.5" customHeight="1" x14ac:dyDescent="0.25">
      <c r="A35" s="20">
        <f t="shared" si="0"/>
        <v>31</v>
      </c>
      <c r="B35" s="23"/>
      <c r="C35" s="24">
        <v>310278</v>
      </c>
      <c r="D35" s="23"/>
      <c r="E35" s="28" t="s">
        <v>204</v>
      </c>
      <c r="F35" s="28">
        <v>220</v>
      </c>
      <c r="G35" s="24" t="s">
        <v>212</v>
      </c>
      <c r="H35" s="28" t="s">
        <v>216</v>
      </c>
      <c r="I35" s="24" t="s">
        <v>220</v>
      </c>
      <c r="J35" s="24" t="s">
        <v>221</v>
      </c>
      <c r="K35" s="24" t="s">
        <v>220</v>
      </c>
      <c r="L35" s="24" t="s">
        <v>223</v>
      </c>
      <c r="M35" s="31" t="s">
        <v>196</v>
      </c>
    </row>
    <row r="36" spans="1:13" ht="67.5" customHeight="1" x14ac:dyDescent="0.25">
      <c r="A36" s="20">
        <f t="shared" si="0"/>
        <v>32</v>
      </c>
      <c r="B36" s="23"/>
      <c r="C36" s="24">
        <v>310279</v>
      </c>
      <c r="D36" s="23"/>
      <c r="E36" s="28" t="s">
        <v>205</v>
      </c>
      <c r="F36" s="28">
        <v>220</v>
      </c>
      <c r="G36" s="24" t="s">
        <v>212</v>
      </c>
      <c r="H36" s="28" t="s">
        <v>217</v>
      </c>
      <c r="I36" s="24" t="s">
        <v>220</v>
      </c>
      <c r="J36" s="24" t="s">
        <v>221</v>
      </c>
      <c r="K36" s="24" t="s">
        <v>220</v>
      </c>
      <c r="L36" s="24" t="s">
        <v>223</v>
      </c>
      <c r="M36" s="31" t="s">
        <v>196</v>
      </c>
    </row>
    <row r="37" spans="1:13" ht="67.5" customHeight="1" x14ac:dyDescent="0.25">
      <c r="A37" s="20">
        <f t="shared" si="0"/>
        <v>33</v>
      </c>
      <c r="B37" s="23"/>
      <c r="C37" s="24">
        <v>310280</v>
      </c>
      <c r="D37" s="23"/>
      <c r="E37" s="28" t="s">
        <v>206</v>
      </c>
      <c r="F37" s="28">
        <v>220</v>
      </c>
      <c r="G37" s="24" t="s">
        <v>212</v>
      </c>
      <c r="H37" s="28" t="s">
        <v>217</v>
      </c>
      <c r="I37" s="24" t="s">
        <v>220</v>
      </c>
      <c r="J37" s="24" t="s">
        <v>225</v>
      </c>
      <c r="K37" s="24" t="s">
        <v>220</v>
      </c>
      <c r="L37" s="24" t="s">
        <v>222</v>
      </c>
      <c r="M37" s="31" t="s">
        <v>198</v>
      </c>
    </row>
    <row r="38" spans="1:13" ht="67.5" customHeight="1" x14ac:dyDescent="0.25">
      <c r="A38" s="20">
        <f t="shared" si="0"/>
        <v>34</v>
      </c>
      <c r="B38" s="23"/>
      <c r="C38" s="24">
        <v>310281</v>
      </c>
      <c r="D38" s="23"/>
      <c r="E38" s="28" t="s">
        <v>207</v>
      </c>
      <c r="F38" s="28">
        <v>220</v>
      </c>
      <c r="G38" s="24" t="s">
        <v>212</v>
      </c>
      <c r="H38" s="28" t="s">
        <v>218</v>
      </c>
      <c r="I38" s="24" t="s">
        <v>220</v>
      </c>
      <c r="J38" s="24" t="s">
        <v>221</v>
      </c>
      <c r="K38" s="24" t="s">
        <v>220</v>
      </c>
      <c r="L38" s="24" t="s">
        <v>223</v>
      </c>
      <c r="M38" s="31" t="s">
        <v>198</v>
      </c>
    </row>
    <row r="39" spans="1:13" ht="67.5" customHeight="1" x14ac:dyDescent="0.25">
      <c r="A39" s="20">
        <f t="shared" si="0"/>
        <v>35</v>
      </c>
      <c r="B39" s="23"/>
      <c r="C39" s="24">
        <v>310283</v>
      </c>
      <c r="D39" s="23"/>
      <c r="E39" s="28" t="s">
        <v>208</v>
      </c>
      <c r="F39" s="28">
        <v>220</v>
      </c>
      <c r="G39" s="24" t="s">
        <v>212</v>
      </c>
      <c r="H39" s="28" t="s">
        <v>219</v>
      </c>
      <c r="I39" s="24" t="s">
        <v>220</v>
      </c>
      <c r="J39" s="24" t="s">
        <v>224</v>
      </c>
      <c r="K39" s="24" t="s">
        <v>220</v>
      </c>
      <c r="L39" s="24" t="s">
        <v>222</v>
      </c>
      <c r="M39" s="31" t="s">
        <v>196</v>
      </c>
    </row>
    <row r="40" spans="1:13" ht="67.5" customHeight="1" x14ac:dyDescent="0.25">
      <c r="A40" s="20">
        <f t="shared" si="0"/>
        <v>36</v>
      </c>
      <c r="B40" s="23"/>
      <c r="C40" s="24">
        <v>310362</v>
      </c>
      <c r="D40" s="23"/>
      <c r="E40" s="28" t="s">
        <v>209</v>
      </c>
      <c r="F40" s="28">
        <v>132</v>
      </c>
      <c r="G40" s="24" t="s">
        <v>212</v>
      </c>
      <c r="H40" s="28" t="s">
        <v>215</v>
      </c>
      <c r="I40" s="24" t="s">
        <v>220</v>
      </c>
      <c r="J40" s="24" t="s">
        <v>224</v>
      </c>
      <c r="K40" s="24" t="s">
        <v>220</v>
      </c>
      <c r="L40" s="24" t="s">
        <v>223</v>
      </c>
      <c r="M40" s="31" t="s">
        <v>194</v>
      </c>
    </row>
    <row r="41" spans="1:13" ht="67.5" customHeight="1" x14ac:dyDescent="0.25">
      <c r="A41" s="20">
        <f t="shared" si="0"/>
        <v>37</v>
      </c>
      <c r="B41" s="23"/>
      <c r="C41" s="24">
        <v>310282</v>
      </c>
      <c r="D41" s="23"/>
      <c r="E41" s="28" t="s">
        <v>210</v>
      </c>
      <c r="F41" s="28">
        <v>220</v>
      </c>
      <c r="G41" s="24" t="s">
        <v>212</v>
      </c>
      <c r="H41" s="28" t="s">
        <v>216</v>
      </c>
      <c r="I41" s="24" t="s">
        <v>220</v>
      </c>
      <c r="J41" s="24" t="s">
        <v>224</v>
      </c>
      <c r="K41" s="24" t="s">
        <v>220</v>
      </c>
      <c r="L41" s="24" t="s">
        <v>226</v>
      </c>
      <c r="M41" s="31" t="s">
        <v>194</v>
      </c>
    </row>
    <row r="42" spans="1:13" ht="67.5" customHeight="1" x14ac:dyDescent="0.25">
      <c r="A42" s="20">
        <f t="shared" si="0"/>
        <v>38</v>
      </c>
      <c r="B42" s="23"/>
      <c r="C42" s="23"/>
      <c r="D42" s="23"/>
      <c r="E42" s="29"/>
      <c r="F42" s="29"/>
      <c r="G42" s="23"/>
      <c r="H42" s="29"/>
      <c r="I42" s="23"/>
      <c r="J42" s="23"/>
      <c r="K42" s="23"/>
      <c r="L42" s="23"/>
      <c r="M42" s="29"/>
    </row>
  </sheetData>
  <mergeCells count="2">
    <mergeCell ref="B1:M1"/>
    <mergeCell ref="K4:L4"/>
  </mergeCells>
  <pageMargins left="0" right="0" top="0" bottom="0" header="0.51181102362204722" footer="0.51181102362204722"/>
  <pageSetup paperSize="9" scale="60" fitToHeight="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cp:lastPrinted>2026-06-10T13:24:42Z</cp:lastPrinted>
  <dcterms:created xsi:type="dcterms:W3CDTF">2026-06-10T11:43:07Z</dcterms:created>
  <dcterms:modified xsi:type="dcterms:W3CDTF">2026-06-10T13:30:40Z</dcterms:modified>
</cp:coreProperties>
</file>
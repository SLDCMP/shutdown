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Sheet0!$A$1:$M$49</definedName>
    <definedName name="_xlnm.Print_Area" localSheetId="0">Sheet0!$A$1:$M$49</definedName>
    <definedName name="_xlnm.Print_Titles" localSheetId="0">Sheet0!$4:$4</definedName>
  </definedNames>
  <calcPr calcId="162913"/>
</workbook>
</file>

<file path=xl/calcChain.xml><?xml version="1.0" encoding="utf-8"?>
<calcChain xmlns="http://schemas.openxmlformats.org/spreadsheetml/2006/main">
  <c r="A33" i="1" l="1"/>
  <c r="A34" i="1" s="1"/>
  <c r="A3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</calcChain>
</file>

<file path=xl/sharedStrings.xml><?xml version="1.0" encoding="utf-8"?>
<sst xmlns="http://schemas.openxmlformats.org/spreadsheetml/2006/main" count="428" uniqueCount="258">
  <si>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</si>
  <si>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</si>
  <si>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</si>
  <si>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</si>
  <si>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</si>
  <si>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</si>
  <si>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</si>
  <si>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</si>
  <si>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</si>
  <si>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</si>
  <si>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</si>
  <si>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</si>
  <si>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</si>
  <si>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</si>
  <si>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</si>
  <si>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</si>
  <si>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</si>
  <si>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MR2511/0241</t>
  </si>
  <si>
    <t>400KV_400 kv ashta-satpura ckt no 2</t>
  </si>
  <si>
    <t>400KV_ASHTA4</t>
  </si>
  <si>
    <t>NON-OCCM-MP</t>
  </si>
  <si>
    <t>400 kV Ashta- Satpura Ckt no. 02 for Relay testing</t>
  </si>
  <si>
    <t>13-11-2025 09:00:00</t>
  </si>
  <si>
    <t>13-11-2025 14:00:00</t>
  </si>
  <si>
    <t>Jitendra lohana</t>
  </si>
  <si>
    <t>9425804978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</si>
  <si>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</si>
  <si>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</si>
  <si>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</si>
  <si>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</si>
  <si>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</si>
  <si>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</si>
  <si>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</si>
  <si>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</si>
  <si>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</si>
  <si>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MR2511/0253</t>
  </si>
  <si>
    <t>132KV_20 MVA GEC_X-mer</t>
  </si>
  <si>
    <t>220KV_BETUL</t>
  </si>
  <si>
    <t>new 63mva erection work for safety purpose</t>
  </si>
  <si>
    <t>13-11-2025 17:00:00</t>
  </si>
  <si>
    <t>Vishal Kumar Malviya</t>
  </si>
  <si>
    <t>9425804955</t>
  </si>
  <si>
    <t>MR2511/0240</t>
  </si>
  <si>
    <t>132KV_132kV Bhonra - Kapasi radial line</t>
  </si>
  <si>
    <t>132KV_BHONRA</t>
  </si>
  <si>
    <t>For DF/O replacement &amp; other line Maint. work</t>
  </si>
  <si>
    <t>13-11-2025 10:00:00</t>
  </si>
  <si>
    <t>13-11-2025 15:00:00</t>
  </si>
  <si>
    <t>Akhilesh Singh</t>
  </si>
  <si>
    <t>8586865656</t>
  </si>
  <si>
    <t>MR2511/0171</t>
  </si>
  <si>
    <t>400KV_80 MVAR BUS REACTOR NO-2</t>
  </si>
  <si>
    <t>400KV_BHOPAL4</t>
  </si>
  <si>
    <t>POST MONSOON MAINTANENCE &amp; TESTING WORK</t>
  </si>
  <si>
    <t>13-11-2025 18:00:00</t>
  </si>
  <si>
    <t>AKRAM KHAN</t>
  </si>
  <si>
    <t>9425804695</t>
  </si>
  <si>
    <t>MR2511/0066</t>
  </si>
  <si>
    <t>Continuous</t>
  </si>
  <si>
    <t>400KV_400 kv main bus -2</t>
  </si>
  <si>
    <t>400KV_BINA4</t>
  </si>
  <si>
    <t>quad bus stringing for new 315 MVA Transformer</t>
  </si>
  <si>
    <t>14-11-2025 17:00:00</t>
  </si>
  <si>
    <t>Anil mahor</t>
  </si>
  <si>
    <t>9425805149</t>
  </si>
  <si>
    <t>220KV_220KV DAMOH - KATNI LINE</t>
  </si>
  <si>
    <t>TOWER STRENGTHENING WORK</t>
  </si>
  <si>
    <t>10-11-2025 09:00:00</t>
  </si>
  <si>
    <t>15-11-2025 18:00:00</t>
  </si>
  <si>
    <t>9425805067</t>
  </si>
  <si>
    <t>M.M. BAIG</t>
  </si>
  <si>
    <t>MR2511/0202</t>
  </si>
  <si>
    <t>132KV_132/33KV 50MVA BBL X-MER</t>
  </si>
  <si>
    <t>132KV_DEOSAR</t>
  </si>
  <si>
    <t>oil leakage arresting work by service eng.M/S BBL</t>
  </si>
  <si>
    <t>13-11-2025 19:00:00</t>
  </si>
  <si>
    <t>RAMESH KUMAR SHAHU</t>
  </si>
  <si>
    <t>8109414234</t>
  </si>
  <si>
    <t>220KV_160MVA TRANSFORMER BBL</t>
  </si>
  <si>
    <t>220KV_DEPALPUR</t>
  </si>
  <si>
    <t>POST MANSOON MAINTENANCE</t>
  </si>
  <si>
    <t>RAMBABU NAGAR</t>
  </si>
  <si>
    <t>9827637215</t>
  </si>
  <si>
    <t>MR2511/0252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</si>
  <si>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</si>
  <si>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</si>
  <si>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</si>
  <si>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</si>
  <si>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</si>
  <si>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</si>
  <si>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</si>
  <si>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132KV_132KV Anuppur-Dongrital ckt</t>
  </si>
  <si>
    <t>132KV_DONGRITAL</t>
  </si>
  <si>
    <t>13-11-2025 08:00:00</t>
  </si>
  <si>
    <t>MR2511/0248</t>
  </si>
  <si>
    <t>disc string replacement work</t>
  </si>
  <si>
    <t>MR2511/0250</t>
  </si>
  <si>
    <t>132KV_132 KV Narsinghpur-Gadarwara Line</t>
  </si>
  <si>
    <t>132KV_GADARWARA</t>
  </si>
  <si>
    <t>Flashover disc replacement work at loc.No.08/Y-Pha</t>
  </si>
  <si>
    <t>Ashish Kumar</t>
  </si>
  <si>
    <t>9425805935</t>
  </si>
  <si>
    <t>MR2511/0079</t>
  </si>
  <si>
    <t>400KV_ISP-INDORE II</t>
  </si>
  <si>
    <t>400KV_INDIRASAGAR</t>
  </si>
  <si>
    <t>NON-OCCM-WR</t>
  </si>
  <si>
    <t>RELAY TESTING WORK</t>
  </si>
  <si>
    <t>13-11-2025 07:00:00</t>
  </si>
  <si>
    <t>SHRI SANJAY PATEL</t>
  </si>
  <si>
    <t>9575074321</t>
  </si>
  <si>
    <t>MR2511/0256</t>
  </si>
  <si>
    <t>220KV_160 MVA Transformer-I BBL make</t>
  </si>
  <si>
    <t>220KV_INDORE-II (JETPURA)</t>
  </si>
  <si>
    <t>For Post monsoon maintenance &amp; Testing work</t>
  </si>
  <si>
    <t>Deepak Gupta</t>
  </si>
  <si>
    <t>9425803845</t>
  </si>
  <si>
    <t>MR2511/0193</t>
  </si>
  <si>
    <t>220KV_220KV PGCIL No.-02  Load Transfer on TBC</t>
  </si>
  <si>
    <t>220KV_ITARSI</t>
  </si>
  <si>
    <t>OCCM-MP</t>
  </si>
  <si>
    <t>Load Transfer on PGCIL No.2 on TBC for Relay work</t>
  </si>
  <si>
    <t>12-11-2025 09:00:00</t>
  </si>
  <si>
    <t>J.D.Khoria</t>
  </si>
  <si>
    <t>9425804975</t>
  </si>
  <si>
    <t>MR2511/0246</t>
  </si>
  <si>
    <t>220KV_160 MVA BBL NO. 2 TRANSFORMER</t>
  </si>
  <si>
    <t>220KV_JABALPUR</t>
  </si>
  <si>
    <t>POST MANSOON MANTENANC &amp; TESTING WORK</t>
  </si>
  <si>
    <t>DEWANAND PODDAR</t>
  </si>
  <si>
    <t>9425805034</t>
  </si>
  <si>
    <t>MR2511/0056</t>
  </si>
  <si>
    <t>132KV_132kv Jaora - Daloda line</t>
  </si>
  <si>
    <t>220KV_JAORA</t>
  </si>
  <si>
    <t>construction works of LILO of Jaora â¿¿ Daloda 132kv</t>
  </si>
  <si>
    <t>Kumar Vishal</t>
  </si>
  <si>
    <t>9425805018</t>
  </si>
  <si>
    <t>400KV_400KV KATNI - DAMOH LINE</t>
  </si>
  <si>
    <t>400KV_KATNI4</t>
  </si>
  <si>
    <t>MR2510/0548</t>
  </si>
  <si>
    <t>MR2510/0552</t>
  </si>
  <si>
    <t>MR2511/0255</t>
  </si>
  <si>
    <t>132KV_132 KV Chhatarpur tap khajuraho</t>
  </si>
  <si>
    <t>132KV_LAUNDI</t>
  </si>
  <si>
    <t>FOR CT TAN DELTA MEASUREMENT</t>
  </si>
  <si>
    <t>13-11-2025 11:00:00</t>
  </si>
  <si>
    <t>BRAJENDRA SONI</t>
  </si>
  <si>
    <t>9131327770</t>
  </si>
  <si>
    <t>MR2511/0245</t>
  </si>
  <si>
    <t>132KV_132KV Nagda-Mahidpur Ckt-II Line</t>
  </si>
  <si>
    <t>220KV_NAGDA</t>
  </si>
  <si>
    <t>Defective disc insulator Replacement work.</t>
  </si>
  <si>
    <t>Kamal Solanki</t>
  </si>
  <si>
    <t>9425805262</t>
  </si>
  <si>
    <t>MR2511/0242</t>
  </si>
  <si>
    <t>132KV_132KV Nagda-Mahidpur Ckt-I Line</t>
  </si>
  <si>
    <t>MR2511/0180</t>
  </si>
  <si>
    <t>220KV_Only Main CB of Nagda-Nagra ckt-2 bay</t>
  </si>
  <si>
    <t>400KV_NAGDA4</t>
  </si>
  <si>
    <t>For replacement of main CB of nagra ckt-2 bay</t>
  </si>
  <si>
    <t>30-11-2025 17:00:00</t>
  </si>
  <si>
    <t>Sunil Bamniya</t>
  </si>
  <si>
    <t>9425820045</t>
  </si>
  <si>
    <t>MR2511/0249</t>
  </si>
  <si>
    <t>400KV_Only 50MVAR line reactor of 400kv Badnawar ckt-1 make-BHEL</t>
  </si>
  <si>
    <t>Post monsoon maintenance and testing work</t>
  </si>
  <si>
    <t>MR2511/0243</t>
  </si>
  <si>
    <t>220KV_Pandhurna Betul PGCIL</t>
  </si>
  <si>
    <t>220KV_PANDHURNA</t>
  </si>
  <si>
    <t>Bird Guard Installation work</t>
  </si>
  <si>
    <t>SHIV KUMAR</t>
  </si>
  <si>
    <t>9425806917</t>
  </si>
  <si>
    <t>MR2510/0204</t>
  </si>
  <si>
    <t>400KV_400KV Rajgarh-SSP Ckt-1</t>
  </si>
  <si>
    <t>400KV_RAJGARH-PG</t>
  </si>
  <si>
    <t>old disc insulator replacement work</t>
  </si>
  <si>
    <t>01-11-2025 08:00:00</t>
  </si>
  <si>
    <t>V.R.panadia</t>
  </si>
  <si>
    <t>8120516165</t>
  </si>
  <si>
    <t>MR2511/0026</t>
  </si>
  <si>
    <t>132KV_132KV REWA-RAMPUR NAIKIN CKT</t>
  </si>
  <si>
    <t>220KV_REWA</t>
  </si>
  <si>
    <t>OPGW HOT LINE WORK</t>
  </si>
  <si>
    <t>MR2509/0135</t>
  </si>
  <si>
    <t>400KV_400KV Bus Coupler (Bus-I)</t>
  </si>
  <si>
    <t>400KV_SATPURA TPS</t>
  </si>
  <si>
    <t>Work of rutine testing , DCRM testing of 400/220 K</t>
  </si>
  <si>
    <t>YASHWANT WARATHE</t>
  </si>
  <si>
    <t>9425611046</t>
  </si>
  <si>
    <t>MR2511/0244</t>
  </si>
  <si>
    <t>220KV_220/132KV 160 MVA X-mer-2 Make-BBL</t>
  </si>
  <si>
    <t>220KV_SEONI</t>
  </si>
  <si>
    <t>Post monsoon Maintenance &amp; testing work</t>
  </si>
  <si>
    <t>Shri C.S. Sanodiya</t>
  </si>
  <si>
    <t>9009798506</t>
  </si>
  <si>
    <t>MR2511/0238</t>
  </si>
  <si>
    <t>132KV_132kV Seoni Pench Ckt-IInd</t>
  </si>
  <si>
    <t>132KV_SEONI1</t>
  </si>
  <si>
    <t>Amol Shende</t>
  </si>
  <si>
    <t>7587951136</t>
  </si>
  <si>
    <t>MR2511/0025</t>
  </si>
  <si>
    <t>132KV_132KV REWA-Jhinna</t>
  </si>
  <si>
    <t>220KV_SIDHI</t>
  </si>
  <si>
    <t>MR2511/0254</t>
  </si>
  <si>
    <t>220KV_160 MVA 2nd BBL-Make Transformer</t>
  </si>
  <si>
    <t>220KV_TIKAMGARH</t>
  </si>
  <si>
    <t>Oil topping</t>
  </si>
  <si>
    <t>13-11-2025 12:00:00</t>
  </si>
  <si>
    <t>Pushpendra kumar soni</t>
  </si>
  <si>
    <t>9425806398</t>
  </si>
  <si>
    <t>MR2511/0239</t>
  </si>
  <si>
    <t>220KV_220 KV UJJAIN Nalkheda CKT  IInd</t>
  </si>
  <si>
    <t>400KV_UJJAIN4</t>
  </si>
  <si>
    <t>DPR RELAY TESTING WORK</t>
  </si>
  <si>
    <t>SANTOSH CHAVRASIA</t>
  </si>
  <si>
    <t>9425804677</t>
  </si>
  <si>
    <t>ok, through sub ld</t>
  </si>
  <si>
    <t>data confirmation required from communication</t>
  </si>
  <si>
    <t>sub ld</t>
  </si>
  <si>
    <t>Deferred, not in WR list</t>
  </si>
  <si>
    <t>ok</t>
  </si>
  <si>
    <t>ok, allowed from 7hrs to 14hrs</t>
  </si>
  <si>
    <t>Deferred, due to multiple outages at Satpura end</t>
  </si>
  <si>
    <t>Deferred, due to s/d on Depalpur x-mer</t>
  </si>
  <si>
    <t>400KV-INDORE-MP-INDORE-2</t>
  </si>
  <si>
    <t>Suspension Insulator string  replacement work Non auto mode of ckt 1 is required . Dia to be kept open at both ends.</t>
  </si>
  <si>
    <t xml:space="preserve">OK
400kV INDORE-MP-INDORE-PG-Q (Sensitivity of 45%) and All other lines at Indore-MP to be in service.No other element shall be effected. SLDC MP to be informed
</t>
  </si>
  <si>
    <t>400KV-BHOPAL-MP-ITARSI-2</t>
  </si>
  <si>
    <t>400KV-BINA-MP-GUNA-MP-1</t>
  </si>
  <si>
    <t>220KV-GWALIOR-MAHALGAON-2</t>
  </si>
  <si>
    <t>220KV-BETUL-PANDURNA-1</t>
  </si>
  <si>
    <t>SATPURA - 400KV - BUS 1</t>
  </si>
  <si>
    <t>KIRNAPUR - 400KV - BUS 1</t>
  </si>
  <si>
    <t>400KV-SSP-RAJGARH-1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</si>
  <si>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</si>
  <si>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</si>
  <si>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WORK OF ROUTINE TESTING ,DCRM TESTING OF 400 KV &amp; 220 KV BREAKERS ,GENERAL CHECKING &amp; MAINTENANCE OF 400KV BAY EQUIPMENTS</t>
  </si>
  <si>
    <t>for old disc replacement Work &amp; other line maintenance work</t>
  </si>
  <si>
    <t xml:space="preserve">REAL TIME
Ckt-1 to be in service with AR enabled. WR2 to be informed,. No other element shall be effected. care to be taken
</t>
  </si>
  <si>
    <t>REAL TIME
ckt-2 to be in service. Load to be managed by SLDC MP in case of any contingency.</t>
  </si>
  <si>
    <t xml:space="preserve">REAL TIME
Ckt-1 to be in service. SLDC MP to be informed. Load to be managed by SLDC MP
</t>
  </si>
  <si>
    <t xml:space="preserve">OK THROUGH SUB LD
All other lines at Pandurna to be in service with AR enabled. WR-2 to be informed. Load to be managed by SLDC MP.
</t>
  </si>
  <si>
    <t xml:space="preserve">OK
All elements to be in service with bus-2.  In case of N-1, all elements will be out. No other element shall be effected. Load to be managed by SLDC MP
</t>
  </si>
  <si>
    <t>REAL TIME
Ok. All Elements to be in service with Bus-2. In case of N-1 all elements will be out Load to be managed by SLDC MP</t>
  </si>
  <si>
    <t xml:space="preserve">OK THROUGHSUB LD
400kV SSP-RAJGARH-PG-T2 (Sensitivity of 27%) and All other ckts from SSP to be in service. WR2/SLDC GJ/NCA to be informed.
</t>
  </si>
  <si>
    <t>13-11-2025 18:59:00</t>
  </si>
  <si>
    <t>13-11-2025 17:59:00</t>
  </si>
  <si>
    <t>400KV/220KV MORENA-ICT-3</t>
  </si>
  <si>
    <t>AMP works, Dia to be kept open at both sides.</t>
  </si>
  <si>
    <t>400KV-KORADI-SATPURA-1</t>
  </si>
  <si>
    <t>For CT Replacement of 400KV-SATPURA-KORADI-1 under ADD CAP at MPGENCO SATPURA.Dia to be kept open at both ends.</t>
  </si>
  <si>
    <t>OK
Ok.400kV KORADI-BHUSAWAL-T1 Sensitivity of  23.00% and All other lines at Koradi - 400KV and SATPURA - 400KV to be in service with A/R Enabled. FTC procedure to be followed.</t>
  </si>
  <si>
    <t xml:space="preserve">OK
All other ICTs at Morena/Gwalior to be in service. SLDC MP to be informed. Load to be managed by SLDC MP
</t>
  </si>
  <si>
    <t>WR-OCCM</t>
  </si>
  <si>
    <t>PENCH</t>
  </si>
  <si>
    <t>CT REPLACEMENT</t>
  </si>
  <si>
    <t>13-11-2025 21:00:00</t>
  </si>
  <si>
    <t>OK</t>
  </si>
  <si>
    <t>OPPORTUNITY S/DWork for Re-sagging Loc 179 to 184 &amp; 184 to 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</si>
</sst>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10809]dd\-mm\-yyyy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205283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tabSelected="1" workbookViewId="0">
      <selection activeCell="O8" sqref="O8"/>
    </sheetView>
  </sheetViews>
  <sheetFormatPr defaultRowHeight="15" x14ac:dyDescent="0.25"/>
  <cols>
    <col min="1" max="1" width="6" customWidth="1"/>
    <col min="2" max="2" width="11.140625" customWidth="1"/>
    <col min="3" max="3" width="8.7109375" customWidth="1"/>
    <col min="4" max="4" width="7.140625" customWidth="1"/>
    <col min="5" max="5" width="28.85546875" style="5" customWidth="1"/>
    <col min="6" max="6" width="20.140625" customWidth="1"/>
    <col min="7" max="7" width="10.140625" customWidth="1"/>
    <col min="8" max="8" width="32" customWidth="1"/>
    <col min="9" max="9" width="11.5703125" customWidth="1"/>
    <col min="10" max="10" width="11" customWidth="1"/>
    <col min="11" max="11" width="8.5703125" customWidth="1"/>
    <col min="12" max="12" width="6.5703125" customWidth="1"/>
    <col min="13" max="13" width="36.28515625" customWidth="1"/>
  </cols>
  <sheetData>
    <row r="1" spans="1:13" ht="43.7" customHeight="1" x14ac:dyDescent="0.25">
      <c r="A1" s="1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42" customHeight="1" x14ac:dyDescent="0.25">
      <c r="A2" s="4" t="s">
        <v>1</v>
      </c>
      <c r="B2" s="2">
        <v>45974</v>
      </c>
      <c r="C2" s="1"/>
      <c r="D2" s="1"/>
      <c r="E2" s="9">
        <v>45974</v>
      </c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4" t="s">
        <v>2</v>
      </c>
      <c r="B3" s="4" t="s">
        <v>3</v>
      </c>
      <c r="C3" s="4" t="s">
        <v>4</v>
      </c>
      <c r="D3" s="4" t="s">
        <v>3</v>
      </c>
      <c r="E3" s="4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/>
      <c r="M4" s="4" t="s">
        <v>16</v>
      </c>
    </row>
    <row r="5" spans="1:13" ht="30" customHeight="1" x14ac:dyDescent="0.25">
      <c r="A5" s="4">
        <v>1</v>
      </c>
      <c r="B5" s="3">
        <v>45973.51494212963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4" t="s">
        <v>22</v>
      </c>
      <c r="J5" s="4" t="s">
        <v>23</v>
      </c>
      <c r="K5" s="4" t="s">
        <v>24</v>
      </c>
      <c r="L5" s="4" t="s">
        <v>25</v>
      </c>
      <c r="M5" s="4" t="s">
        <v>221</v>
      </c>
    </row>
    <row r="6" spans="1:13" ht="30" customHeight="1" x14ac:dyDescent="0.25">
      <c r="A6" s="4">
        <f>A5+1</f>
        <v>2</v>
      </c>
      <c r="B6" s="3">
        <v>45963.700092592589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20</v>
      </c>
      <c r="H6" s="4" t="s">
        <v>30</v>
      </c>
      <c r="I6" s="4" t="s">
        <v>31</v>
      </c>
      <c r="J6" s="4" t="s">
        <v>32</v>
      </c>
      <c r="K6" s="4" t="s">
        <v>33</v>
      </c>
      <c r="L6" s="4" t="s">
        <v>34</v>
      </c>
      <c r="M6" s="4" t="s">
        <v>216</v>
      </c>
    </row>
    <row r="7" spans="1:13" ht="30" customHeight="1" x14ac:dyDescent="0.25">
      <c r="A7" s="4">
        <f t="shared" ref="A7:A36" si="0">A6+1</f>
        <v>3</v>
      </c>
      <c r="B7" s="3">
        <v>45973.651828703703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4" t="s">
        <v>22</v>
      </c>
      <c r="J7" s="4" t="s">
        <v>39</v>
      </c>
      <c r="K7" s="4" t="s">
        <v>40</v>
      </c>
      <c r="L7" s="4" t="s">
        <v>41</v>
      </c>
      <c r="M7" s="4" t="s">
        <v>217</v>
      </c>
    </row>
    <row r="8" spans="1:13" ht="30" customHeight="1" x14ac:dyDescent="0.25">
      <c r="A8" s="4">
        <f t="shared" si="0"/>
        <v>4</v>
      </c>
      <c r="B8" s="3">
        <v>45973.514270833337</v>
      </c>
      <c r="C8" s="4" t="s">
        <v>42</v>
      </c>
      <c r="D8" s="4"/>
      <c r="E8" s="4" t="s">
        <v>43</v>
      </c>
      <c r="F8" s="4" t="s">
        <v>44</v>
      </c>
      <c r="G8" s="4" t="s">
        <v>20</v>
      </c>
      <c r="H8" s="4" t="s">
        <v>45</v>
      </c>
      <c r="I8" s="4" t="s">
        <v>46</v>
      </c>
      <c r="J8" s="4" t="s">
        <v>47</v>
      </c>
      <c r="K8" s="4" t="s">
        <v>48</v>
      </c>
      <c r="L8" s="4" t="s">
        <v>49</v>
      </c>
      <c r="M8" s="4" t="s">
        <v>217</v>
      </c>
    </row>
    <row r="9" spans="1:13" ht="30" customHeight="1" x14ac:dyDescent="0.25">
      <c r="A9" s="4">
        <f t="shared" si="0"/>
        <v>5</v>
      </c>
      <c r="B9" s="3">
        <v>45969.509305555555</v>
      </c>
      <c r="C9" s="4" t="s">
        <v>50</v>
      </c>
      <c r="D9" s="4"/>
      <c r="E9" s="4" t="s">
        <v>51</v>
      </c>
      <c r="F9" s="4" t="s">
        <v>52</v>
      </c>
      <c r="G9" s="4" t="s">
        <v>20</v>
      </c>
      <c r="H9" s="4" t="s">
        <v>53</v>
      </c>
      <c r="I9" s="4" t="s">
        <v>22</v>
      </c>
      <c r="J9" s="4" t="s">
        <v>54</v>
      </c>
      <c r="K9" s="4" t="s">
        <v>55</v>
      </c>
      <c r="L9" s="4" t="s">
        <v>56</v>
      </c>
      <c r="M9" s="4" t="s">
        <v>215</v>
      </c>
    </row>
    <row r="10" spans="1:13" ht="30" customHeight="1" x14ac:dyDescent="0.25">
      <c r="A10" s="4">
        <f t="shared" si="0"/>
        <v>6</v>
      </c>
      <c r="B10" s="3">
        <v>45965.554537037038</v>
      </c>
      <c r="C10" s="4" t="s">
        <v>57</v>
      </c>
      <c r="D10" s="4" t="s">
        <v>58</v>
      </c>
      <c r="E10" s="4" t="s">
        <v>59</v>
      </c>
      <c r="F10" s="4" t="s">
        <v>60</v>
      </c>
      <c r="G10" s="4" t="s">
        <v>20</v>
      </c>
      <c r="H10" s="4" t="s">
        <v>61</v>
      </c>
      <c r="I10" s="4" t="s">
        <v>46</v>
      </c>
      <c r="J10" s="4" t="s">
        <v>62</v>
      </c>
      <c r="K10" s="4" t="s">
        <v>63</v>
      </c>
      <c r="L10" s="4" t="s">
        <v>64</v>
      </c>
      <c r="M10" s="4" t="s">
        <v>218</v>
      </c>
    </row>
    <row r="11" spans="1:13" ht="30" customHeight="1" x14ac:dyDescent="0.25">
      <c r="A11" s="4">
        <f t="shared" si="0"/>
        <v>7</v>
      </c>
      <c r="B11" s="3">
        <v>45971.570925925924</v>
      </c>
      <c r="C11" s="4" t="s">
        <v>71</v>
      </c>
      <c r="D11" s="4"/>
      <c r="E11" s="4" t="s">
        <v>72</v>
      </c>
      <c r="F11" s="4" t="s">
        <v>73</v>
      </c>
      <c r="G11" s="4" t="s">
        <v>20</v>
      </c>
      <c r="H11" s="4" t="s">
        <v>74</v>
      </c>
      <c r="I11" s="4" t="s">
        <v>46</v>
      </c>
      <c r="J11" s="4" t="s">
        <v>75</v>
      </c>
      <c r="K11" s="4" t="s">
        <v>76</v>
      </c>
      <c r="L11" s="4" t="s">
        <v>77</v>
      </c>
      <c r="M11" s="4" t="s">
        <v>219</v>
      </c>
    </row>
    <row r="12" spans="1:13" ht="30" customHeight="1" x14ac:dyDescent="0.25">
      <c r="A12" s="4">
        <f t="shared" si="0"/>
        <v>8</v>
      </c>
      <c r="B12" s="3">
        <v>45973.647141203706</v>
      </c>
      <c r="C12" s="4" t="s">
        <v>83</v>
      </c>
      <c r="D12" s="4"/>
      <c r="E12" s="4" t="s">
        <v>78</v>
      </c>
      <c r="F12" s="4" t="s">
        <v>79</v>
      </c>
      <c r="G12" s="4" t="s">
        <v>20</v>
      </c>
      <c r="H12" s="4" t="s">
        <v>80</v>
      </c>
      <c r="I12" s="4" t="s">
        <v>46</v>
      </c>
      <c r="J12" s="4" t="s">
        <v>39</v>
      </c>
      <c r="K12" s="4" t="s">
        <v>81</v>
      </c>
      <c r="L12" s="4" t="s">
        <v>82</v>
      </c>
      <c r="M12" s="4" t="s">
        <v>215</v>
      </c>
    </row>
    <row r="13" spans="1:13" ht="30" customHeight="1" x14ac:dyDescent="0.25">
      <c r="A13" s="4">
        <f t="shared" si="0"/>
        <v>9</v>
      </c>
      <c r="B13" s="3">
        <v>45964.491226851853</v>
      </c>
      <c r="C13" s="4" t="s">
        <v>84</v>
      </c>
      <c r="D13" s="4" t="s">
        <v>27</v>
      </c>
      <c r="E13" s="4" t="s">
        <v>85</v>
      </c>
      <c r="F13" s="4" t="s">
        <v>86</v>
      </c>
      <c r="G13" s="4" t="s">
        <v>20</v>
      </c>
      <c r="H13" s="4" t="s">
        <v>87</v>
      </c>
      <c r="I13" s="4" t="s">
        <v>31</v>
      </c>
      <c r="J13" s="4" t="s">
        <v>32</v>
      </c>
      <c r="K13" s="4" t="s">
        <v>88</v>
      </c>
      <c r="L13" s="4" t="s">
        <v>34</v>
      </c>
      <c r="M13" s="4" t="s">
        <v>216</v>
      </c>
    </row>
    <row r="14" spans="1:13" ht="30" customHeight="1" x14ac:dyDescent="0.25">
      <c r="A14" s="4">
        <f t="shared" si="0"/>
        <v>10</v>
      </c>
      <c r="B14" s="3">
        <v>45964.492615740739</v>
      </c>
      <c r="C14" s="4" t="s">
        <v>89</v>
      </c>
      <c r="D14" s="4" t="s">
        <v>27</v>
      </c>
      <c r="E14" s="4" t="s">
        <v>90</v>
      </c>
      <c r="F14" s="4" t="s">
        <v>86</v>
      </c>
      <c r="G14" s="4" t="s">
        <v>20</v>
      </c>
      <c r="H14" s="4" t="s">
        <v>87</v>
      </c>
      <c r="I14" s="4" t="s">
        <v>31</v>
      </c>
      <c r="J14" s="4" t="s">
        <v>32</v>
      </c>
      <c r="K14" s="4" t="s">
        <v>88</v>
      </c>
      <c r="L14" s="4" t="s">
        <v>34</v>
      </c>
      <c r="M14" s="4" t="s">
        <v>216</v>
      </c>
    </row>
    <row r="15" spans="1:13" ht="30" customHeight="1" x14ac:dyDescent="0.25">
      <c r="A15" s="4">
        <f t="shared" si="0"/>
        <v>11</v>
      </c>
      <c r="B15" s="3">
        <v>45973.614942129629</v>
      </c>
      <c r="C15" s="4" t="s">
        <v>94</v>
      </c>
      <c r="D15" s="4"/>
      <c r="E15" s="4" t="s">
        <v>91</v>
      </c>
      <c r="F15" s="4" t="s">
        <v>92</v>
      </c>
      <c r="G15" s="4" t="s">
        <v>20</v>
      </c>
      <c r="H15" s="4" t="s">
        <v>95</v>
      </c>
      <c r="I15" s="4" t="s">
        <v>93</v>
      </c>
      <c r="J15" s="4" t="s">
        <v>39</v>
      </c>
      <c r="K15" s="4" t="s">
        <v>33</v>
      </c>
      <c r="L15" s="4" t="s">
        <v>34</v>
      </c>
      <c r="M15" s="4" t="s">
        <v>219</v>
      </c>
    </row>
    <row r="16" spans="1:13" ht="30" customHeight="1" x14ac:dyDescent="0.25">
      <c r="A16" s="4">
        <f t="shared" si="0"/>
        <v>12</v>
      </c>
      <c r="B16" s="3">
        <v>45973.632557870369</v>
      </c>
      <c r="C16" s="4" t="s">
        <v>96</v>
      </c>
      <c r="D16" s="4"/>
      <c r="E16" s="4" t="s">
        <v>97</v>
      </c>
      <c r="F16" s="4" t="s">
        <v>98</v>
      </c>
      <c r="G16" s="4" t="s">
        <v>20</v>
      </c>
      <c r="H16" s="4" t="s">
        <v>99</v>
      </c>
      <c r="I16" s="4" t="s">
        <v>46</v>
      </c>
      <c r="J16" s="4" t="s">
        <v>54</v>
      </c>
      <c r="K16" s="4" t="s">
        <v>100</v>
      </c>
      <c r="L16" s="4" t="s">
        <v>101</v>
      </c>
      <c r="M16" s="4" t="s">
        <v>219</v>
      </c>
    </row>
    <row r="17" spans="1:13" ht="30" customHeight="1" x14ac:dyDescent="0.25">
      <c r="A17" s="4">
        <f t="shared" si="0"/>
        <v>13</v>
      </c>
      <c r="B17" s="3">
        <v>45965.685717592591</v>
      </c>
      <c r="C17" s="4" t="s">
        <v>102</v>
      </c>
      <c r="D17" s="4"/>
      <c r="E17" s="4" t="s">
        <v>103</v>
      </c>
      <c r="F17" s="4" t="s">
        <v>104</v>
      </c>
      <c r="G17" s="4" t="s">
        <v>105</v>
      </c>
      <c r="H17" s="4" t="s">
        <v>106</v>
      </c>
      <c r="I17" s="4" t="s">
        <v>107</v>
      </c>
      <c r="J17" s="4" t="s">
        <v>54</v>
      </c>
      <c r="K17" s="4" t="s">
        <v>108</v>
      </c>
      <c r="L17" s="4" t="s">
        <v>109</v>
      </c>
      <c r="M17" s="4" t="s">
        <v>220</v>
      </c>
    </row>
    <row r="18" spans="1:13" ht="30" customHeight="1" x14ac:dyDescent="0.25">
      <c r="A18" s="4">
        <f t="shared" si="0"/>
        <v>14</v>
      </c>
      <c r="B18" s="3">
        <v>45973.692013888889</v>
      </c>
      <c r="C18" s="4" t="s">
        <v>110</v>
      </c>
      <c r="D18" s="4"/>
      <c r="E18" s="4" t="s">
        <v>111</v>
      </c>
      <c r="F18" s="4" t="s">
        <v>112</v>
      </c>
      <c r="G18" s="4" t="s">
        <v>105</v>
      </c>
      <c r="H18" s="4" t="s">
        <v>113</v>
      </c>
      <c r="I18" s="4" t="s">
        <v>46</v>
      </c>
      <c r="J18" s="4" t="s">
        <v>39</v>
      </c>
      <c r="K18" s="4" t="s">
        <v>114</v>
      </c>
      <c r="L18" s="4" t="s">
        <v>115</v>
      </c>
      <c r="M18" s="4" t="s">
        <v>222</v>
      </c>
    </row>
    <row r="19" spans="1:13" ht="30" customHeight="1" x14ac:dyDescent="0.25">
      <c r="A19" s="4">
        <f t="shared" si="0"/>
        <v>15</v>
      </c>
      <c r="B19" s="3">
        <v>45971.502696759257</v>
      </c>
      <c r="C19" s="4" t="s">
        <v>116</v>
      </c>
      <c r="D19" s="4" t="s">
        <v>58</v>
      </c>
      <c r="E19" s="4" t="s">
        <v>117</v>
      </c>
      <c r="F19" s="4" t="s">
        <v>118</v>
      </c>
      <c r="G19" s="4" t="s">
        <v>119</v>
      </c>
      <c r="H19" s="4" t="s">
        <v>120</v>
      </c>
      <c r="I19" s="4" t="s">
        <v>121</v>
      </c>
      <c r="J19" s="4" t="s">
        <v>62</v>
      </c>
      <c r="K19" s="4" t="s">
        <v>122</v>
      </c>
      <c r="L19" s="4" t="s">
        <v>123</v>
      </c>
      <c r="M19" s="4" t="s">
        <v>58</v>
      </c>
    </row>
    <row r="20" spans="1:13" ht="30" customHeight="1" x14ac:dyDescent="0.25">
      <c r="A20" s="4">
        <f t="shared" si="0"/>
        <v>16</v>
      </c>
      <c r="B20" s="3">
        <v>45973.611087962963</v>
      </c>
      <c r="C20" s="4" t="s">
        <v>124</v>
      </c>
      <c r="D20" s="4"/>
      <c r="E20" s="4" t="s">
        <v>125</v>
      </c>
      <c r="F20" s="4" t="s">
        <v>126</v>
      </c>
      <c r="G20" s="4" t="s">
        <v>20</v>
      </c>
      <c r="H20" s="4" t="s">
        <v>127</v>
      </c>
      <c r="I20" s="4" t="s">
        <v>22</v>
      </c>
      <c r="J20" s="4" t="s">
        <v>54</v>
      </c>
      <c r="K20" s="4" t="s">
        <v>128</v>
      </c>
      <c r="L20" s="4" t="s">
        <v>129</v>
      </c>
      <c r="M20" s="4" t="s">
        <v>219</v>
      </c>
    </row>
    <row r="21" spans="1:13" ht="30" customHeight="1" x14ac:dyDescent="0.25">
      <c r="A21" s="4">
        <f t="shared" si="0"/>
        <v>17</v>
      </c>
      <c r="B21" s="3">
        <v>45964.646423611113</v>
      </c>
      <c r="C21" s="4" t="s">
        <v>130</v>
      </c>
      <c r="D21" s="4" t="s">
        <v>58</v>
      </c>
      <c r="E21" s="4" t="s">
        <v>131</v>
      </c>
      <c r="F21" s="4" t="s">
        <v>132</v>
      </c>
      <c r="G21" s="4" t="s">
        <v>20</v>
      </c>
      <c r="H21" s="4" t="s">
        <v>133</v>
      </c>
      <c r="I21" s="4" t="s">
        <v>121</v>
      </c>
      <c r="J21" s="4" t="s">
        <v>39</v>
      </c>
      <c r="K21" s="4" t="s">
        <v>134</v>
      </c>
      <c r="L21" s="4" t="s">
        <v>135</v>
      </c>
      <c r="M21" s="4" t="s">
        <v>217</v>
      </c>
    </row>
    <row r="22" spans="1:13" ht="30" customHeight="1" x14ac:dyDescent="0.25">
      <c r="A22" s="4">
        <f t="shared" si="0"/>
        <v>18</v>
      </c>
      <c r="B22" s="3">
        <v>45953.710729166669</v>
      </c>
      <c r="C22" s="4" t="s">
        <v>138</v>
      </c>
      <c r="D22" s="4" t="s">
        <v>58</v>
      </c>
      <c r="E22" s="4" t="s">
        <v>65</v>
      </c>
      <c r="F22" s="4" t="s">
        <v>137</v>
      </c>
      <c r="G22" s="4" t="s">
        <v>20</v>
      </c>
      <c r="H22" s="4" t="s">
        <v>66</v>
      </c>
      <c r="I22" s="4" t="s">
        <v>67</v>
      </c>
      <c r="J22" s="4" t="s">
        <v>68</v>
      </c>
      <c r="K22" s="4" t="s">
        <v>70</v>
      </c>
      <c r="L22" s="4" t="s">
        <v>69</v>
      </c>
      <c r="M22" s="4" t="s">
        <v>58</v>
      </c>
    </row>
    <row r="23" spans="1:13" ht="30" customHeight="1" x14ac:dyDescent="0.25">
      <c r="A23" s="4">
        <f t="shared" si="0"/>
        <v>19</v>
      </c>
      <c r="B23" s="3">
        <v>45953.731956018521</v>
      </c>
      <c r="C23" s="4" t="s">
        <v>139</v>
      </c>
      <c r="D23" s="4" t="s">
        <v>58</v>
      </c>
      <c r="E23" s="4" t="s">
        <v>136</v>
      </c>
      <c r="F23" s="4" t="s">
        <v>137</v>
      </c>
      <c r="G23" s="4" t="s">
        <v>119</v>
      </c>
      <c r="H23" s="4" t="s">
        <v>66</v>
      </c>
      <c r="I23" s="4" t="s">
        <v>67</v>
      </c>
      <c r="J23" s="4" t="s">
        <v>68</v>
      </c>
      <c r="K23" s="4" t="s">
        <v>70</v>
      </c>
      <c r="L23" s="4" t="s">
        <v>69</v>
      </c>
      <c r="M23" s="4" t="s">
        <v>58</v>
      </c>
    </row>
    <row r="24" spans="1:13" ht="30" customHeight="1" x14ac:dyDescent="0.25">
      <c r="A24" s="4">
        <f t="shared" si="0"/>
        <v>20</v>
      </c>
      <c r="B24" s="3">
        <v>45973.688715277778</v>
      </c>
      <c r="C24" s="4" t="s">
        <v>140</v>
      </c>
      <c r="D24" s="4"/>
      <c r="E24" s="4" t="s">
        <v>141</v>
      </c>
      <c r="F24" s="4" t="s">
        <v>142</v>
      </c>
      <c r="G24" s="4" t="s">
        <v>20</v>
      </c>
      <c r="H24" s="4" t="s">
        <v>143</v>
      </c>
      <c r="I24" s="4" t="s">
        <v>144</v>
      </c>
      <c r="J24" s="4" t="s">
        <v>47</v>
      </c>
      <c r="K24" s="4" t="s">
        <v>145</v>
      </c>
      <c r="L24" s="4" t="s">
        <v>146</v>
      </c>
      <c r="M24" s="4" t="s">
        <v>219</v>
      </c>
    </row>
    <row r="25" spans="1:13" ht="30" customHeight="1" x14ac:dyDescent="0.25">
      <c r="A25" s="4">
        <f t="shared" si="0"/>
        <v>21</v>
      </c>
      <c r="B25" s="3">
        <v>45973.546273148146</v>
      </c>
      <c r="C25" s="4" t="s">
        <v>147</v>
      </c>
      <c r="D25" s="4"/>
      <c r="E25" s="4" t="s">
        <v>148</v>
      </c>
      <c r="F25" s="4" t="s">
        <v>149</v>
      </c>
      <c r="G25" s="4" t="s">
        <v>20</v>
      </c>
      <c r="H25" s="4" t="s">
        <v>150</v>
      </c>
      <c r="I25" s="4" t="s">
        <v>22</v>
      </c>
      <c r="J25" s="4" t="s">
        <v>54</v>
      </c>
      <c r="K25" s="4" t="s">
        <v>151</v>
      </c>
      <c r="L25" s="4" t="s">
        <v>152</v>
      </c>
      <c r="M25" s="4" t="s">
        <v>217</v>
      </c>
    </row>
    <row r="26" spans="1:13" ht="30" customHeight="1" x14ac:dyDescent="0.25">
      <c r="A26" s="4">
        <f t="shared" si="0"/>
        <v>22</v>
      </c>
      <c r="B26" s="3">
        <v>45973.52107638889</v>
      </c>
      <c r="C26" s="4" t="s">
        <v>153</v>
      </c>
      <c r="D26" s="4"/>
      <c r="E26" s="4" t="s">
        <v>154</v>
      </c>
      <c r="F26" s="4" t="s">
        <v>149</v>
      </c>
      <c r="G26" s="4" t="s">
        <v>20</v>
      </c>
      <c r="H26" s="4" t="s">
        <v>150</v>
      </c>
      <c r="I26" s="4" t="s">
        <v>22</v>
      </c>
      <c r="J26" s="4" t="s">
        <v>54</v>
      </c>
      <c r="K26" s="4" t="s">
        <v>151</v>
      </c>
      <c r="L26" s="4" t="s">
        <v>152</v>
      </c>
      <c r="M26" s="4" t="s">
        <v>217</v>
      </c>
    </row>
    <row r="27" spans="1:13" ht="33" customHeight="1" x14ac:dyDescent="0.25">
      <c r="A27" s="4">
        <f t="shared" si="0"/>
        <v>23</v>
      </c>
      <c r="B27" s="3">
        <v>45970.434675925928</v>
      </c>
      <c r="C27" s="4" t="s">
        <v>155</v>
      </c>
      <c r="D27" s="4" t="s">
        <v>58</v>
      </c>
      <c r="E27" s="4" t="s">
        <v>156</v>
      </c>
      <c r="F27" s="4" t="s">
        <v>157</v>
      </c>
      <c r="G27" s="4" t="s">
        <v>20</v>
      </c>
      <c r="H27" s="4" t="s">
        <v>158</v>
      </c>
      <c r="I27" s="4" t="s">
        <v>67</v>
      </c>
      <c r="J27" s="4" t="s">
        <v>159</v>
      </c>
      <c r="K27" s="4" t="s">
        <v>160</v>
      </c>
      <c r="L27" s="4" t="s">
        <v>161</v>
      </c>
      <c r="M27" s="4" t="s">
        <v>58</v>
      </c>
    </row>
    <row r="28" spans="1:13" ht="46.5" customHeight="1" x14ac:dyDescent="0.25">
      <c r="A28" s="4">
        <f t="shared" si="0"/>
        <v>24</v>
      </c>
      <c r="B28" s="3">
        <v>45973.622083333335</v>
      </c>
      <c r="C28" s="4" t="s">
        <v>162</v>
      </c>
      <c r="D28" s="4"/>
      <c r="E28" s="4" t="s">
        <v>163</v>
      </c>
      <c r="F28" s="4" t="s">
        <v>157</v>
      </c>
      <c r="G28" s="4" t="s">
        <v>20</v>
      </c>
      <c r="H28" s="4" t="s">
        <v>164</v>
      </c>
      <c r="I28" s="4" t="s">
        <v>46</v>
      </c>
      <c r="J28" s="4" t="s">
        <v>39</v>
      </c>
      <c r="K28" s="4" t="s">
        <v>160</v>
      </c>
      <c r="L28" s="4" t="s">
        <v>161</v>
      </c>
      <c r="M28" s="4" t="s">
        <v>215</v>
      </c>
    </row>
    <row r="29" spans="1:13" ht="30" customHeight="1" x14ac:dyDescent="0.25">
      <c r="A29" s="4">
        <f t="shared" si="0"/>
        <v>25</v>
      </c>
      <c r="B29" s="3">
        <v>45973.532511574071</v>
      </c>
      <c r="C29" s="4" t="s">
        <v>165</v>
      </c>
      <c r="D29" s="4"/>
      <c r="E29" s="4" t="s">
        <v>166</v>
      </c>
      <c r="F29" s="4" t="s">
        <v>167</v>
      </c>
      <c r="G29" s="4" t="s">
        <v>119</v>
      </c>
      <c r="H29" s="4" t="s">
        <v>168</v>
      </c>
      <c r="I29" s="4" t="s">
        <v>22</v>
      </c>
      <c r="J29" s="4" t="s">
        <v>39</v>
      </c>
      <c r="K29" s="4" t="s">
        <v>169</v>
      </c>
      <c r="L29" s="4" t="s">
        <v>170</v>
      </c>
      <c r="M29" s="4" t="s">
        <v>215</v>
      </c>
    </row>
    <row r="30" spans="1:13" ht="30" customHeight="1" x14ac:dyDescent="0.25">
      <c r="A30" s="4">
        <f t="shared" si="0"/>
        <v>26</v>
      </c>
      <c r="B30" s="3">
        <v>45938.521956018521</v>
      </c>
      <c r="C30" s="4" t="s">
        <v>171</v>
      </c>
      <c r="D30" s="4" t="s">
        <v>27</v>
      </c>
      <c r="E30" s="4" t="s">
        <v>172</v>
      </c>
      <c r="F30" s="4" t="s">
        <v>173</v>
      </c>
      <c r="G30" s="4" t="s">
        <v>105</v>
      </c>
      <c r="H30" s="4" t="s">
        <v>174</v>
      </c>
      <c r="I30" s="4" t="s">
        <v>175</v>
      </c>
      <c r="J30" s="4" t="s">
        <v>68</v>
      </c>
      <c r="K30" s="4" t="s">
        <v>176</v>
      </c>
      <c r="L30" s="4" t="s">
        <v>177</v>
      </c>
      <c r="M30" s="4" t="s">
        <v>215</v>
      </c>
    </row>
    <row r="31" spans="1:13" ht="30" customHeight="1" x14ac:dyDescent="0.25">
      <c r="A31" s="4">
        <f t="shared" si="0"/>
        <v>27</v>
      </c>
      <c r="B31" s="3">
        <v>45963.714502314811</v>
      </c>
      <c r="C31" s="4" t="s">
        <v>178</v>
      </c>
      <c r="D31" s="4" t="s">
        <v>27</v>
      </c>
      <c r="E31" s="4" t="s">
        <v>179</v>
      </c>
      <c r="F31" s="4" t="s">
        <v>180</v>
      </c>
      <c r="G31" s="4" t="s">
        <v>20</v>
      </c>
      <c r="H31" s="4" t="s">
        <v>181</v>
      </c>
      <c r="I31" s="4" t="s">
        <v>31</v>
      </c>
      <c r="J31" s="4" t="s">
        <v>32</v>
      </c>
      <c r="K31" s="4" t="s">
        <v>33</v>
      </c>
      <c r="L31" s="4" t="s">
        <v>34</v>
      </c>
      <c r="M31" s="4" t="s">
        <v>216</v>
      </c>
    </row>
    <row r="32" spans="1:13" ht="30" customHeight="1" x14ac:dyDescent="0.25">
      <c r="A32" s="4">
        <f t="shared" si="0"/>
        <v>28</v>
      </c>
      <c r="B32" s="3">
        <v>45905.757604166669</v>
      </c>
      <c r="C32" s="4" t="s">
        <v>182</v>
      </c>
      <c r="D32" s="4"/>
      <c r="E32" s="4" t="s">
        <v>183</v>
      </c>
      <c r="F32" s="4" t="s">
        <v>184</v>
      </c>
      <c r="G32" s="4" t="s">
        <v>20</v>
      </c>
      <c r="H32" s="4" t="s">
        <v>185</v>
      </c>
      <c r="I32" s="4" t="s">
        <v>22</v>
      </c>
      <c r="J32" s="4" t="s">
        <v>54</v>
      </c>
      <c r="K32" s="4" t="s">
        <v>186</v>
      </c>
      <c r="L32" s="4" t="s">
        <v>187</v>
      </c>
      <c r="M32" s="4" t="s">
        <v>219</v>
      </c>
    </row>
    <row r="33" spans="1:13" ht="30" customHeight="1" x14ac:dyDescent="0.25">
      <c r="A33" s="4">
        <f t="shared" ref="A33:A35" si="1">A32+1</f>
        <v>29</v>
      </c>
      <c r="B33" s="3">
        <v>45973.535150462965</v>
      </c>
      <c r="C33" s="4" t="s">
        <v>188</v>
      </c>
      <c r="D33" s="4"/>
      <c r="E33" s="4" t="s">
        <v>189</v>
      </c>
      <c r="F33" s="4" t="s">
        <v>190</v>
      </c>
      <c r="G33" s="4" t="s">
        <v>20</v>
      </c>
      <c r="H33" s="4" t="s">
        <v>191</v>
      </c>
      <c r="I33" s="4" t="s">
        <v>22</v>
      </c>
      <c r="J33" s="4" t="s">
        <v>54</v>
      </c>
      <c r="K33" s="4" t="s">
        <v>192</v>
      </c>
      <c r="L33" s="4" t="s">
        <v>193</v>
      </c>
      <c r="M33" s="4" t="s">
        <v>219</v>
      </c>
    </row>
    <row r="34" spans="1:13" ht="30" customHeight="1" x14ac:dyDescent="0.25">
      <c r="A34" s="4">
        <f t="shared" si="1"/>
        <v>30</v>
      </c>
      <c r="B34" s="3"/>
      <c r="C34" s="4"/>
      <c r="D34" s="4"/>
      <c r="E34" s="4" t="s">
        <v>195</v>
      </c>
      <c r="F34" s="4" t="s">
        <v>253</v>
      </c>
      <c r="G34" s="4" t="s">
        <v>20</v>
      </c>
      <c r="H34" s="4" t="s">
        <v>254</v>
      </c>
      <c r="I34" s="13" t="s">
        <v>22</v>
      </c>
      <c r="J34" s="13" t="s">
        <v>255</v>
      </c>
      <c r="K34" s="4"/>
      <c r="L34" s="4"/>
      <c r="M34" s="4" t="s">
        <v>256</v>
      </c>
    </row>
    <row r="35" spans="1:13" ht="39" customHeight="1" x14ac:dyDescent="0.25">
      <c r="A35" s="4">
        <f t="shared" si="1"/>
        <v>31</v>
      </c>
      <c r="B35" s="3">
        <v>45973.450092592589</v>
      </c>
      <c r="C35" s="4" t="s">
        <v>194</v>
      </c>
      <c r="D35" s="4" t="s">
        <v>27</v>
      </c>
      <c r="E35" s="4" t="s">
        <v>195</v>
      </c>
      <c r="F35" s="4" t="s">
        <v>196</v>
      </c>
      <c r="G35" s="4" t="s">
        <v>20</v>
      </c>
      <c r="H35" s="14" t="s">
        <v>257</v>
      </c>
      <c r="I35" s="4" t="s">
        <v>93</v>
      </c>
      <c r="J35" s="4" t="s">
        <v>68</v>
      </c>
      <c r="K35" s="4" t="s">
        <v>197</v>
      </c>
      <c r="L35" s="4" t="s">
        <v>198</v>
      </c>
      <c r="M35" s="4" t="s">
        <v>219</v>
      </c>
    </row>
    <row r="36" spans="1:13" ht="30" customHeight="1" x14ac:dyDescent="0.25">
      <c r="A36" s="4">
        <f t="shared" si="0"/>
        <v>32</v>
      </c>
      <c r="B36" s="3">
        <v>45963.711967592593</v>
      </c>
      <c r="C36" s="4" t="s">
        <v>199</v>
      </c>
      <c r="D36" s="4" t="s">
        <v>27</v>
      </c>
      <c r="E36" s="4" t="s">
        <v>200</v>
      </c>
      <c r="F36" s="4" t="s">
        <v>201</v>
      </c>
      <c r="G36" s="4" t="s">
        <v>20</v>
      </c>
      <c r="H36" s="4" t="s">
        <v>181</v>
      </c>
      <c r="I36" s="4" t="s">
        <v>31</v>
      </c>
      <c r="J36" s="4" t="s">
        <v>32</v>
      </c>
      <c r="K36" s="4" t="s">
        <v>33</v>
      </c>
      <c r="L36" s="4" t="s">
        <v>34</v>
      </c>
      <c r="M36" s="4" t="s">
        <v>216</v>
      </c>
    </row>
    <row r="37" spans="1:13" ht="30" customHeight="1" x14ac:dyDescent="0.25">
      <c r="A37" s="4">
        <f t="shared" ref="A37" si="2">A36+1</f>
        <v>33</v>
      </c>
      <c r="B37" s="3">
        <v>45973.664120370369</v>
      </c>
      <c r="C37" s="4" t="s">
        <v>202</v>
      </c>
      <c r="D37" s="4"/>
      <c r="E37" s="4" t="s">
        <v>203</v>
      </c>
      <c r="F37" s="4" t="s">
        <v>204</v>
      </c>
      <c r="G37" s="4" t="s">
        <v>20</v>
      </c>
      <c r="H37" s="4" t="s">
        <v>205</v>
      </c>
      <c r="I37" s="4" t="s">
        <v>46</v>
      </c>
      <c r="J37" s="4" t="s">
        <v>206</v>
      </c>
      <c r="K37" s="4" t="s">
        <v>207</v>
      </c>
      <c r="L37" s="4" t="s">
        <v>208</v>
      </c>
      <c r="M37" s="4" t="s">
        <v>219</v>
      </c>
    </row>
    <row r="38" spans="1:13" ht="30" customHeight="1" x14ac:dyDescent="0.25">
      <c r="A38" s="4">
        <f t="shared" ref="A38:A48" si="3">A37+1</f>
        <v>34</v>
      </c>
      <c r="B38" s="3">
        <v>45973.490555555552</v>
      </c>
      <c r="C38" s="4" t="s">
        <v>209</v>
      </c>
      <c r="D38" s="4"/>
      <c r="E38" s="4" t="s">
        <v>210</v>
      </c>
      <c r="F38" s="4" t="s">
        <v>211</v>
      </c>
      <c r="G38" s="4" t="s">
        <v>105</v>
      </c>
      <c r="H38" s="4" t="s">
        <v>212</v>
      </c>
      <c r="I38" s="4" t="s">
        <v>46</v>
      </c>
      <c r="J38" s="4" t="s">
        <v>39</v>
      </c>
      <c r="K38" s="4" t="s">
        <v>213</v>
      </c>
      <c r="L38" s="4" t="s">
        <v>214</v>
      </c>
      <c r="M38" s="4" t="s">
        <v>215</v>
      </c>
    </row>
    <row r="39" spans="1:13" ht="63" customHeight="1" x14ac:dyDescent="0.25">
      <c r="A39" s="4">
        <f t="shared" si="3"/>
        <v>35</v>
      </c>
      <c r="B39" s="3"/>
      <c r="C39" s="10">
        <v>269982</v>
      </c>
      <c r="D39" s="4"/>
      <c r="E39" s="10" t="s">
        <v>223</v>
      </c>
      <c r="F39" s="4"/>
      <c r="G39" s="4" t="s">
        <v>252</v>
      </c>
      <c r="H39" s="11" t="s">
        <v>224</v>
      </c>
      <c r="I39" s="4" t="s">
        <v>22</v>
      </c>
      <c r="J39" s="4" t="s">
        <v>54</v>
      </c>
      <c r="K39" s="4"/>
      <c r="L39" s="4"/>
      <c r="M39" s="11" t="s">
        <v>225</v>
      </c>
    </row>
    <row r="40" spans="1:13" ht="72" customHeight="1" x14ac:dyDescent="0.25">
      <c r="A40" s="4">
        <f t="shared" si="3"/>
        <v>36</v>
      </c>
      <c r="B40" s="3"/>
      <c r="C40" s="10">
        <v>269411</v>
      </c>
      <c r="D40" s="4"/>
      <c r="E40" s="10" t="s">
        <v>226</v>
      </c>
      <c r="F40" s="4"/>
      <c r="G40" s="4" t="s">
        <v>252</v>
      </c>
      <c r="H40" s="11" t="s">
        <v>233</v>
      </c>
      <c r="I40" s="4" t="s">
        <v>22</v>
      </c>
      <c r="J40" s="4" t="s">
        <v>54</v>
      </c>
      <c r="K40" s="4"/>
      <c r="L40" s="4"/>
      <c r="M40" s="10" t="s">
        <v>237</v>
      </c>
    </row>
    <row r="41" spans="1:13" ht="55.5" customHeight="1" x14ac:dyDescent="0.25">
      <c r="A41" s="4">
        <f t="shared" si="3"/>
        <v>37</v>
      </c>
      <c r="B41" s="3"/>
      <c r="C41" s="10">
        <v>269414</v>
      </c>
      <c r="D41" s="4"/>
      <c r="E41" s="10" t="s">
        <v>227</v>
      </c>
      <c r="F41" s="4"/>
      <c r="G41" s="4" t="s">
        <v>252</v>
      </c>
      <c r="H41" s="11" t="s">
        <v>233</v>
      </c>
      <c r="I41" s="4" t="s">
        <v>22</v>
      </c>
      <c r="J41" s="13" t="s">
        <v>39</v>
      </c>
      <c r="K41" s="4"/>
      <c r="L41" s="4"/>
      <c r="M41" s="12" t="s">
        <v>238</v>
      </c>
    </row>
    <row r="42" spans="1:13" ht="54" customHeight="1" x14ac:dyDescent="0.25">
      <c r="A42" s="4">
        <f t="shared" si="3"/>
        <v>38</v>
      </c>
      <c r="B42" s="3"/>
      <c r="C42" s="10">
        <v>269447</v>
      </c>
      <c r="D42" s="4"/>
      <c r="E42" s="10" t="s">
        <v>228</v>
      </c>
      <c r="F42" s="4"/>
      <c r="G42" s="4" t="s">
        <v>252</v>
      </c>
      <c r="H42" s="11" t="s">
        <v>233</v>
      </c>
      <c r="I42" s="4" t="s">
        <v>22</v>
      </c>
      <c r="J42" s="13" t="s">
        <v>39</v>
      </c>
      <c r="K42" s="4"/>
      <c r="L42" s="4"/>
      <c r="M42" s="10" t="s">
        <v>239</v>
      </c>
    </row>
    <row r="43" spans="1:13" ht="57.75" customHeight="1" x14ac:dyDescent="0.25">
      <c r="A43" s="4">
        <f t="shared" si="3"/>
        <v>39</v>
      </c>
      <c r="B43" s="3"/>
      <c r="C43" s="10">
        <v>269448</v>
      </c>
      <c r="D43" s="4"/>
      <c r="E43" s="10" t="s">
        <v>229</v>
      </c>
      <c r="F43" s="4"/>
      <c r="G43" s="4" t="s">
        <v>252</v>
      </c>
      <c r="H43" s="11" t="s">
        <v>234</v>
      </c>
      <c r="I43" s="4" t="s">
        <v>22</v>
      </c>
      <c r="J43" s="13" t="s">
        <v>39</v>
      </c>
      <c r="K43" s="4"/>
      <c r="L43" s="4"/>
      <c r="M43" s="10" t="s">
        <v>240</v>
      </c>
    </row>
    <row r="44" spans="1:13" ht="60" customHeight="1" x14ac:dyDescent="0.25">
      <c r="A44" s="4">
        <f t="shared" si="3"/>
        <v>40</v>
      </c>
      <c r="B44" s="3"/>
      <c r="C44" s="10">
        <v>270537</v>
      </c>
      <c r="D44" s="4"/>
      <c r="E44" s="10" t="s">
        <v>230</v>
      </c>
      <c r="F44" s="4"/>
      <c r="G44" s="4" t="s">
        <v>252</v>
      </c>
      <c r="H44" s="11" t="s">
        <v>235</v>
      </c>
      <c r="I44" s="4" t="s">
        <v>22</v>
      </c>
      <c r="J44" s="13" t="s">
        <v>244</v>
      </c>
      <c r="K44" s="4"/>
      <c r="L44" s="4"/>
      <c r="M44" s="10" t="s">
        <v>241</v>
      </c>
    </row>
    <row r="45" spans="1:13" ht="52.5" customHeight="1" x14ac:dyDescent="0.25">
      <c r="A45" s="4">
        <f t="shared" si="3"/>
        <v>41</v>
      </c>
      <c r="B45" s="3"/>
      <c r="C45" s="10">
        <v>270540</v>
      </c>
      <c r="D45" s="4"/>
      <c r="E45" s="10" t="s">
        <v>231</v>
      </c>
      <c r="F45" s="4"/>
      <c r="G45" s="4" t="s">
        <v>252</v>
      </c>
      <c r="H45" s="11" t="s">
        <v>235</v>
      </c>
      <c r="I45" s="4" t="s">
        <v>22</v>
      </c>
      <c r="J45" s="13" t="s">
        <v>245</v>
      </c>
      <c r="K45" s="4"/>
      <c r="L45" s="4"/>
      <c r="M45" s="10" t="s">
        <v>242</v>
      </c>
    </row>
    <row r="46" spans="1:13" ht="56.25" customHeight="1" x14ac:dyDescent="0.25">
      <c r="A46" s="4">
        <f t="shared" si="3"/>
        <v>42</v>
      </c>
      <c r="B46" s="3"/>
      <c r="C46" s="10">
        <v>272697</v>
      </c>
      <c r="D46" s="4"/>
      <c r="E46" s="10" t="s">
        <v>232</v>
      </c>
      <c r="F46" s="4"/>
      <c r="G46" s="4" t="s">
        <v>252</v>
      </c>
      <c r="H46" s="11" t="s">
        <v>236</v>
      </c>
      <c r="I46" s="13" t="s">
        <v>93</v>
      </c>
      <c r="J46" s="13" t="s">
        <v>245</v>
      </c>
      <c r="K46" s="4"/>
      <c r="L46" s="4"/>
      <c r="M46" s="10" t="s">
        <v>243</v>
      </c>
    </row>
    <row r="47" spans="1:13" ht="69.75" customHeight="1" x14ac:dyDescent="0.25">
      <c r="A47" s="4">
        <f t="shared" si="3"/>
        <v>43</v>
      </c>
      <c r="B47" s="3"/>
      <c r="C47" s="10">
        <v>269055</v>
      </c>
      <c r="D47" s="4"/>
      <c r="E47" s="10" t="s">
        <v>246</v>
      </c>
      <c r="F47" s="4"/>
      <c r="G47" s="4" t="s">
        <v>252</v>
      </c>
      <c r="H47" s="11" t="s">
        <v>247</v>
      </c>
      <c r="I47" s="4" t="s">
        <v>22</v>
      </c>
      <c r="J47" s="4" t="s">
        <v>54</v>
      </c>
      <c r="K47" s="4"/>
      <c r="L47" s="4"/>
      <c r="M47" s="10" t="s">
        <v>251</v>
      </c>
    </row>
    <row r="48" spans="1:13" ht="93.75" customHeight="1" x14ac:dyDescent="0.25">
      <c r="A48" s="4">
        <f t="shared" si="3"/>
        <v>44</v>
      </c>
      <c r="B48" s="3"/>
      <c r="C48" s="10">
        <v>270401</v>
      </c>
      <c r="D48" s="4"/>
      <c r="E48" s="10" t="s">
        <v>248</v>
      </c>
      <c r="F48" s="4"/>
      <c r="G48" s="4" t="s">
        <v>252</v>
      </c>
      <c r="H48" s="11" t="s">
        <v>249</v>
      </c>
      <c r="I48" s="13" t="s">
        <v>121</v>
      </c>
      <c r="J48" s="13" t="s">
        <v>68</v>
      </c>
      <c r="K48" s="4"/>
      <c r="L48" s="4"/>
      <c r="M48" s="10" t="s">
        <v>250</v>
      </c>
    </row>
    <row r="49" spans="1:13" ht="18" customHeight="1" x14ac:dyDescent="0.25">
      <c r="A49" s="4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</sheetData>
  <mergeCells count="1">
    <mergeCell ref="B1:M1"/>
  </mergeCells>
  <pageMargins left="3.937007874015748E-2" right="3.937007874015748E-2" top="3.937007874015748E-2" bottom="3.937007874015748E-2" header="3.937007874015748E-2" footer="3.937007874015748E-2"/>
  <pageSetup paperSize="9" scale="7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cp:lastPrinted>2025-11-12T13:58:46Z</cp:lastPrinted>
  <dcterms:created xsi:type="dcterms:W3CDTF">2025-11-12T11:27:06Z</dcterms:created>
  <dcterms:modified xsi:type="dcterms:W3CDTF">2025-11-12T14:07:42Z</dcterms:modified>
</cp:coreProperties>
</file>
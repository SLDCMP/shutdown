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0" yWindow="0" windowWidth="28800" windowHeight="11805"/>
  </bookViews>
  <sheets>
    <sheet name="Sheet0" sheetId="1" r:id="rId1"/>
  </sheets>
  <definedNames>
    <definedName name="__bookmark_1">Sheet0!$A$1:$M$30</definedName>
  </definedNames>
  <calcPr calcId="162913"/>
</workbook>
</file>

<file path=xl/calcChain.xml><?xml version="1.0" encoding="utf-8"?>
<calcChain xmlns="http://schemas.openxmlformats.org/spreadsheetml/2006/main">
  <c r="A31" i="1" l="1"/>
  <c r="A32" i="1" s="1"/>
  <c r="A33" i="1" s="1"/>
  <c r="A34" i="1" s="1"/>
  <c r="A35" i="1" s="1"/>
  <c r="A36" i="1" s="1"/>
  <c r="A37" i="1" s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</calcChain>
</file>

<file path=xl/sharedStrings.xml><?xml version="1.0" encoding="utf-8"?>
<sst xmlns="http://schemas.openxmlformats.org/spreadsheetml/2006/main" count="346" uniqueCount="200">
  <si>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</si>
  <si>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</si>
  <si>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</si>
  <si>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</si>
  <si>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</si>
  <si>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</si>
  <si>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</si>
  <si>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</si>
  <si>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</si>
  <si>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</si>
  <si>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</si>
  <si>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</si>
  <si>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</si>
  <si>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</si>
  <si>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</si>
  <si>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</si>
  <si>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</si>
  <si>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MR2511/0023</t>
  </si>
  <si>
    <t>Daily</t>
  </si>
  <si>
    <t>132KV_BEOHARI-RAMPUR NAIKEN_Ckt</t>
  </si>
  <si>
    <t>132KV_BEOHARI</t>
  </si>
  <si>
    <t>NON-OCCM-MP</t>
  </si>
  <si>
    <t>HOT LINE OPGW WORK</t>
  </si>
  <si>
    <t>03-11-2025 07:00:00</t>
  </si>
  <si>
    <t>30-11-2025 19:00:00</t>
  </si>
  <si>
    <t>G.L SAHU</t>
  </si>
  <si>
    <t>9425805102</t>
  </si>
  <si>
    <t>MR2511/0598</t>
  </si>
  <si>
    <t>Continuous</t>
  </si>
  <si>
    <t>132KV_132 KV Bhopal Bairagarh Lalghati Tap line Off from Bhopal end only</t>
  </si>
  <si>
    <t>220KV_BHOPAL</t>
  </si>
  <si>
    <t>Structure erection work for New 200 MVA Xmer</t>
  </si>
  <si>
    <t>28-11-2025 12:00:00</t>
  </si>
  <si>
    <t>02-12-2025 17:00:00</t>
  </si>
  <si>
    <t>A K Jain</t>
  </si>
  <si>
    <t>9425806899</t>
  </si>
  <si>
    <t>MR2511/0599</t>
  </si>
  <si>
    <t>220KV_220 KV Bus 2 PT</t>
  </si>
  <si>
    <t>Safe clearance for structure erection work</t>
  </si>
  <si>
    <t>28-11-2025 09:00:00</t>
  </si>
  <si>
    <t>220KV_220kV Bhopal-Ganjbasoda ckt</t>
  </si>
  <si>
    <t>400KV_BHOPAL4</t>
  </si>
  <si>
    <t>20-12-2025 18:00:00</t>
  </si>
  <si>
    <t>Rajkumar Bhusare</t>
  </si>
  <si>
    <t>9425820042</t>
  </si>
  <si>
    <t>MR2511/0587</t>
  </si>
  <si>
    <t>For 35 year old disc insulator replace.work.</t>
  </si>
  <si>
    <t>MR2511/0611</t>
  </si>
  <si>
    <t>400KV_50MVAR Bus Reactor(BHEL)</t>
  </si>
  <si>
    <t>400KV_BINA4</t>
  </si>
  <si>
    <t>Oil leakage attend work</t>
  </si>
  <si>
    <t>29-11-2025 08:00:00</t>
  </si>
  <si>
    <t>29-11-2025 17:00:00</t>
  </si>
  <si>
    <t>Mr. P.N. Namdev</t>
  </si>
  <si>
    <t>7587951092</t>
  </si>
  <si>
    <t>220KV_220KV DAMOH - KATNI LINE</t>
  </si>
  <si>
    <t>TOWER STRENGTHENING WORK</t>
  </si>
  <si>
    <t>24-11-2025 09:00:00</t>
  </si>
  <si>
    <t>29-11-2025 18:00:00</t>
  </si>
  <si>
    <t>M.M. BAIG</t>
  </si>
  <si>
    <t>9425805067</t>
  </si>
  <si>
    <t>MR2511/0030</t>
  </si>
  <si>
    <t>132KV_132kV - Deolond - Beohari Ckt</t>
  </si>
  <si>
    <t>132KV_DEVLOND</t>
  </si>
  <si>
    <t>OPGW Work</t>
  </si>
  <si>
    <t>G.L Sahu</t>
  </si>
  <si>
    <t>MR2511/0031</t>
  </si>
  <si>
    <t>132KV_132kV Deolond - Jhinna Ckt</t>
  </si>
  <si>
    <t>MR2511/0617</t>
  </si>
  <si>
    <t>132KV_132 kV Shahdol-Dindori Circuit II</t>
  </si>
  <si>
    <t>132KV_DINDORI</t>
  </si>
  <si>
    <t>For F/o disc stringing replacement and other line</t>
  </si>
  <si>
    <t>29-11-2025 10:30:00</t>
  </si>
  <si>
    <t>Jitendra Tiwari</t>
  </si>
  <si>
    <t>9425805298</t>
  </si>
  <si>
    <t>MR2511/0603</t>
  </si>
  <si>
    <t>220KV_Sarni-Itarsi Ckt. III</t>
  </si>
  <si>
    <t>220KV_ITARSI</t>
  </si>
  <si>
    <t>For OPGW Stringing Work</t>
  </si>
  <si>
    <t>01-12-2025 17:00:00</t>
  </si>
  <si>
    <t>Atul Nabar</t>
  </si>
  <si>
    <t>9425805129</t>
  </si>
  <si>
    <t>MR2511/0604</t>
  </si>
  <si>
    <t>220KV_Sarni-Itarsi Ckt. IV</t>
  </si>
  <si>
    <t>MR2511/0612</t>
  </si>
  <si>
    <t>132KV_132 kV Jabalpur- Madhotal ckt-I</t>
  </si>
  <si>
    <t>220KV_JABALPUR</t>
  </si>
  <si>
    <t>stringing work at loc. 30R, 31R &amp; 32R.</t>
  </si>
  <si>
    <t>28-11-2025 16:00:00</t>
  </si>
  <si>
    <t>05-12-2025 16:00:00</t>
  </si>
  <si>
    <t>MR2511/0613</t>
  </si>
  <si>
    <t>220KV_132 kV Jabalpur- Madhotal ckt-II</t>
  </si>
  <si>
    <t>MR2511/0614</t>
  </si>
  <si>
    <t>220KV_220 kV Jabalpur- Birsinghpur ckt-I</t>
  </si>
  <si>
    <t>Disc F/o change at loc. 61 Middle Ph</t>
  </si>
  <si>
    <t>29-11-2025 10:00:00</t>
  </si>
  <si>
    <t>400KV_KATNI4</t>
  </si>
  <si>
    <t>OCCM-MP</t>
  </si>
  <si>
    <t>MR2510/0488</t>
  </si>
  <si>
    <t>400KV_400KV KATNI - DAMOH LINE</t>
  </si>
  <si>
    <t>MR2510/0550</t>
  </si>
  <si>
    <t>MR2511/0621</t>
  </si>
  <si>
    <t>132KV_132 KV 40 MVA ECE</t>
  </si>
  <si>
    <t>132KV_KATRA</t>
  </si>
  <si>
    <t>For painting work</t>
  </si>
  <si>
    <t>29-11-2025 09:00:00</t>
  </si>
  <si>
    <t>Mr. Kanishka Singh</t>
  </si>
  <si>
    <t>9425804656</t>
  </si>
  <si>
    <t>MR2511/0180</t>
  </si>
  <si>
    <t>220KV_Only Main CB of Nagda-Nagra ckt-2 bay</t>
  </si>
  <si>
    <t>400KV_NAGDA4</t>
  </si>
  <si>
    <t>For replacement of main CB of nagra ckt-2 bay</t>
  </si>
  <si>
    <t>10-11-2025 09:00:00</t>
  </si>
  <si>
    <t>30-11-2025 17:00:00</t>
  </si>
  <si>
    <t>Sunil Bamniya</t>
  </si>
  <si>
    <t>9425820045</t>
  </si>
  <si>
    <t>MR2511/0616</t>
  </si>
  <si>
    <t>220KV_Chhindwara- Pandhurna</t>
  </si>
  <si>
    <t>220KV_PANDHURNA</t>
  </si>
  <si>
    <t>F/O disc replacement &amp; other line maint. work</t>
  </si>
  <si>
    <t>SHIV KUMAR</t>
  </si>
  <si>
    <t>9425806917</t>
  </si>
  <si>
    <t>MR2510/0205</t>
  </si>
  <si>
    <t>400KV_400KV Rajgarh- SSP Ckt-2</t>
  </si>
  <si>
    <t>400KV_RAJGARH-PG</t>
  </si>
  <si>
    <t>NON-OCCM-WR</t>
  </si>
  <si>
    <t>Old disc insulator replacement work</t>
  </si>
  <si>
    <t>16-11-2025 08:00:00</t>
  </si>
  <si>
    <t>30-11-2025 18:00:00</t>
  </si>
  <si>
    <t>V.RPanadia</t>
  </si>
  <si>
    <t>8120516165</t>
  </si>
  <si>
    <t>MR2511/0026</t>
  </si>
  <si>
    <t>132KV_132KV REWA-RAMPUR NAIKIN CKT</t>
  </si>
  <si>
    <t>220KV_REWA</t>
  </si>
  <si>
    <t>OPGW HOT LINE WORK</t>
  </si>
  <si>
    <t>MR2511/0615</t>
  </si>
  <si>
    <t>132KV_132kv Sabalgarh Motijheel Line</t>
  </si>
  <si>
    <t>220KV_SABALGARH</t>
  </si>
  <si>
    <t>Line Maintenance work</t>
  </si>
  <si>
    <t>SURAJ PAWAR</t>
  </si>
  <si>
    <t>9425814079</t>
  </si>
  <si>
    <t>MR2511/0484</t>
  </si>
  <si>
    <t>400KV_SARNI INDIRASAGAR LINE</t>
  </si>
  <si>
    <t>400KV_SATPURA TPS</t>
  </si>
  <si>
    <t>OPGW STRINGING WORK</t>
  </si>
  <si>
    <t>25-11-2025 07:00:00</t>
  </si>
  <si>
    <t>25-12-2025 19:00:00</t>
  </si>
  <si>
    <t>MR2511/0622</t>
  </si>
  <si>
    <t>132KV_132kV Sidhi - Deosar Ckt - I</t>
  </si>
  <si>
    <t>220KV_SIDHI</t>
  </si>
  <si>
    <t>other line maintenance work.</t>
  </si>
  <si>
    <t>29-11-2025 09:30:00</t>
  </si>
  <si>
    <t>MR2511/0025</t>
  </si>
  <si>
    <t>132KV_132KV REWA-Jhinna</t>
  </si>
  <si>
    <t>MR2511/0620</t>
  </si>
  <si>
    <t>220KV_Shut down on 220kV Tikamgarh-Damoh (PGCIL) Line.</t>
  </si>
  <si>
    <t>220KV_TIKAMGARH</t>
  </si>
  <si>
    <t>Slip VD removable / Loose AH Tightening</t>
  </si>
  <si>
    <t>Manoj Kumar Tiwari</t>
  </si>
  <si>
    <t>9425804993</t>
  </si>
  <si>
    <t>MR2511/0618</t>
  </si>
  <si>
    <t>132KV_132KV Alot-Jharla Ckt-I Line</t>
  </si>
  <si>
    <t>132KV_ZARDA</t>
  </si>
  <si>
    <t>F/o Polymer Insulator replacement work</t>
  </si>
  <si>
    <t>Kamal Solanki</t>
  </si>
  <si>
    <t>9425805262</t>
  </si>
  <si>
    <t>data confirmation required from communication</t>
  </si>
  <si>
    <t>sub ld</t>
  </si>
  <si>
    <t>ok, through sub ld</t>
  </si>
  <si>
    <t>ok, line to be in service</t>
  </si>
  <si>
    <t>ok</t>
  </si>
  <si>
    <t>ok, all other ckts at Pandhurna to be in service</t>
  </si>
  <si>
    <t>deferred by site</t>
  </si>
  <si>
    <t>not being availed by site</t>
  </si>
  <si>
    <t>ok, o&amp;m shall be informed</t>
  </si>
  <si>
    <t>deferred due to high load and constraints</t>
  </si>
  <si>
    <t>APPROVED OUTAGE LIST FOR DATED 29.11.2025</t>
  </si>
  <si>
    <t>220KV-DAMOH-TIKAMGAD-1</t>
  </si>
  <si>
    <t>29-Nov-2025</t>
  </si>
  <si>
    <t>09:00</t>
  </si>
  <si>
    <t>18:00</t>
  </si>
  <si>
    <t>FOR LINE MAINTENANCE WORK i.e. CLEANING OF DISC INSULATORS DURING LINE PATROLLING , REPLACEMENT OF FLASHOVERED DISC INSULATORS, TREE BRANCH CUTTING ETC AT VARIOUS TOWER LOCATIONS</t>
  </si>
  <si>
    <t>220KV-PITHAMPUR-RAJGARH-1</t>
  </si>
  <si>
    <t>08:00</t>
  </si>
  <si>
    <t>real time</t>
  </si>
  <si>
    <t>132KV-VSTPS-WAIDHAN-2</t>
  </si>
  <si>
    <t>17:00</t>
  </si>
  <si>
    <t>220KV-MORENA-MORENA-MP-1</t>
  </si>
  <si>
    <t>09:30</t>
  </si>
  <si>
    <t>18:30</t>
  </si>
  <si>
    <t>LA, Line isolator, CVT, CT and CB annual maintenance work</t>
  </si>
  <si>
    <t>400KV/220KV INDORE-ICT-1</t>
  </si>
  <si>
    <t>ICT AMP WORK , Dia to be kept open at both sides.</t>
  </si>
  <si>
    <t>400KV/220KV GUNA-MP-ICT-1</t>
  </si>
  <si>
    <t>500VA ICT-1 Shutdown taken for Meachanical body protection (OSR, PRV, WTI &amp; OTI) Implementation as per IOM. Dia to be kept open at both sides.</t>
  </si>
  <si>
    <t>shall be reviewed in real time in view of t he high loading</t>
  </si>
  <si>
    <t>SEONI-PG - 220KV - BUS 2</t>
  </si>
  <si>
    <t>18:59</t>
  </si>
  <si>
    <t>Not availed on 21.11.2025 due to pre occupation of manpower in ICT-3 outage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</si>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</sst>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11"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b/>
      <sz val="20"/>
      <color rgb="FF000000"/>
      <name val="Arial"/>
      <family val="2"/>
    </font>
    <font>
      <sz val="11"/>
      <name val="Calibri"/>
      <family val="2"/>
      <scheme val="minor"/>
    </font>
    <font>
      <sz val="11"/>
      <color rgb="FF000000"/>
      <name val="Calibri"/>
      <family val="2"/>
    </font>
    <font>
      <sz val="10"/>
      <name val="Courier"/>
      <family val="3"/>
    </font>
    <font>
      <b/>
      <sz val="16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1">
    <xf numFmtId="0" fontId="0" fillId="0" borderId="0"/>
    <xf numFmtId="0" fontId="8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3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0" fontId="4" fillId="0" borderId="2" xfId="0" applyFont="1" applyBorder="1"/>
    <xf numFmtId="0" fontId="4" fillId="0" borderId="3" xfId="0" applyFont="1" applyBorder="1"/>
    <xf numFmtId="0" fontId="2" fillId="0" borderId="1" xfId="0" applyFont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64" fontId="5" fillId="0" borderId="6" xfId="0" applyNumberFormat="1" applyFont="1" applyBorder="1" applyAlignment="1">
      <alignment horizontal="center" vertical="center"/>
    </xf>
    <xf numFmtId="165" fontId="5" fillId="0" borderId="6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0" fillId="0" borderId="0" xfId="0"/>
    <xf numFmtId="0" fontId="7" fillId="4" borderId="5" xfId="0" applyFont="1" applyFill="1" applyBorder="1" applyAlignment="1">
      <alignment horizontal="center" vertical="center" wrapText="1"/>
    </xf>
    <xf numFmtId="0" fontId="0" fillId="4" borderId="5" xfId="0" applyFill="1" applyBorder="1"/>
    <xf numFmtId="0" fontId="0" fillId="4" borderId="5" xfId="0" applyFill="1" applyBorder="1" applyAlignment="1">
      <alignment horizontal="center" vertical="center" wrapText="1"/>
    </xf>
    <xf numFmtId="0" fontId="0" fillId="4" borderId="5" xfId="0" applyFill="1" applyBorder="1" applyAlignment="1">
      <alignment wrapText="1"/>
    </xf>
    <xf numFmtId="0" fontId="10" fillId="4" borderId="5" xfId="0" applyFont="1" applyFill="1" applyBorder="1" applyAlignment="1">
      <alignment horizontal="center"/>
    </xf>
  </cellXfs>
  <cellStyles count="11">
    <cellStyle name="Normal" xfId="0" builtinId="0"/>
    <cellStyle name="Normal 15" xfId="2"/>
    <cellStyle name="Normal 2" xfId="1"/>
    <cellStyle name="Normal 3" xfId="3"/>
    <cellStyle name="Normal 3 2" xfId="4"/>
    <cellStyle name="Normal 3 2 2" xfId="6"/>
    <cellStyle name="Normal 3 2 2 2" xfId="10"/>
    <cellStyle name="Normal 3 2 3" xfId="8"/>
    <cellStyle name="Normal 3 3" xfId="5"/>
    <cellStyle name="Normal 3 3 2" xfId="9"/>
    <cellStyle name="Normal 3 4" xfId="7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8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E2" sqref="E2:L2"/>
    </sheetView>
  </sheetViews>
  <sheetFormatPr defaultRowHeight="15"/>
  <cols>
    <col min="2" max="2" width="11.140625" customWidth="1"/>
    <col min="3" max="3" width="13.42578125" customWidth="1"/>
    <col min="4" max="4" width="11" customWidth="1"/>
    <col min="5" max="5" width="57.42578125" style="12" customWidth="1"/>
    <col min="6" max="6" width="17.5703125" customWidth="1"/>
    <col min="7" max="7" width="15.7109375" customWidth="1"/>
    <col min="8" max="8" width="43.7109375" customWidth="1"/>
    <col min="9" max="10" width="19.5703125" customWidth="1"/>
    <col min="11" max="11" width="17.42578125" customWidth="1"/>
    <col min="12" max="12" width="12" customWidth="1"/>
    <col min="13" max="13" width="60.42578125" customWidth="1"/>
  </cols>
  <sheetData>
    <row r="1" spans="1:13" ht="43.7" customHeight="1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ht="42" customHeight="1">
      <c r="A2" s="1" t="s">
        <v>1</v>
      </c>
      <c r="B2" s="2">
        <v>45990</v>
      </c>
      <c r="C2" s="1"/>
      <c r="D2" s="1"/>
      <c r="E2" s="17" t="s">
        <v>176</v>
      </c>
      <c r="F2" s="18"/>
      <c r="G2" s="18"/>
      <c r="H2" s="18"/>
      <c r="I2" s="18"/>
      <c r="J2" s="18"/>
      <c r="K2" s="18"/>
      <c r="L2" s="19"/>
      <c r="M2" s="1"/>
    </row>
    <row r="3" spans="1:13" ht="42" customHeight="1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1"/>
    </row>
    <row r="4" spans="1:13" ht="42" customHeight="1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6" t="s">
        <v>15</v>
      </c>
      <c r="L4" s="15"/>
      <c r="M4" s="3" t="s">
        <v>16</v>
      </c>
    </row>
    <row r="5" spans="1:13" ht="41.25" customHeight="1">
      <c r="A5" s="4">
        <v>1</v>
      </c>
      <c r="B5" s="5">
        <v>45963.700092592589</v>
      </c>
      <c r="C5" s="4" t="s">
        <v>17</v>
      </c>
      <c r="D5" s="4" t="s">
        <v>18</v>
      </c>
      <c r="E5" s="11" t="s">
        <v>19</v>
      </c>
      <c r="F5" s="4" t="s">
        <v>20</v>
      </c>
      <c r="G5" s="4" t="s">
        <v>21</v>
      </c>
      <c r="H5" s="4" t="s">
        <v>22</v>
      </c>
      <c r="I5" s="6" t="s">
        <v>23</v>
      </c>
      <c r="J5" s="6" t="s">
        <v>24</v>
      </c>
      <c r="K5" s="7" t="s">
        <v>25</v>
      </c>
      <c r="L5" s="8" t="s">
        <v>26</v>
      </c>
      <c r="M5" s="4" t="s">
        <v>166</v>
      </c>
    </row>
    <row r="6" spans="1:13" ht="41.25" customHeight="1">
      <c r="A6" s="4">
        <f>A5+1</f>
        <v>2</v>
      </c>
      <c r="B6" s="5">
        <v>45988.643414351849</v>
      </c>
      <c r="C6" s="4" t="s">
        <v>27</v>
      </c>
      <c r="D6" s="4" t="s">
        <v>28</v>
      </c>
      <c r="E6" s="11" t="s">
        <v>29</v>
      </c>
      <c r="F6" s="4" t="s">
        <v>30</v>
      </c>
      <c r="G6" s="4" t="s">
        <v>21</v>
      </c>
      <c r="H6" s="4" t="s">
        <v>31</v>
      </c>
      <c r="I6" s="6" t="s">
        <v>32</v>
      </c>
      <c r="J6" s="6" t="s">
        <v>33</v>
      </c>
      <c r="K6" s="7" t="s">
        <v>34</v>
      </c>
      <c r="L6" s="8" t="s">
        <v>35</v>
      </c>
      <c r="M6" s="4" t="s">
        <v>167</v>
      </c>
    </row>
    <row r="7" spans="1:13" ht="41.25" customHeight="1">
      <c r="A7" s="4">
        <f t="shared" ref="A7:A37" si="0">A6+1</f>
        <v>3</v>
      </c>
      <c r="B7" s="5">
        <v>45988.653032407405</v>
      </c>
      <c r="C7" s="4" t="s">
        <v>36</v>
      </c>
      <c r="D7" s="4" t="s">
        <v>28</v>
      </c>
      <c r="E7" s="11" t="s">
        <v>37</v>
      </c>
      <c r="F7" s="4" t="s">
        <v>30</v>
      </c>
      <c r="G7" s="4" t="s">
        <v>21</v>
      </c>
      <c r="H7" s="4" t="s">
        <v>38</v>
      </c>
      <c r="I7" s="6" t="s">
        <v>39</v>
      </c>
      <c r="J7" s="6" t="s">
        <v>33</v>
      </c>
      <c r="K7" s="7" t="s">
        <v>34</v>
      </c>
      <c r="L7" s="8" t="s">
        <v>35</v>
      </c>
      <c r="M7" s="4" t="s">
        <v>28</v>
      </c>
    </row>
    <row r="8" spans="1:13" ht="41.25" customHeight="1">
      <c r="A8" s="4">
        <f t="shared" si="0"/>
        <v>4</v>
      </c>
      <c r="B8" s="5">
        <v>45988.581759259258</v>
      </c>
      <c r="C8" s="4" t="s">
        <v>45</v>
      </c>
      <c r="D8" s="4" t="s">
        <v>18</v>
      </c>
      <c r="E8" s="11" t="s">
        <v>40</v>
      </c>
      <c r="F8" s="4" t="s">
        <v>41</v>
      </c>
      <c r="G8" s="4" t="s">
        <v>21</v>
      </c>
      <c r="H8" s="4" t="s">
        <v>46</v>
      </c>
      <c r="I8" s="6" t="s">
        <v>39</v>
      </c>
      <c r="J8" s="6" t="s">
        <v>42</v>
      </c>
      <c r="K8" s="7" t="s">
        <v>43</v>
      </c>
      <c r="L8" s="8" t="s">
        <v>44</v>
      </c>
      <c r="M8" s="4" t="s">
        <v>168</v>
      </c>
    </row>
    <row r="9" spans="1:13" ht="41.25" customHeight="1">
      <c r="A9" s="4">
        <f t="shared" si="0"/>
        <v>5</v>
      </c>
      <c r="B9" s="5">
        <v>45989.513865740744</v>
      </c>
      <c r="C9" s="4" t="s">
        <v>47</v>
      </c>
      <c r="D9" s="4"/>
      <c r="E9" s="11" t="s">
        <v>48</v>
      </c>
      <c r="F9" s="4" t="s">
        <v>49</v>
      </c>
      <c r="G9" s="4" t="s">
        <v>21</v>
      </c>
      <c r="H9" s="4" t="s">
        <v>50</v>
      </c>
      <c r="I9" s="6" t="s">
        <v>51</v>
      </c>
      <c r="J9" s="6" t="s">
        <v>52</v>
      </c>
      <c r="K9" s="7" t="s">
        <v>53</v>
      </c>
      <c r="L9" s="8" t="s">
        <v>54</v>
      </c>
      <c r="M9" s="4" t="s">
        <v>168</v>
      </c>
    </row>
    <row r="10" spans="1:13" ht="41.25" customHeight="1">
      <c r="A10" s="4">
        <f t="shared" si="0"/>
        <v>6</v>
      </c>
      <c r="B10" s="5">
        <v>45964.491226851853</v>
      </c>
      <c r="C10" s="4" t="s">
        <v>61</v>
      </c>
      <c r="D10" s="4" t="s">
        <v>18</v>
      </c>
      <c r="E10" s="11" t="s">
        <v>62</v>
      </c>
      <c r="F10" s="4" t="s">
        <v>63</v>
      </c>
      <c r="G10" s="4" t="s">
        <v>21</v>
      </c>
      <c r="H10" s="4" t="s">
        <v>64</v>
      </c>
      <c r="I10" s="6" t="s">
        <v>23</v>
      </c>
      <c r="J10" s="6" t="s">
        <v>24</v>
      </c>
      <c r="K10" s="7" t="s">
        <v>65</v>
      </c>
      <c r="L10" s="8" t="s">
        <v>26</v>
      </c>
      <c r="M10" s="4" t="s">
        <v>166</v>
      </c>
    </row>
    <row r="11" spans="1:13" ht="41.25" customHeight="1">
      <c r="A11" s="4">
        <f t="shared" si="0"/>
        <v>7</v>
      </c>
      <c r="B11" s="5">
        <v>45964.492615740739</v>
      </c>
      <c r="C11" s="4" t="s">
        <v>66</v>
      </c>
      <c r="D11" s="4" t="s">
        <v>18</v>
      </c>
      <c r="E11" s="11" t="s">
        <v>67</v>
      </c>
      <c r="F11" s="4" t="s">
        <v>63</v>
      </c>
      <c r="G11" s="4" t="s">
        <v>21</v>
      </c>
      <c r="H11" s="4" t="s">
        <v>64</v>
      </c>
      <c r="I11" s="6" t="s">
        <v>23</v>
      </c>
      <c r="J11" s="6" t="s">
        <v>24</v>
      </c>
      <c r="K11" s="7" t="s">
        <v>65</v>
      </c>
      <c r="L11" s="8" t="s">
        <v>26</v>
      </c>
      <c r="M11" s="4" t="s">
        <v>166</v>
      </c>
    </row>
    <row r="12" spans="1:13" ht="41.25" customHeight="1">
      <c r="A12" s="4">
        <f t="shared" si="0"/>
        <v>8</v>
      </c>
      <c r="B12" s="5">
        <v>45989.577789351853</v>
      </c>
      <c r="C12" s="4" t="s">
        <v>68</v>
      </c>
      <c r="D12" s="4"/>
      <c r="E12" s="11" t="s">
        <v>69</v>
      </c>
      <c r="F12" s="4" t="s">
        <v>70</v>
      </c>
      <c r="G12" s="4" t="s">
        <v>21</v>
      </c>
      <c r="H12" s="4" t="s">
        <v>71</v>
      </c>
      <c r="I12" s="6" t="s">
        <v>72</v>
      </c>
      <c r="J12" s="6" t="s">
        <v>52</v>
      </c>
      <c r="K12" s="7" t="s">
        <v>73</v>
      </c>
      <c r="L12" s="8" t="s">
        <v>74</v>
      </c>
      <c r="M12" s="4" t="s">
        <v>175</v>
      </c>
    </row>
    <row r="13" spans="1:13" ht="41.25" customHeight="1">
      <c r="A13" s="4">
        <f t="shared" si="0"/>
        <v>9</v>
      </c>
      <c r="B13" s="5">
        <v>45988.672442129631</v>
      </c>
      <c r="C13" s="4" t="s">
        <v>75</v>
      </c>
      <c r="D13" s="4" t="s">
        <v>18</v>
      </c>
      <c r="E13" s="11" t="s">
        <v>76</v>
      </c>
      <c r="F13" s="4" t="s">
        <v>77</v>
      </c>
      <c r="G13" s="4" t="s">
        <v>21</v>
      </c>
      <c r="H13" s="4" t="s">
        <v>78</v>
      </c>
      <c r="I13" s="6" t="s">
        <v>39</v>
      </c>
      <c r="J13" s="6" t="s">
        <v>79</v>
      </c>
      <c r="K13" s="7" t="s">
        <v>80</v>
      </c>
      <c r="L13" s="8" t="s">
        <v>81</v>
      </c>
      <c r="M13" s="4" t="s">
        <v>169</v>
      </c>
    </row>
    <row r="14" spans="1:13" ht="41.25" customHeight="1">
      <c r="A14" s="4">
        <f t="shared" si="0"/>
        <v>10</v>
      </c>
      <c r="B14" s="5">
        <v>45988.674618055556</v>
      </c>
      <c r="C14" s="4" t="s">
        <v>82</v>
      </c>
      <c r="D14" s="4" t="s">
        <v>18</v>
      </c>
      <c r="E14" s="11" t="s">
        <v>83</v>
      </c>
      <c r="F14" s="4" t="s">
        <v>77</v>
      </c>
      <c r="G14" s="4" t="s">
        <v>21</v>
      </c>
      <c r="H14" s="4" t="s">
        <v>78</v>
      </c>
      <c r="I14" s="6" t="s">
        <v>39</v>
      </c>
      <c r="J14" s="6" t="s">
        <v>79</v>
      </c>
      <c r="K14" s="7" t="s">
        <v>80</v>
      </c>
      <c r="L14" s="8" t="s">
        <v>81</v>
      </c>
      <c r="M14" s="4" t="s">
        <v>169</v>
      </c>
    </row>
    <row r="15" spans="1:13" ht="41.25" customHeight="1">
      <c r="A15" s="4">
        <f t="shared" si="0"/>
        <v>11</v>
      </c>
      <c r="B15" s="5">
        <v>45989.529398148145</v>
      </c>
      <c r="C15" s="4" t="s">
        <v>84</v>
      </c>
      <c r="D15" s="4" t="s">
        <v>28</v>
      </c>
      <c r="E15" s="11" t="s">
        <v>85</v>
      </c>
      <c r="F15" s="4" t="s">
        <v>86</v>
      </c>
      <c r="G15" s="4" t="s">
        <v>21</v>
      </c>
      <c r="H15" s="4" t="s">
        <v>87</v>
      </c>
      <c r="I15" s="6" t="s">
        <v>88</v>
      </c>
      <c r="J15" s="6" t="s">
        <v>89</v>
      </c>
      <c r="K15" s="7" t="s">
        <v>73</v>
      </c>
      <c r="L15" s="8" t="s">
        <v>74</v>
      </c>
      <c r="M15" s="4" t="s">
        <v>28</v>
      </c>
    </row>
    <row r="16" spans="1:13" ht="41.25" customHeight="1">
      <c r="A16" s="4">
        <f t="shared" si="0"/>
        <v>12</v>
      </c>
      <c r="B16" s="5">
        <v>45989.530763888892</v>
      </c>
      <c r="C16" s="4" t="s">
        <v>90</v>
      </c>
      <c r="D16" s="4" t="s">
        <v>28</v>
      </c>
      <c r="E16" s="11" t="s">
        <v>91</v>
      </c>
      <c r="F16" s="4" t="s">
        <v>86</v>
      </c>
      <c r="G16" s="4" t="s">
        <v>21</v>
      </c>
      <c r="H16" s="4" t="s">
        <v>87</v>
      </c>
      <c r="I16" s="6" t="s">
        <v>88</v>
      </c>
      <c r="J16" s="6" t="s">
        <v>89</v>
      </c>
      <c r="K16" s="7" t="s">
        <v>73</v>
      </c>
      <c r="L16" s="8" t="s">
        <v>74</v>
      </c>
      <c r="M16" s="4" t="s">
        <v>28</v>
      </c>
    </row>
    <row r="17" spans="1:13" ht="41.25" customHeight="1">
      <c r="A17" s="4">
        <f t="shared" si="0"/>
        <v>13</v>
      </c>
      <c r="B17" s="5">
        <v>45989.539629629631</v>
      </c>
      <c r="C17" s="4" t="s">
        <v>92</v>
      </c>
      <c r="D17" s="4"/>
      <c r="E17" s="11" t="s">
        <v>93</v>
      </c>
      <c r="F17" s="4" t="s">
        <v>86</v>
      </c>
      <c r="G17" s="4" t="s">
        <v>21</v>
      </c>
      <c r="H17" s="4" t="s">
        <v>94</v>
      </c>
      <c r="I17" s="6" t="s">
        <v>95</v>
      </c>
      <c r="J17" s="6" t="s">
        <v>58</v>
      </c>
      <c r="K17" s="7" t="s">
        <v>73</v>
      </c>
      <c r="L17" s="8" t="s">
        <v>74</v>
      </c>
      <c r="M17" s="4" t="s">
        <v>170</v>
      </c>
    </row>
    <row r="18" spans="1:13" ht="41.25" customHeight="1">
      <c r="A18" s="4">
        <f t="shared" si="0"/>
        <v>14</v>
      </c>
      <c r="B18" s="5">
        <v>45946.770590277774</v>
      </c>
      <c r="C18" s="4" t="s">
        <v>98</v>
      </c>
      <c r="D18" s="4" t="s">
        <v>28</v>
      </c>
      <c r="E18" s="11" t="s">
        <v>99</v>
      </c>
      <c r="F18" s="4" t="s">
        <v>96</v>
      </c>
      <c r="G18" s="4" t="s">
        <v>97</v>
      </c>
      <c r="H18" s="4" t="s">
        <v>56</v>
      </c>
      <c r="I18" s="6" t="s">
        <v>57</v>
      </c>
      <c r="J18" s="6" t="s">
        <v>58</v>
      </c>
      <c r="K18" s="7" t="s">
        <v>59</v>
      </c>
      <c r="L18" s="8" t="s">
        <v>60</v>
      </c>
      <c r="M18" s="4" t="s">
        <v>28</v>
      </c>
    </row>
    <row r="19" spans="1:13" ht="41.25" customHeight="1">
      <c r="A19" s="4">
        <f t="shared" si="0"/>
        <v>15</v>
      </c>
      <c r="B19" s="5">
        <v>45953.714629629627</v>
      </c>
      <c r="C19" s="4" t="s">
        <v>100</v>
      </c>
      <c r="D19" s="4" t="s">
        <v>28</v>
      </c>
      <c r="E19" s="11" t="s">
        <v>55</v>
      </c>
      <c r="F19" s="4" t="s">
        <v>96</v>
      </c>
      <c r="G19" s="4" t="s">
        <v>21</v>
      </c>
      <c r="H19" s="4" t="s">
        <v>56</v>
      </c>
      <c r="I19" s="6" t="s">
        <v>57</v>
      </c>
      <c r="J19" s="6" t="s">
        <v>58</v>
      </c>
      <c r="K19" s="7" t="s">
        <v>59</v>
      </c>
      <c r="L19" s="8" t="s">
        <v>60</v>
      </c>
      <c r="M19" s="4" t="s">
        <v>28</v>
      </c>
    </row>
    <row r="20" spans="1:13" ht="41.25" customHeight="1">
      <c r="A20" s="4">
        <f t="shared" si="0"/>
        <v>16</v>
      </c>
      <c r="B20" s="5">
        <v>45989.607106481482</v>
      </c>
      <c r="C20" s="4" t="s">
        <v>101</v>
      </c>
      <c r="D20" s="4"/>
      <c r="E20" s="11" t="s">
        <v>102</v>
      </c>
      <c r="F20" s="4" t="s">
        <v>103</v>
      </c>
      <c r="G20" s="4" t="s">
        <v>21</v>
      </c>
      <c r="H20" s="4" t="s">
        <v>104</v>
      </c>
      <c r="I20" s="6" t="s">
        <v>105</v>
      </c>
      <c r="J20" s="6" t="s">
        <v>52</v>
      </c>
      <c r="K20" s="7" t="s">
        <v>106</v>
      </c>
      <c r="L20" s="8" t="s">
        <v>107</v>
      </c>
      <c r="M20" s="4" t="s">
        <v>170</v>
      </c>
    </row>
    <row r="21" spans="1:13" ht="41.25" customHeight="1">
      <c r="A21" s="4">
        <f t="shared" si="0"/>
        <v>17</v>
      </c>
      <c r="B21" s="5">
        <v>45970.434675925928</v>
      </c>
      <c r="C21" s="4" t="s">
        <v>108</v>
      </c>
      <c r="D21" s="4" t="s">
        <v>28</v>
      </c>
      <c r="E21" s="11" t="s">
        <v>109</v>
      </c>
      <c r="F21" s="4" t="s">
        <v>110</v>
      </c>
      <c r="G21" s="4" t="s">
        <v>21</v>
      </c>
      <c r="H21" s="4" t="s">
        <v>111</v>
      </c>
      <c r="I21" s="6" t="s">
        <v>112</v>
      </c>
      <c r="J21" s="6" t="s">
        <v>113</v>
      </c>
      <c r="K21" s="7" t="s">
        <v>114</v>
      </c>
      <c r="L21" s="8" t="s">
        <v>115</v>
      </c>
      <c r="M21" s="4" t="s">
        <v>28</v>
      </c>
    </row>
    <row r="22" spans="1:13" ht="41.25" customHeight="1">
      <c r="A22" s="4">
        <f t="shared" si="0"/>
        <v>18</v>
      </c>
      <c r="B22" s="5">
        <v>45989.569849537038</v>
      </c>
      <c r="C22" s="4" t="s">
        <v>116</v>
      </c>
      <c r="D22" s="4"/>
      <c r="E22" s="11" t="s">
        <v>117</v>
      </c>
      <c r="F22" s="4" t="s">
        <v>118</v>
      </c>
      <c r="G22" s="4" t="s">
        <v>21</v>
      </c>
      <c r="H22" s="4" t="s">
        <v>119</v>
      </c>
      <c r="I22" s="6" t="s">
        <v>105</v>
      </c>
      <c r="J22" s="6" t="s">
        <v>52</v>
      </c>
      <c r="K22" s="7" t="s">
        <v>120</v>
      </c>
      <c r="L22" s="8" t="s">
        <v>121</v>
      </c>
      <c r="M22" s="4" t="s">
        <v>171</v>
      </c>
    </row>
    <row r="23" spans="1:13" ht="41.25" customHeight="1">
      <c r="A23" s="4">
        <f t="shared" si="0"/>
        <v>19</v>
      </c>
      <c r="B23" s="5">
        <v>45938.524513888886</v>
      </c>
      <c r="C23" s="4" t="s">
        <v>122</v>
      </c>
      <c r="D23" s="4" t="s">
        <v>18</v>
      </c>
      <c r="E23" s="11" t="s">
        <v>123</v>
      </c>
      <c r="F23" s="4" t="s">
        <v>124</v>
      </c>
      <c r="G23" s="4" t="s">
        <v>125</v>
      </c>
      <c r="H23" s="4" t="s">
        <v>126</v>
      </c>
      <c r="I23" s="6" t="s">
        <v>127</v>
      </c>
      <c r="J23" s="6" t="s">
        <v>128</v>
      </c>
      <c r="K23" s="7" t="s">
        <v>129</v>
      </c>
      <c r="L23" s="8" t="s">
        <v>130</v>
      </c>
      <c r="M23" s="4" t="s">
        <v>172</v>
      </c>
    </row>
    <row r="24" spans="1:13" ht="41.25" customHeight="1">
      <c r="A24" s="4">
        <f t="shared" si="0"/>
        <v>20</v>
      </c>
      <c r="B24" s="5">
        <v>45963.714502314811</v>
      </c>
      <c r="C24" s="4" t="s">
        <v>131</v>
      </c>
      <c r="D24" s="4" t="s">
        <v>18</v>
      </c>
      <c r="E24" s="11" t="s">
        <v>132</v>
      </c>
      <c r="F24" s="4" t="s">
        <v>133</v>
      </c>
      <c r="G24" s="4" t="s">
        <v>21</v>
      </c>
      <c r="H24" s="4" t="s">
        <v>134</v>
      </c>
      <c r="I24" s="6" t="s">
        <v>23</v>
      </c>
      <c r="J24" s="6" t="s">
        <v>24</v>
      </c>
      <c r="K24" s="7" t="s">
        <v>25</v>
      </c>
      <c r="L24" s="8" t="s">
        <v>26</v>
      </c>
      <c r="M24" s="4" t="s">
        <v>166</v>
      </c>
    </row>
    <row r="25" spans="1:13" ht="41.25" customHeight="1">
      <c r="A25" s="4">
        <f t="shared" si="0"/>
        <v>21</v>
      </c>
      <c r="B25" s="5">
        <v>45989.542129629626</v>
      </c>
      <c r="C25" s="4" t="s">
        <v>135</v>
      </c>
      <c r="D25" s="4"/>
      <c r="E25" s="11" t="s">
        <v>136</v>
      </c>
      <c r="F25" s="4" t="s">
        <v>137</v>
      </c>
      <c r="G25" s="4" t="s">
        <v>21</v>
      </c>
      <c r="H25" s="4" t="s">
        <v>138</v>
      </c>
      <c r="I25" s="6" t="s">
        <v>95</v>
      </c>
      <c r="J25" s="6" t="s">
        <v>52</v>
      </c>
      <c r="K25" s="7" t="s">
        <v>139</v>
      </c>
      <c r="L25" s="8" t="s">
        <v>140</v>
      </c>
      <c r="M25" s="4" t="s">
        <v>167</v>
      </c>
    </row>
    <row r="26" spans="1:13" ht="41.25" customHeight="1">
      <c r="A26" s="4">
        <f t="shared" si="0"/>
        <v>22</v>
      </c>
      <c r="B26" s="5">
        <v>45982.62771990741</v>
      </c>
      <c r="C26" s="4" t="s">
        <v>141</v>
      </c>
      <c r="D26" s="4" t="s">
        <v>18</v>
      </c>
      <c r="E26" s="11" t="s">
        <v>142</v>
      </c>
      <c r="F26" s="4" t="s">
        <v>143</v>
      </c>
      <c r="G26" s="4" t="s">
        <v>21</v>
      </c>
      <c r="H26" s="4" t="s">
        <v>144</v>
      </c>
      <c r="I26" s="6" t="s">
        <v>145</v>
      </c>
      <c r="J26" s="6" t="s">
        <v>146</v>
      </c>
      <c r="K26" s="7" t="s">
        <v>120</v>
      </c>
      <c r="L26" s="8" t="s">
        <v>121</v>
      </c>
      <c r="M26" s="4" t="s">
        <v>173</v>
      </c>
    </row>
    <row r="27" spans="1:13" ht="41.25" customHeight="1">
      <c r="A27" s="4">
        <f t="shared" si="0"/>
        <v>23</v>
      </c>
      <c r="B27" s="5">
        <v>45989.607881944445</v>
      </c>
      <c r="C27" s="4" t="s">
        <v>147</v>
      </c>
      <c r="D27" s="4"/>
      <c r="E27" s="11" t="s">
        <v>148</v>
      </c>
      <c r="F27" s="4" t="s">
        <v>149</v>
      </c>
      <c r="G27" s="4" t="s">
        <v>21</v>
      </c>
      <c r="H27" s="4" t="s">
        <v>150</v>
      </c>
      <c r="I27" s="6" t="s">
        <v>151</v>
      </c>
      <c r="J27" s="6" t="s">
        <v>52</v>
      </c>
      <c r="K27" s="7" t="s">
        <v>65</v>
      </c>
      <c r="L27" s="8" t="s">
        <v>26</v>
      </c>
      <c r="M27" s="4" t="s">
        <v>174</v>
      </c>
    </row>
    <row r="28" spans="1:13" ht="41.25" customHeight="1">
      <c r="A28" s="4">
        <f t="shared" si="0"/>
        <v>24</v>
      </c>
      <c r="B28" s="5">
        <v>45963.711967592593</v>
      </c>
      <c r="C28" s="4" t="s">
        <v>152</v>
      </c>
      <c r="D28" s="4" t="s">
        <v>18</v>
      </c>
      <c r="E28" s="11" t="s">
        <v>153</v>
      </c>
      <c r="F28" s="4" t="s">
        <v>149</v>
      </c>
      <c r="G28" s="4" t="s">
        <v>21</v>
      </c>
      <c r="H28" s="4" t="s">
        <v>134</v>
      </c>
      <c r="I28" s="6" t="s">
        <v>23</v>
      </c>
      <c r="J28" s="6" t="s">
        <v>24</v>
      </c>
      <c r="K28" s="7" t="s">
        <v>25</v>
      </c>
      <c r="L28" s="8" t="s">
        <v>26</v>
      </c>
      <c r="M28" s="4" t="s">
        <v>166</v>
      </c>
    </row>
    <row r="29" spans="1:13" ht="41.25" customHeight="1">
      <c r="A29" s="4">
        <f t="shared" si="0"/>
        <v>25</v>
      </c>
      <c r="B29" s="5">
        <v>45989.596203703702</v>
      </c>
      <c r="C29" s="4" t="s">
        <v>154</v>
      </c>
      <c r="D29" s="4"/>
      <c r="E29" s="11" t="s">
        <v>155</v>
      </c>
      <c r="F29" s="4" t="s">
        <v>156</v>
      </c>
      <c r="G29" s="4" t="s">
        <v>97</v>
      </c>
      <c r="H29" s="4" t="s">
        <v>157</v>
      </c>
      <c r="I29" s="6" t="s">
        <v>105</v>
      </c>
      <c r="J29" s="6" t="s">
        <v>58</v>
      </c>
      <c r="K29" s="7" t="s">
        <v>158</v>
      </c>
      <c r="L29" s="8" t="s">
        <v>159</v>
      </c>
      <c r="M29" s="4" t="s">
        <v>170</v>
      </c>
    </row>
    <row r="30" spans="1:13" ht="41.25" customHeight="1">
      <c r="A30" s="23">
        <f t="shared" si="0"/>
        <v>26</v>
      </c>
      <c r="B30" s="21">
        <v>45989.585578703707</v>
      </c>
      <c r="C30" s="23" t="s">
        <v>160</v>
      </c>
      <c r="D30" s="23"/>
      <c r="E30" s="20" t="s">
        <v>161</v>
      </c>
      <c r="F30" s="23" t="s">
        <v>162</v>
      </c>
      <c r="G30" s="23" t="s">
        <v>21</v>
      </c>
      <c r="H30" s="23" t="s">
        <v>163</v>
      </c>
      <c r="I30" s="22" t="s">
        <v>95</v>
      </c>
      <c r="J30" s="22" t="s">
        <v>58</v>
      </c>
      <c r="K30" s="25" t="s">
        <v>164</v>
      </c>
      <c r="L30" s="24" t="s">
        <v>165</v>
      </c>
      <c r="M30" s="23" t="s">
        <v>167</v>
      </c>
    </row>
    <row r="31" spans="1:13" ht="30">
      <c r="A31" s="4">
        <f t="shared" si="0"/>
        <v>27</v>
      </c>
      <c r="B31" s="28"/>
      <c r="C31" s="28"/>
      <c r="D31" s="28"/>
      <c r="E31" s="27" t="s">
        <v>196</v>
      </c>
      <c r="F31" s="28"/>
      <c r="G31" s="28"/>
      <c r="H31" s="27" t="s">
        <v>198</v>
      </c>
      <c r="I31" s="27" t="s">
        <v>178</v>
      </c>
      <c r="J31" s="27" t="s">
        <v>183</v>
      </c>
      <c r="K31" s="27" t="s">
        <v>178</v>
      </c>
      <c r="L31" s="27" t="s">
        <v>197</v>
      </c>
      <c r="M31" s="29" t="s">
        <v>170</v>
      </c>
    </row>
    <row r="32" spans="1:13" s="26" customFormat="1" ht="30">
      <c r="A32" s="23">
        <f t="shared" si="0"/>
        <v>28</v>
      </c>
      <c r="B32" s="28"/>
      <c r="C32" s="28"/>
      <c r="D32" s="28"/>
      <c r="E32" s="27" t="s">
        <v>191</v>
      </c>
      <c r="F32" s="28"/>
      <c r="G32" s="28"/>
      <c r="H32" s="27" t="s">
        <v>192</v>
      </c>
      <c r="I32" s="27" t="s">
        <v>178</v>
      </c>
      <c r="J32" s="27" t="s">
        <v>179</v>
      </c>
      <c r="K32" s="27" t="s">
        <v>178</v>
      </c>
      <c r="L32" s="27" t="s">
        <v>180</v>
      </c>
      <c r="M32" s="29" t="s">
        <v>170</v>
      </c>
    </row>
    <row r="33" spans="1:13" s="26" customFormat="1" ht="60">
      <c r="A33" s="4">
        <f t="shared" si="0"/>
        <v>29</v>
      </c>
      <c r="B33" s="28"/>
      <c r="C33" s="28"/>
      <c r="D33" s="28"/>
      <c r="E33" s="27" t="s">
        <v>193</v>
      </c>
      <c r="F33" s="28"/>
      <c r="G33" s="28"/>
      <c r="H33" s="27" t="s">
        <v>194</v>
      </c>
      <c r="I33" s="27" t="s">
        <v>178</v>
      </c>
      <c r="J33" s="27" t="s">
        <v>179</v>
      </c>
      <c r="K33" s="27" t="s">
        <v>178</v>
      </c>
      <c r="L33" s="27" t="s">
        <v>180</v>
      </c>
      <c r="M33" s="29" t="s">
        <v>195</v>
      </c>
    </row>
    <row r="34" spans="1:13" s="26" customFormat="1" ht="75">
      <c r="A34" s="23">
        <f t="shared" si="0"/>
        <v>30</v>
      </c>
      <c r="B34" s="28"/>
      <c r="C34" s="28"/>
      <c r="D34" s="28"/>
      <c r="E34" s="27" t="s">
        <v>177</v>
      </c>
      <c r="F34" s="28"/>
      <c r="G34" s="28"/>
      <c r="H34" s="27" t="s">
        <v>181</v>
      </c>
      <c r="I34" s="27" t="s">
        <v>178</v>
      </c>
      <c r="J34" s="27" t="s">
        <v>179</v>
      </c>
      <c r="K34" s="27" t="s">
        <v>178</v>
      </c>
      <c r="L34" s="27" t="s">
        <v>180</v>
      </c>
      <c r="M34" s="29" t="s">
        <v>170</v>
      </c>
    </row>
    <row r="35" spans="1:13" ht="75">
      <c r="A35" s="4">
        <f t="shared" si="0"/>
        <v>31</v>
      </c>
      <c r="B35" s="28"/>
      <c r="C35" s="28"/>
      <c r="D35" s="28"/>
      <c r="E35" s="27" t="s">
        <v>182</v>
      </c>
      <c r="F35" s="28"/>
      <c r="G35" s="28"/>
      <c r="H35" s="27" t="s">
        <v>181</v>
      </c>
      <c r="I35" s="27" t="s">
        <v>178</v>
      </c>
      <c r="J35" s="27" t="s">
        <v>183</v>
      </c>
      <c r="K35" s="27" t="s">
        <v>178</v>
      </c>
      <c r="L35" s="27" t="s">
        <v>180</v>
      </c>
      <c r="M35" s="29" t="s">
        <v>184</v>
      </c>
    </row>
    <row r="36" spans="1:13" ht="75">
      <c r="A36" s="23">
        <f t="shared" si="0"/>
        <v>32</v>
      </c>
      <c r="B36" s="28"/>
      <c r="C36" s="28"/>
      <c r="D36" s="28"/>
      <c r="E36" s="27" t="s">
        <v>185</v>
      </c>
      <c r="F36" s="28"/>
      <c r="G36" s="28"/>
      <c r="H36" s="27" t="s">
        <v>181</v>
      </c>
      <c r="I36" s="27" t="s">
        <v>178</v>
      </c>
      <c r="J36" s="27" t="s">
        <v>179</v>
      </c>
      <c r="K36" s="27" t="s">
        <v>178</v>
      </c>
      <c r="L36" s="27" t="s">
        <v>186</v>
      </c>
      <c r="M36" s="29" t="s">
        <v>184</v>
      </c>
    </row>
    <row r="37" spans="1:13" ht="30">
      <c r="A37" s="4">
        <f t="shared" si="0"/>
        <v>33</v>
      </c>
      <c r="B37" s="28"/>
      <c r="C37" s="28"/>
      <c r="D37" s="28"/>
      <c r="E37" s="27" t="s">
        <v>187</v>
      </c>
      <c r="F37" s="28"/>
      <c r="G37" s="28"/>
      <c r="H37" s="27" t="s">
        <v>190</v>
      </c>
      <c r="I37" s="27" t="s">
        <v>178</v>
      </c>
      <c r="J37" s="27" t="s">
        <v>188</v>
      </c>
      <c r="K37" s="27" t="s">
        <v>178</v>
      </c>
      <c r="L37" s="27" t="s">
        <v>189</v>
      </c>
      <c r="M37" s="29" t="s">
        <v>170</v>
      </c>
    </row>
    <row r="38" spans="1:13" ht="21">
      <c r="A38" s="28"/>
      <c r="B38" s="28"/>
      <c r="C38" s="28"/>
      <c r="D38" s="28"/>
      <c r="E38" s="30"/>
      <c r="F38" s="28"/>
      <c r="G38" s="28"/>
      <c r="H38" s="28"/>
      <c r="I38" s="28"/>
      <c r="J38" s="28"/>
      <c r="K38" s="28"/>
      <c r="L38" s="28"/>
      <c r="M38" s="31" t="s">
        <v>199</v>
      </c>
    </row>
  </sheetData>
  <mergeCells count="3">
    <mergeCell ref="B1:M1"/>
    <mergeCell ref="K4:L4"/>
    <mergeCell ref="E2:L2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2025-11-28T11:57:25Z</dcterms:created>
  <dcterms:modified xsi:type="dcterms:W3CDTF">2025-11-28T15:04:09Z</dcterms:modified>
</cp:coreProperties>
</file>
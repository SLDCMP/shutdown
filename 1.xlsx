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6" i="1" l="1"/>
  <c r="A27" i="1" s="1"/>
  <c r="A28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<sst xmlns="http://schemas.openxmlformats.org/spreadsheetml/2006/main" count="268" uniqueCount="188">
  <si>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</si>
  <si>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</si>
  <si>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</si>
  <si>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</si>
  <si>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</si>
  <si>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</si>
  <si>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</si>
  <si>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</si>
  <si>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</si>
  <si>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</si>
  <si>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</si>
  <si>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</si>
  <si>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</si>
  <si>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</si>
  <si>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</si>
  <si>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</si>
  <si>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</si>
  <si>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MR2605/0367</t>
  </si>
  <si>
    <t>Daily</t>
  </si>
  <si>
    <t>220KV_220 kV Anuppur-Kotmikala Circuit I</t>
  </si>
  <si>
    <t>220KV_ANUPPUR</t>
  </si>
  <si>
    <t>NON-OCCM-MP</t>
  </si>
  <si>
    <t>For Conductor re-sagging work maintained</t>
  </si>
  <si>
    <t>25-05-2026 08:00:00</t>
  </si>
  <si>
    <t>08-06-2026 18:00:00</t>
  </si>
  <si>
    <t>Jagdish Prasad Asati</t>
  </si>
  <si>
    <t>9424445533</t>
  </si>
  <si>
    <t>MR2606/0127</t>
  </si>
  <si>
    <t>220KV_220kV Bhopal-Interconnector Ckt I</t>
  </si>
  <si>
    <t>400KV_BHOPAL4</t>
  </si>
  <si>
    <t>Stringing of broken OPGW</t>
  </si>
  <si>
    <t>07-06-2026 10:00:00</t>
  </si>
  <si>
    <t>07-06-2026 18:00:00</t>
  </si>
  <si>
    <t>Ankit Mehrolya</t>
  </si>
  <si>
    <t>9425804506</t>
  </si>
  <si>
    <t>MR2606/0096</t>
  </si>
  <si>
    <t>220KV_220kV Bhopal-Mandideep line</t>
  </si>
  <si>
    <t>Disc insulator replacement work</t>
  </si>
  <si>
    <t>05-06-2026 09:00:00</t>
  </si>
  <si>
    <t>10-06-2026 18:00:00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</si>
  <si>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</si>
  <si>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</si>
  <si>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</si>
  <si>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</si>
  <si>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</si>
  <si>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</si>
  <si>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</si>
  <si>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9407528876</t>
  </si>
  <si>
    <t>MR2606/0136</t>
  </si>
  <si>
    <t>400KV_NEW 315 MVA Transformer no. -04</t>
  </si>
  <si>
    <t>400KV_BINA4</t>
  </si>
  <si>
    <t>for trapped air removed</t>
  </si>
  <si>
    <t>P.N. NAMDEO</t>
  </si>
  <si>
    <t>7587951092</t>
  </si>
  <si>
    <t>MR2606/0107</t>
  </si>
  <si>
    <t>132KV_132 KV Datia(220 KV) Dabra</t>
  </si>
  <si>
    <t>220KV_DATIA</t>
  </si>
  <si>
    <t>765 KV power line crossing work</t>
  </si>
  <si>
    <t>06-06-2026 09:00:00</t>
  </si>
  <si>
    <t>07-06-2026 17:00:00</t>
  </si>
  <si>
    <t>Satish Kumar Bhagat</t>
  </si>
  <si>
    <t>9425806916</t>
  </si>
  <si>
    <t>MR2605/0727</t>
  </si>
  <si>
    <t>400KV_U#05</t>
  </si>
  <si>
    <t>400KV_INDIRASAGAR</t>
  </si>
  <si>
    <t>NON-OCCM-WR</t>
  </si>
  <si>
    <t>ANNUAL MAINTENANCE</t>
  </si>
  <si>
    <t>01-06-2026 06:00:00</t>
  </si>
  <si>
    <t>15-06-2026 18:00:00</t>
  </si>
  <si>
    <t>SANJAY PATEL</t>
  </si>
  <si>
    <t>9575074321</t>
  </si>
  <si>
    <t>MR2606/0028</t>
  </si>
  <si>
    <t>220KV_220KV Jabalpur-Narsingpur CKT-II</t>
  </si>
  <si>
    <t>220KV_JABALPUR</t>
  </si>
  <si>
    <t>erection &amp; stringing work of 132 Jabalpur-Shahpura</t>
  </si>
  <si>
    <t>03-06-2026 09:00:00</t>
  </si>
  <si>
    <t>20-06-2026 17:00:00</t>
  </si>
  <si>
    <t>Rajesh Tiwari</t>
  </si>
  <si>
    <t>7898239595</t>
  </si>
  <si>
    <t>MR2606/0090</t>
  </si>
  <si>
    <t>132KV_132 kV Jabalpur- VFJ -I</t>
  </si>
  <si>
    <t>Conductor Shifting on ERS  to New erected tower</t>
  </si>
  <si>
    <t>07-06-2026 08:00:00</t>
  </si>
  <si>
    <t>Jitendra Tiwari</t>
  </si>
  <si>
    <t>9425805298</t>
  </si>
  <si>
    <t>MR2606/0120</t>
  </si>
  <si>
    <t>132KV_132 kv katni - kaymore line ckt - 2nd</t>
  </si>
  <si>
    <t>400KV_KATNI4</t>
  </si>
  <si>
    <t>Re-sagging  of Conductor and other line maint.</t>
  </si>
  <si>
    <t>Manoj Kumar Tiwari</t>
  </si>
  <si>
    <t>9425804993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</si>
  <si>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</si>
  <si>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</si>
  <si>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</si>
  <si>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</si>
  <si>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</si>
  <si>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</si>
  <si>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</si>
  <si>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</si>
  <si>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MR2606/0133</t>
  </si>
  <si>
    <t>132KV_40 MVA 132/33KV BHEL X-MER</t>
  </si>
  <si>
    <t>132KV_KOTMA</t>
  </si>
  <si>
    <t>OLTC OIL REPLACEMENT WORK</t>
  </si>
  <si>
    <t>07-06-2026 16:00:00</t>
  </si>
  <si>
    <t>RAM NARESH SINGH GOND</t>
  </si>
  <si>
    <t>9425801257</t>
  </si>
  <si>
    <t>MR2606/0137</t>
  </si>
  <si>
    <t>220KV_220KV Mehgaon Auraiya line</t>
  </si>
  <si>
    <t>220KV_MEHGAON</t>
  </si>
  <si>
    <t>OCCM-MP</t>
  </si>
  <si>
    <t>Insulator replacement work &amp; other maintenance wor</t>
  </si>
  <si>
    <t>07-06-2026 07:00:00</t>
  </si>
  <si>
    <t>Baidyanath Kumar</t>
  </si>
  <si>
    <t>6265588473</t>
  </si>
  <si>
    <t>MR2606/0131</t>
  </si>
  <si>
    <t>220KV_220KV UJJAIN NAGDA CKT 2</t>
  </si>
  <si>
    <t>400KV_NAGDA4</t>
  </si>
  <si>
    <t>RE SAGGING WORK</t>
  </si>
  <si>
    <t>K SACHINDRA</t>
  </si>
  <si>
    <t>9425805295</t>
  </si>
  <si>
    <t>MR2606/0027</t>
  </si>
  <si>
    <t>220KV_220KV Neemuch Mandsaur Circuit IInd</t>
  </si>
  <si>
    <t>220KV_NEEMUCH</t>
  </si>
  <si>
    <t>765KV Power Line Crossing Work</t>
  </si>
  <si>
    <t>03-06-2026 08:00:00</t>
  </si>
  <si>
    <t>07-06-2026 19:00:00</t>
  </si>
  <si>
    <t>Gaurav Goyal</t>
  </si>
  <si>
    <t>9425805120</t>
  </si>
  <si>
    <t>MR2606/0026</t>
  </si>
  <si>
    <t>220KV_220KV Neemuch Mandsaur circuit Ist</t>
  </si>
  <si>
    <t>765KV Power line crossing work</t>
  </si>
  <si>
    <t>Gaurav  Goyal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</si>
  <si>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</si>
  <si>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</si>
  <si>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</si>
  <si>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</si>
  <si>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</si>
  <si>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</si>
  <si>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</si>
  <si>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MR2606/0125</t>
  </si>
  <si>
    <t>220KV_SATNA</t>
  </si>
  <si>
    <t>For double  fitting work</t>
  </si>
  <si>
    <t>09-06-2026 19:00:00</t>
  </si>
  <si>
    <t>MR2605/0726</t>
  </si>
  <si>
    <t>31-05-2026 08:00:00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</si>
  <si>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</si>
  <si>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</si>
  <si>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</si>
  <si>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</si>
  <si>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</si>
  <si>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</si>
  <si>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</si>
  <si>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</si>
  <si>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MR2606/0135</t>
  </si>
  <si>
    <t>220KV_160MVA X-MER-3 BHEL</t>
  </si>
  <si>
    <t>220KV_VIDISHA</t>
  </si>
  <si>
    <t>FOR AIR RELEASE WORK</t>
  </si>
  <si>
    <t>07-06-2026 12:00:00</t>
  </si>
  <si>
    <t>SHRI A A QURESHI</t>
  </si>
  <si>
    <t>9425804318</t>
  </si>
  <si>
    <t>deferred</t>
  </si>
  <si>
    <t>ok, through sub ld</t>
  </si>
  <si>
    <t>deferred due to s/d on 220kV Bhopal-Interconnector Ckt I</t>
  </si>
  <si>
    <t>ok</t>
  </si>
  <si>
    <t>sub ld</t>
  </si>
  <si>
    <t>as per system availability</t>
  </si>
  <si>
    <t>ok, Charging approval will be required during charging the line</t>
  </si>
  <si>
    <t>deferred by site</t>
  </si>
  <si>
    <t>o&amp;m consnet required</t>
  </si>
  <si>
    <t>ok, line to be in service</t>
  </si>
  <si>
    <t>220KV_220  kV Satna (MPPTCL)  -Ajaygarh line</t>
  </si>
  <si>
    <t>220KV_220  kv Satna (MPPTCL)  -Kotar  line</t>
  </si>
  <si>
    <t>APPROVED OUTAGE LIST FOR DATED 07.06.2026</t>
  </si>
  <si>
    <t>220KV-MEHGAON-AURIYA-1</t>
  </si>
  <si>
    <t>NLDC,MADHYA PRADESH</t>
  </si>
  <si>
    <t>07-Jun-2026</t>
  </si>
  <si>
    <t>09:00</t>
  </si>
  <si>
    <t>17:00</t>
  </si>
  <si>
    <t xml:space="preserve">FOR REPLACEMENT OF SINGLE FITTING HARDWARE INTO DOUBLE FITTING HARDWARE AT VARIOUS ROAD CROSSING LOCATIONS </t>
  </si>
  <si>
    <t>220KV-SATNA-MAIHAR-1</t>
  </si>
  <si>
    <t>MADHYA PRADESH</t>
  </si>
  <si>
    <t>08:00</t>
  </si>
  <si>
    <t>19:00</t>
  </si>
  <si>
    <t>work completed</t>
  </si>
  <si>
    <t>132KV-VSTPS-WAIDHAN-1</t>
  </si>
  <si>
    <t>MADHYA PRADESH,NTPC</t>
  </si>
  <si>
    <t>FOR LINE MAINTENANCE WORK i.e. CLEANING OF DISC INSULATORS DURING LINE PATROLLING , REPLACEMENT OF FLASHOVERED DISC INSULATORS, TREE BRANCH CUTTING ETC AT VARIOUS TOWER LOCATIONS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</si>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</sst>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D2" sqref="D2:L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3" customWidth="1"/>
    <col min="6" max="6" width="21.85546875" customWidth="1"/>
    <col min="7" max="7" width="16.140625" customWidth="1"/>
    <col min="8" max="8" width="46.5703125" customWidth="1"/>
    <col min="9" max="10" width="19.5703125" customWidth="1"/>
    <col min="11" max="11" width="19.85546875" customWidth="1"/>
    <col min="12" max="12" width="12" customWidth="1"/>
    <col min="13" max="13" width="41.1406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46180</v>
      </c>
      <c r="C2" s="1"/>
      <c r="D2" s="13" t="s">
        <v>172</v>
      </c>
      <c r="E2" s="14"/>
      <c r="F2" s="14"/>
      <c r="G2" s="14"/>
      <c r="H2" s="14"/>
      <c r="I2" s="14"/>
      <c r="J2" s="14"/>
      <c r="K2" s="14"/>
      <c r="L2" s="15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24.75" customHeight="1" x14ac:dyDescent="0.25">
      <c r="A5" s="4">
        <v>1</v>
      </c>
      <c r="B5" s="5">
        <v>46156.701944444445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160</v>
      </c>
    </row>
    <row r="6" spans="1:13" ht="24.75" customHeight="1" x14ac:dyDescent="0.25">
      <c r="A6" s="4">
        <f>A5+1</f>
        <v>2</v>
      </c>
      <c r="B6" s="5">
        <v>46179.529340277775</v>
      </c>
      <c r="C6" s="4" t="s">
        <v>27</v>
      </c>
      <c r="D6" s="4"/>
      <c r="E6" s="4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161</v>
      </c>
    </row>
    <row r="7" spans="1:13" ht="24.75" customHeight="1" x14ac:dyDescent="0.25">
      <c r="A7" s="4">
        <f t="shared" ref="A7:A28" si="0">A6+1</f>
        <v>3</v>
      </c>
      <c r="B7" s="5">
        <v>46177.595046296294</v>
      </c>
      <c r="C7" s="4" t="s">
        <v>35</v>
      </c>
      <c r="D7" s="4" t="s">
        <v>18</v>
      </c>
      <c r="E7" s="4" t="s">
        <v>36</v>
      </c>
      <c r="F7" s="4" t="s">
        <v>29</v>
      </c>
      <c r="G7" s="4" t="s">
        <v>21</v>
      </c>
      <c r="H7" s="4" t="s">
        <v>37</v>
      </c>
      <c r="I7" s="6" t="s">
        <v>38</v>
      </c>
      <c r="J7" s="6" t="s">
        <v>39</v>
      </c>
      <c r="K7" s="7" t="s">
        <v>33</v>
      </c>
      <c r="L7" s="8" t="s">
        <v>34</v>
      </c>
      <c r="M7" s="4" t="s">
        <v>162</v>
      </c>
    </row>
    <row r="8" spans="1:13" ht="24.75" customHeight="1" x14ac:dyDescent="0.25">
      <c r="A8" s="4">
        <f t="shared" si="0"/>
        <v>4</v>
      </c>
      <c r="B8" s="5">
        <v>46154.485196759262</v>
      </c>
      <c r="C8" s="4" t="s">
        <v>40</v>
      </c>
      <c r="D8" s="4" t="s">
        <v>41</v>
      </c>
      <c r="E8" s="4" t="s">
        <v>42</v>
      </c>
      <c r="F8" s="4" t="s">
        <v>29</v>
      </c>
      <c r="G8" s="4" t="s">
        <v>21</v>
      </c>
      <c r="H8" s="4" t="s">
        <v>43</v>
      </c>
      <c r="I8" s="6" t="s">
        <v>44</v>
      </c>
      <c r="J8" s="6" t="s">
        <v>45</v>
      </c>
      <c r="K8" s="7" t="s">
        <v>46</v>
      </c>
      <c r="L8" s="8" t="s">
        <v>47</v>
      </c>
      <c r="M8" s="4" t="s">
        <v>160</v>
      </c>
    </row>
    <row r="9" spans="1:13" ht="24.75" customHeight="1" x14ac:dyDescent="0.25">
      <c r="A9" s="4">
        <f t="shared" si="0"/>
        <v>5</v>
      </c>
      <c r="B9" s="5">
        <v>46179.690092592595</v>
      </c>
      <c r="C9" s="4" t="s">
        <v>48</v>
      </c>
      <c r="D9" s="4"/>
      <c r="E9" s="4" t="s">
        <v>49</v>
      </c>
      <c r="F9" s="4" t="s">
        <v>50</v>
      </c>
      <c r="G9" s="4" t="s">
        <v>21</v>
      </c>
      <c r="H9" s="4" t="s">
        <v>51</v>
      </c>
      <c r="I9" s="6" t="s">
        <v>31</v>
      </c>
      <c r="J9" s="6" t="s">
        <v>32</v>
      </c>
      <c r="K9" s="7" t="s">
        <v>52</v>
      </c>
      <c r="L9" s="8" t="s">
        <v>53</v>
      </c>
      <c r="M9" s="4" t="s">
        <v>163</v>
      </c>
    </row>
    <row r="10" spans="1:13" ht="24.75" customHeight="1" x14ac:dyDescent="0.25">
      <c r="A10" s="4">
        <f t="shared" si="0"/>
        <v>6</v>
      </c>
      <c r="B10" s="5">
        <v>46178.524976851855</v>
      </c>
      <c r="C10" s="4" t="s">
        <v>54</v>
      </c>
      <c r="D10" s="4" t="s">
        <v>18</v>
      </c>
      <c r="E10" s="4" t="s">
        <v>55</v>
      </c>
      <c r="F10" s="4" t="s">
        <v>56</v>
      </c>
      <c r="G10" s="4" t="s">
        <v>21</v>
      </c>
      <c r="H10" s="4" t="s">
        <v>57</v>
      </c>
      <c r="I10" s="6" t="s">
        <v>58</v>
      </c>
      <c r="J10" s="6" t="s">
        <v>59</v>
      </c>
      <c r="K10" s="7" t="s">
        <v>60</v>
      </c>
      <c r="L10" s="8" t="s">
        <v>61</v>
      </c>
      <c r="M10" s="4" t="s">
        <v>164</v>
      </c>
    </row>
    <row r="11" spans="1:13" ht="24.75" customHeight="1" x14ac:dyDescent="0.25">
      <c r="A11" s="4">
        <f t="shared" si="0"/>
        <v>7</v>
      </c>
      <c r="B11" s="5">
        <v>46172.729803240742</v>
      </c>
      <c r="C11" s="4" t="s">
        <v>62</v>
      </c>
      <c r="D11" s="4" t="s">
        <v>41</v>
      </c>
      <c r="E11" s="4" t="s">
        <v>63</v>
      </c>
      <c r="F11" s="4" t="s">
        <v>64</v>
      </c>
      <c r="G11" s="4" t="s">
        <v>65</v>
      </c>
      <c r="H11" s="4" t="s">
        <v>66</v>
      </c>
      <c r="I11" s="6" t="s">
        <v>67</v>
      </c>
      <c r="J11" s="6" t="s">
        <v>68</v>
      </c>
      <c r="K11" s="7" t="s">
        <v>69</v>
      </c>
      <c r="L11" s="8" t="s">
        <v>70</v>
      </c>
      <c r="M11" s="4" t="s">
        <v>165</v>
      </c>
    </row>
    <row r="12" spans="1:13" ht="24.75" customHeight="1" x14ac:dyDescent="0.25">
      <c r="A12" s="4">
        <f t="shared" si="0"/>
        <v>8</v>
      </c>
      <c r="B12" s="5">
        <v>46175.55263888889</v>
      </c>
      <c r="C12" s="4" t="s">
        <v>71</v>
      </c>
      <c r="D12" s="4" t="s">
        <v>41</v>
      </c>
      <c r="E12" s="4" t="s">
        <v>72</v>
      </c>
      <c r="F12" s="4" t="s">
        <v>73</v>
      </c>
      <c r="G12" s="4" t="s">
        <v>21</v>
      </c>
      <c r="H12" s="4" t="s">
        <v>74</v>
      </c>
      <c r="I12" s="6" t="s">
        <v>75</v>
      </c>
      <c r="J12" s="6" t="s">
        <v>76</v>
      </c>
      <c r="K12" s="7" t="s">
        <v>77</v>
      </c>
      <c r="L12" s="8" t="s">
        <v>78</v>
      </c>
      <c r="M12" s="4" t="s">
        <v>41</v>
      </c>
    </row>
    <row r="13" spans="1:13" ht="24.75" customHeight="1" x14ac:dyDescent="0.25">
      <c r="A13" s="4">
        <f t="shared" si="0"/>
        <v>9</v>
      </c>
      <c r="B13" s="5">
        <v>46177.576956018522</v>
      </c>
      <c r="C13" s="4" t="s">
        <v>79</v>
      </c>
      <c r="D13" s="4"/>
      <c r="E13" s="4" t="s">
        <v>80</v>
      </c>
      <c r="F13" s="4" t="s">
        <v>73</v>
      </c>
      <c r="G13" s="4" t="s">
        <v>21</v>
      </c>
      <c r="H13" s="4" t="s">
        <v>81</v>
      </c>
      <c r="I13" s="6" t="s">
        <v>82</v>
      </c>
      <c r="J13" s="6" t="s">
        <v>32</v>
      </c>
      <c r="K13" s="7" t="s">
        <v>83</v>
      </c>
      <c r="L13" s="8" t="s">
        <v>84</v>
      </c>
      <c r="M13" s="4" t="s">
        <v>166</v>
      </c>
    </row>
    <row r="14" spans="1:13" ht="24.75" customHeight="1" x14ac:dyDescent="0.25">
      <c r="A14" s="4">
        <f t="shared" si="0"/>
        <v>10</v>
      </c>
      <c r="B14" s="5">
        <v>46178.685173611113</v>
      </c>
      <c r="C14" s="4" t="s">
        <v>85</v>
      </c>
      <c r="D14" s="4" t="s">
        <v>18</v>
      </c>
      <c r="E14" s="4" t="s">
        <v>86</v>
      </c>
      <c r="F14" s="4" t="s">
        <v>87</v>
      </c>
      <c r="G14" s="4" t="s">
        <v>21</v>
      </c>
      <c r="H14" s="4" t="s">
        <v>88</v>
      </c>
      <c r="I14" s="6" t="s">
        <v>58</v>
      </c>
      <c r="J14" s="6" t="s">
        <v>39</v>
      </c>
      <c r="K14" s="7" t="s">
        <v>89</v>
      </c>
      <c r="L14" s="8" t="s">
        <v>90</v>
      </c>
      <c r="M14" s="4" t="s">
        <v>163</v>
      </c>
    </row>
    <row r="15" spans="1:13" ht="24.75" customHeight="1" x14ac:dyDescent="0.25">
      <c r="A15" s="4">
        <f t="shared" si="0"/>
        <v>11</v>
      </c>
      <c r="B15" s="5">
        <v>46167.661944444444</v>
      </c>
      <c r="C15" s="4" t="s">
        <v>98</v>
      </c>
      <c r="D15" s="4" t="s">
        <v>18</v>
      </c>
      <c r="E15" s="4" t="s">
        <v>91</v>
      </c>
      <c r="F15" s="4" t="s">
        <v>92</v>
      </c>
      <c r="G15" s="4" t="s">
        <v>21</v>
      </c>
      <c r="H15" s="4" t="s">
        <v>93</v>
      </c>
      <c r="I15" s="6" t="s">
        <v>94</v>
      </c>
      <c r="J15" s="6" t="s">
        <v>95</v>
      </c>
      <c r="K15" s="7" t="s">
        <v>96</v>
      </c>
      <c r="L15" s="8" t="s">
        <v>97</v>
      </c>
      <c r="M15" s="4" t="s">
        <v>167</v>
      </c>
    </row>
    <row r="16" spans="1:13" ht="24.75" customHeight="1" x14ac:dyDescent="0.25">
      <c r="A16" s="4">
        <f t="shared" si="0"/>
        <v>12</v>
      </c>
      <c r="B16" s="5">
        <v>46179.664363425924</v>
      </c>
      <c r="C16" s="4" t="s">
        <v>99</v>
      </c>
      <c r="D16" s="4"/>
      <c r="E16" s="4" t="s">
        <v>100</v>
      </c>
      <c r="F16" s="4" t="s">
        <v>101</v>
      </c>
      <c r="G16" s="4" t="s">
        <v>21</v>
      </c>
      <c r="H16" s="4" t="s">
        <v>102</v>
      </c>
      <c r="I16" s="6" t="s">
        <v>31</v>
      </c>
      <c r="J16" s="6" t="s">
        <v>103</v>
      </c>
      <c r="K16" s="7" t="s">
        <v>104</v>
      </c>
      <c r="L16" s="8" t="s">
        <v>105</v>
      </c>
      <c r="M16" s="4" t="s">
        <v>168</v>
      </c>
    </row>
    <row r="17" spans="1:13" ht="24.75" customHeight="1" x14ac:dyDescent="0.25">
      <c r="A17" s="4">
        <f t="shared" si="0"/>
        <v>13</v>
      </c>
      <c r="B17" s="5">
        <v>46179.694409722222</v>
      </c>
      <c r="C17" s="4" t="s">
        <v>106</v>
      </c>
      <c r="D17" s="4"/>
      <c r="E17" s="4" t="s">
        <v>107</v>
      </c>
      <c r="F17" s="4" t="s">
        <v>108</v>
      </c>
      <c r="G17" s="4" t="s">
        <v>109</v>
      </c>
      <c r="H17" s="4" t="s">
        <v>110</v>
      </c>
      <c r="I17" s="6" t="s">
        <v>111</v>
      </c>
      <c r="J17" s="6" t="s">
        <v>32</v>
      </c>
      <c r="K17" s="7" t="s">
        <v>112</v>
      </c>
      <c r="L17" s="8" t="s">
        <v>113</v>
      </c>
      <c r="M17" s="4" t="s">
        <v>161</v>
      </c>
    </row>
    <row r="18" spans="1:13" ht="24.75" customHeight="1" x14ac:dyDescent="0.25">
      <c r="A18" s="4">
        <f t="shared" si="0"/>
        <v>14</v>
      </c>
      <c r="B18" s="5">
        <v>46179.653402777774</v>
      </c>
      <c r="C18" s="4" t="s">
        <v>114</v>
      </c>
      <c r="D18" s="4"/>
      <c r="E18" s="4" t="s">
        <v>115</v>
      </c>
      <c r="F18" s="4" t="s">
        <v>116</v>
      </c>
      <c r="G18" s="4" t="s">
        <v>21</v>
      </c>
      <c r="H18" s="4" t="s">
        <v>117</v>
      </c>
      <c r="I18" s="6" t="s">
        <v>82</v>
      </c>
      <c r="J18" s="6" t="s">
        <v>32</v>
      </c>
      <c r="K18" s="7" t="s">
        <v>118</v>
      </c>
      <c r="L18" s="8" t="s">
        <v>119</v>
      </c>
      <c r="M18" s="4" t="s">
        <v>161</v>
      </c>
    </row>
    <row r="19" spans="1:13" ht="24.75" customHeight="1" x14ac:dyDescent="0.25">
      <c r="A19" s="4">
        <f t="shared" si="0"/>
        <v>15</v>
      </c>
      <c r="B19" s="5">
        <v>46175.522037037037</v>
      </c>
      <c r="C19" s="4" t="s">
        <v>120</v>
      </c>
      <c r="D19" s="4" t="s">
        <v>18</v>
      </c>
      <c r="E19" s="4" t="s">
        <v>121</v>
      </c>
      <c r="F19" s="4" t="s">
        <v>122</v>
      </c>
      <c r="G19" s="4" t="s">
        <v>21</v>
      </c>
      <c r="H19" s="4" t="s">
        <v>123</v>
      </c>
      <c r="I19" s="6" t="s">
        <v>124</v>
      </c>
      <c r="J19" s="6" t="s">
        <v>125</v>
      </c>
      <c r="K19" s="7" t="s">
        <v>126</v>
      </c>
      <c r="L19" s="8" t="s">
        <v>127</v>
      </c>
      <c r="M19" s="4" t="s">
        <v>169</v>
      </c>
    </row>
    <row r="20" spans="1:13" ht="24.75" customHeight="1" x14ac:dyDescent="0.25">
      <c r="A20" s="4">
        <f t="shared" si="0"/>
        <v>16</v>
      </c>
      <c r="B20" s="5">
        <v>46175.519976851851</v>
      </c>
      <c r="C20" s="4" t="s">
        <v>128</v>
      </c>
      <c r="D20" s="4" t="s">
        <v>18</v>
      </c>
      <c r="E20" s="4" t="s">
        <v>129</v>
      </c>
      <c r="F20" s="4" t="s">
        <v>122</v>
      </c>
      <c r="G20" s="4" t="s">
        <v>21</v>
      </c>
      <c r="H20" s="4" t="s">
        <v>130</v>
      </c>
      <c r="I20" s="6" t="s">
        <v>124</v>
      </c>
      <c r="J20" s="6" t="s">
        <v>125</v>
      </c>
      <c r="K20" s="7" t="s">
        <v>131</v>
      </c>
      <c r="L20" s="8" t="s">
        <v>127</v>
      </c>
      <c r="M20" s="4" t="s">
        <v>169</v>
      </c>
    </row>
    <row r="21" spans="1:13" ht="24.75" customHeight="1" x14ac:dyDescent="0.25">
      <c r="A21" s="4">
        <f t="shared" si="0"/>
        <v>17</v>
      </c>
      <c r="B21" s="5">
        <v>46174.30568287037</v>
      </c>
      <c r="C21" s="4" t="s">
        <v>132</v>
      </c>
      <c r="D21" s="4" t="s">
        <v>41</v>
      </c>
      <c r="E21" s="4" t="s">
        <v>133</v>
      </c>
      <c r="F21" s="4" t="s">
        <v>134</v>
      </c>
      <c r="G21" s="4" t="s">
        <v>65</v>
      </c>
      <c r="H21" s="4" t="s">
        <v>135</v>
      </c>
      <c r="I21" s="6" t="s">
        <v>136</v>
      </c>
      <c r="J21" s="6" t="s">
        <v>68</v>
      </c>
      <c r="K21" s="7" t="s">
        <v>137</v>
      </c>
      <c r="L21" s="8" t="s">
        <v>138</v>
      </c>
      <c r="M21" s="4" t="s">
        <v>165</v>
      </c>
    </row>
    <row r="22" spans="1:13" ht="24.75" customHeight="1" x14ac:dyDescent="0.25">
      <c r="A22" s="4">
        <f t="shared" si="0"/>
        <v>18</v>
      </c>
      <c r="B22" s="5">
        <v>46179.522175925929</v>
      </c>
      <c r="C22" s="4" t="s">
        <v>139</v>
      </c>
      <c r="D22" s="4" t="s">
        <v>18</v>
      </c>
      <c r="E22" s="4" t="s">
        <v>170</v>
      </c>
      <c r="F22" s="4" t="s">
        <v>140</v>
      </c>
      <c r="G22" s="4" t="s">
        <v>21</v>
      </c>
      <c r="H22" s="4" t="s">
        <v>141</v>
      </c>
      <c r="I22" s="6" t="s">
        <v>82</v>
      </c>
      <c r="J22" s="6" t="s">
        <v>142</v>
      </c>
      <c r="K22" s="7" t="s">
        <v>96</v>
      </c>
      <c r="L22" s="8" t="s">
        <v>97</v>
      </c>
      <c r="M22" s="4" t="s">
        <v>163</v>
      </c>
    </row>
    <row r="23" spans="1:13" ht="24.75" customHeight="1" x14ac:dyDescent="0.25">
      <c r="A23" s="4">
        <f t="shared" si="0"/>
        <v>19</v>
      </c>
      <c r="B23" s="5">
        <v>46172.680532407408</v>
      </c>
      <c r="C23" s="4" t="s">
        <v>143</v>
      </c>
      <c r="D23" s="4" t="s">
        <v>18</v>
      </c>
      <c r="E23" s="4" t="s">
        <v>171</v>
      </c>
      <c r="F23" s="4" t="s">
        <v>140</v>
      </c>
      <c r="G23" s="4" t="s">
        <v>21</v>
      </c>
      <c r="H23" s="4" t="s">
        <v>141</v>
      </c>
      <c r="I23" s="6" t="s">
        <v>144</v>
      </c>
      <c r="J23" s="6" t="s">
        <v>142</v>
      </c>
      <c r="K23" s="7" t="s">
        <v>96</v>
      </c>
      <c r="L23" s="8" t="s">
        <v>97</v>
      </c>
      <c r="M23" s="4" t="s">
        <v>163</v>
      </c>
    </row>
    <row r="24" spans="1:13" ht="24.75" customHeight="1" x14ac:dyDescent="0.25">
      <c r="A24" s="4">
        <f t="shared" si="0"/>
        <v>20</v>
      </c>
      <c r="B24" s="5">
        <v>46160.785312499997</v>
      </c>
      <c r="C24" s="4" t="s">
        <v>145</v>
      </c>
      <c r="D24" s="4" t="s">
        <v>41</v>
      </c>
      <c r="E24" s="4" t="s">
        <v>146</v>
      </c>
      <c r="F24" s="4" t="s">
        <v>147</v>
      </c>
      <c r="G24" s="4" t="s">
        <v>21</v>
      </c>
      <c r="H24" s="4" t="s">
        <v>148</v>
      </c>
      <c r="I24" s="6" t="s">
        <v>149</v>
      </c>
      <c r="J24" s="6" t="s">
        <v>150</v>
      </c>
      <c r="K24" s="7" t="s">
        <v>151</v>
      </c>
      <c r="L24" s="8" t="s">
        <v>152</v>
      </c>
      <c r="M24" s="4" t="s">
        <v>165</v>
      </c>
    </row>
    <row r="25" spans="1:13" ht="24.75" customHeight="1" x14ac:dyDescent="0.25">
      <c r="A25" s="16">
        <f t="shared" si="0"/>
        <v>21</v>
      </c>
      <c r="B25" s="17">
        <v>46179.687881944446</v>
      </c>
      <c r="C25" s="16" t="s">
        <v>153</v>
      </c>
      <c r="D25" s="16"/>
      <c r="E25" s="16" t="s">
        <v>154</v>
      </c>
      <c r="F25" s="16" t="s">
        <v>155</v>
      </c>
      <c r="G25" s="16" t="s">
        <v>109</v>
      </c>
      <c r="H25" s="16" t="s">
        <v>156</v>
      </c>
      <c r="I25" s="18" t="s">
        <v>31</v>
      </c>
      <c r="J25" s="18" t="s">
        <v>157</v>
      </c>
      <c r="K25" s="19" t="s">
        <v>158</v>
      </c>
      <c r="L25" s="20" t="s">
        <v>159</v>
      </c>
      <c r="M25" s="16" t="s">
        <v>161</v>
      </c>
    </row>
    <row r="26" spans="1:13" ht="45" x14ac:dyDescent="0.25">
      <c r="A26" s="4">
        <f t="shared" si="0"/>
        <v>22</v>
      </c>
      <c r="B26" s="21"/>
      <c r="C26" s="21"/>
      <c r="D26" s="21"/>
      <c r="E26" s="22" t="s">
        <v>173</v>
      </c>
      <c r="F26" s="22" t="s">
        <v>174</v>
      </c>
      <c r="G26" s="21"/>
      <c r="H26" s="22" t="s">
        <v>178</v>
      </c>
      <c r="I26" s="22" t="s">
        <v>175</v>
      </c>
      <c r="J26" s="22" t="s">
        <v>176</v>
      </c>
      <c r="K26" s="22" t="s">
        <v>175</v>
      </c>
      <c r="L26" s="22" t="s">
        <v>177</v>
      </c>
      <c r="M26" s="23" t="s">
        <v>161</v>
      </c>
    </row>
    <row r="27" spans="1:13" ht="45" x14ac:dyDescent="0.25">
      <c r="A27" s="16">
        <f t="shared" si="0"/>
        <v>23</v>
      </c>
      <c r="B27" s="21"/>
      <c r="C27" s="21"/>
      <c r="D27" s="21"/>
      <c r="E27" s="22" t="s">
        <v>179</v>
      </c>
      <c r="F27" s="22" t="s">
        <v>180</v>
      </c>
      <c r="G27" s="21"/>
      <c r="H27" s="22" t="s">
        <v>178</v>
      </c>
      <c r="I27" s="22" t="s">
        <v>175</v>
      </c>
      <c r="J27" s="22" t="s">
        <v>181</v>
      </c>
      <c r="K27" s="22" t="s">
        <v>175</v>
      </c>
      <c r="L27" s="22" t="s">
        <v>182</v>
      </c>
      <c r="M27" s="23" t="s">
        <v>183</v>
      </c>
    </row>
    <row r="28" spans="1:13" ht="75" x14ac:dyDescent="0.25">
      <c r="A28" s="4">
        <f t="shared" si="0"/>
        <v>24</v>
      </c>
      <c r="B28" s="21"/>
      <c r="C28" s="21"/>
      <c r="D28" s="21"/>
      <c r="E28" s="22" t="s">
        <v>184</v>
      </c>
      <c r="F28" s="22" t="s">
        <v>185</v>
      </c>
      <c r="G28" s="21"/>
      <c r="H28" s="22" t="s">
        <v>186</v>
      </c>
      <c r="I28" s="22" t="s">
        <v>175</v>
      </c>
      <c r="J28" s="22" t="s">
        <v>181</v>
      </c>
      <c r="K28" s="22" t="s">
        <v>175</v>
      </c>
      <c r="L28" s="22" t="s">
        <v>177</v>
      </c>
      <c r="M28" s="23" t="s">
        <v>163</v>
      </c>
    </row>
    <row r="29" spans="1:13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4" t="s">
        <v>187</v>
      </c>
    </row>
    <row r="30" spans="1:13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</sheetData>
  <mergeCells count="3">
    <mergeCell ref="B1:M1"/>
    <mergeCell ref="K4:L4"/>
    <mergeCell ref="D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2026-06-06T11:21:48Z</dcterms:created>
  <dcterms:modified xsi:type="dcterms:W3CDTF">2026-06-06T15:41:25Z</dcterms:modified>
</cp:coreProperties>
</file>
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" i="1" l="1"/>
  <c r="A7" i="1" l="1"/>
  <c r="A8" i="1"/>
  <c r="A9" i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6" i="1"/>
</calcChain>
</file>

<file path=xl/sharedStrings.xml><?xml version="1.0" encoding="utf-8"?>
<sst xmlns="http://schemas.openxmlformats.org/spreadsheetml/2006/main" count="218" uniqueCount="153">
  <si>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</si>
  <si>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</si>
  <si>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</si>
  <si>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</si>
  <si>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</si>
  <si>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</si>
  <si>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</si>
  <si>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</si>
  <si>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</si>
  <si>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</si>
  <si>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</si>
  <si>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</si>
  <si>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</si>
  <si>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</si>
  <si>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</si>
  <si>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</si>
  <si>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</si>
  <si>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132KV_40 MVA X-MER NO-I MAKE BBL</t>
  </si>
  <si>
    <t>132KV_BARMAN</t>
  </si>
  <si>
    <t>NON-OCCM-MP</t>
  </si>
  <si>
    <t>Tap changer &amp; top cover inspection by T&amp;C Cir Satn</t>
  </si>
  <si>
    <t>14-12-2025 11:00:00</t>
  </si>
  <si>
    <t>14-12-2025 16:00:00</t>
  </si>
  <si>
    <t>Er K.K. Choure</t>
  </si>
  <si>
    <t>9425801357</t>
  </si>
  <si>
    <t>MR2512/0256</t>
  </si>
  <si>
    <t>Daily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</si>
  <si>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</si>
  <si>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</si>
  <si>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</si>
  <si>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</si>
  <si>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</si>
  <si>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</si>
  <si>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</si>
  <si>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</si>
  <si>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MR2512/0152</t>
  </si>
  <si>
    <t>Continuous</t>
  </si>
  <si>
    <t>400KV_50MVAR Bus Reactor (BHEL)</t>
  </si>
  <si>
    <t>400KV_BINA4</t>
  </si>
  <si>
    <t>Main CB and Tie CB C&amp;Relay Panel Replacement</t>
  </si>
  <si>
    <t>10-12-2025 10:00:00</t>
  </si>
  <si>
    <t>17-12-2025 17:00:00</t>
  </si>
  <si>
    <t>Mr.P.N.Namdeo</t>
  </si>
  <si>
    <t>7587951092</t>
  </si>
  <si>
    <t>MR2512/0258</t>
  </si>
  <si>
    <t>132KV_132KV DAMOH - BATIYAGARH LINE</t>
  </si>
  <si>
    <t>220KV_DAMOH</t>
  </si>
  <si>
    <t>TOWER STRENGTHENING &amp; OTHER LINE MAINTENANCE WORK</t>
  </si>
  <si>
    <t>14-12-2025 09:00:00</t>
  </si>
  <si>
    <t>M.M. BAIG</t>
  </si>
  <si>
    <t>9425805067</t>
  </si>
  <si>
    <t>MR2512/0252</t>
  </si>
  <si>
    <t>132KV_132 KV Itarsi-Pipariya line</t>
  </si>
  <si>
    <t>220KV_ITARSI</t>
  </si>
  <si>
    <t>Defective disc replacement work</t>
  </si>
  <si>
    <t>Ashutosh Rai</t>
  </si>
  <si>
    <t>9425806902</t>
  </si>
  <si>
    <t>MR2510/0555</t>
  </si>
  <si>
    <t>400KV_400KV KATNI - DAMOH LINE</t>
  </si>
  <si>
    <t>400KV_KATNI4</t>
  </si>
  <si>
    <t>OCCM-MP</t>
  </si>
  <si>
    <t>TOWER STRENGTHENING WORK</t>
  </si>
  <si>
    <t>01-12-2025 09:00:00</t>
  </si>
  <si>
    <t>31-12-2025 18:00:00</t>
  </si>
  <si>
    <t>MR2510/0557</t>
  </si>
  <si>
    <t>220KV_220KV KATNI - DAMOH LINE</t>
  </si>
  <si>
    <t>MR2512/0265</t>
  </si>
  <si>
    <t>400KV_315mva Telk xmer</t>
  </si>
  <si>
    <t>For postmonsoon maintenance</t>
  </si>
  <si>
    <t>14-12-2025 10:00:00</t>
  </si>
  <si>
    <t>14-12-2025 18:00:00</t>
  </si>
  <si>
    <t>SK chaturvedi</t>
  </si>
  <si>
    <t>9425806938</t>
  </si>
  <si>
    <t>MR2512/0236</t>
  </si>
  <si>
    <t>220KV_220 kv Kotar  â¿¿  Tons ckt â¿¿ I</t>
  </si>
  <si>
    <t>220KV_KOTAR</t>
  </si>
  <si>
    <t>Double  fitting work</t>
  </si>
  <si>
    <t>13-12-2025 09:00:00</t>
  </si>
  <si>
    <t>20-12-2025 17:00:00</t>
  </si>
  <si>
    <t>Mr.R.K.Prajapati</t>
  </si>
  <si>
    <t>9407070182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</si>
  <si>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</si>
  <si>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</si>
  <si>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</si>
  <si>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</si>
  <si>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</si>
  <si>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</si>
  <si>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</si>
  <si>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</si>
  <si>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MR2512/0139</t>
  </si>
  <si>
    <t>132KV_132 KV Rajghat BINA FEEDER</t>
  </si>
  <si>
    <t>132KV_RAJGHAT</t>
  </si>
  <si>
    <t>Retrofitting of numerical relay</t>
  </si>
  <si>
    <t>09-12-2025 10:00:00</t>
  </si>
  <si>
    <t>Rajghat hps MPPGCL CHANDERI</t>
  </si>
  <si>
    <t>9630685929</t>
  </si>
  <si>
    <t>MR2512/0226</t>
  </si>
  <si>
    <t>132KV_132kV Rajmilan - Janakpur Ckt</t>
  </si>
  <si>
    <t>132KV_RAJMILAN</t>
  </si>
  <si>
    <t>Modification/Shifting work.</t>
  </si>
  <si>
    <t>12-12-2025 09:00:00</t>
  </si>
  <si>
    <t>G.L Sahu</t>
  </si>
  <si>
    <t>9425805102</t>
  </si>
  <si>
    <t>MR2512/0227</t>
  </si>
  <si>
    <t>132KV_132kV Rajmilan - Dongrital Ckt</t>
  </si>
  <si>
    <t>132KV_132KV Rampur naikin -Beohari circuit</t>
  </si>
  <si>
    <t>132KV_RAMPUR NAIKEN</t>
  </si>
  <si>
    <t>Disc string replacement work</t>
  </si>
  <si>
    <t>14-12-2025 17:00:00</t>
  </si>
  <si>
    <t>G.L sahu</t>
  </si>
  <si>
    <t>MR2512/0260</t>
  </si>
  <si>
    <t>MR2511/0484</t>
  </si>
  <si>
    <t>400KV_SARNI INDIRASAGAR LINE</t>
  </si>
  <si>
    <t>400KV_SATPURA TPS</t>
  </si>
  <si>
    <t>OPGW STRINGING WORK</t>
  </si>
  <si>
    <t>25-11-2025 07:00:00</t>
  </si>
  <si>
    <t>25-12-2025 19:00:00</t>
  </si>
  <si>
    <t>SHIV KUMAR</t>
  </si>
  <si>
    <t>9425806917</t>
  </si>
  <si>
    <t>MR2512/0253</t>
  </si>
  <si>
    <t>132KV_132kv Shivpuri Mohna Line</t>
  </si>
  <si>
    <t>220KV_SHIVPURI</t>
  </si>
  <si>
    <t>Line Maintenance work</t>
  </si>
  <si>
    <t>Suraj Pawar</t>
  </si>
  <si>
    <t>9425814079</t>
  </si>
  <si>
    <t>220KV_220 KV SHUJALPUR-BHOPAL-I CKT</t>
  </si>
  <si>
    <t>220KV_SHUJALPUR</t>
  </si>
  <si>
    <t>220 KV BHOPAL BAY SHIFTING FOR NEW ADD. 200 MVA</t>
  </si>
  <si>
    <t>12-01-2026 18:00:00</t>
  </si>
  <si>
    <t>Er VIJAY OJHA</t>
  </si>
  <si>
    <t>9755836908</t>
  </si>
  <si>
    <t>MR2512/0233</t>
  </si>
  <si>
    <t>MR2512/0266</t>
  </si>
  <si>
    <t>220KV_220kV Vidisha-Bina ckt</t>
  </si>
  <si>
    <t>220KV_VIDISHA</t>
  </si>
  <si>
    <t>For Modification/shifting work of line.</t>
  </si>
  <si>
    <t>26-12-2025 18:00:00</t>
  </si>
  <si>
    <t>o&amp;m consent required</t>
  </si>
  <si>
    <t xml:space="preserve">deferred </t>
  </si>
  <si>
    <t>sub ld</t>
  </si>
  <si>
    <t>ok</t>
  </si>
  <si>
    <t>deferred by site</t>
  </si>
  <si>
    <t>o&amp;m and RTS consent required</t>
  </si>
  <si>
    <t>ok, line to be in service</t>
  </si>
  <si>
    <t xml:space="preserve"> deferred due to high loading</t>
  </si>
  <si>
    <t>ok, EI approval and PTCC clarification to be submitted while charging</t>
  </si>
  <si>
    <t>ok, through sub ld, FTC will be required for new bay shifting</t>
  </si>
  <si>
    <t>400KV-SSP-RAJGARH-1</t>
  </si>
  <si>
    <t>14-Dec-2025</t>
  </si>
  <si>
    <t>08:00</t>
  </si>
  <si>
    <t>18:00</t>
  </si>
  <si>
    <t>FOR REPLACEMENT OF OLD DISC INSULATOR ON VARIOUS TOWERS</t>
  </si>
  <si>
    <t xml:space="preserve">DIFFERED BY SITE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</si>
</sst>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0" fontId="0" fillId="0" borderId="5" xfId="0" applyBorder="1"/>
    <xf numFmtId="0" fontId="5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selection activeCell="C31" sqref="C3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5" customWidth="1"/>
    <col min="6" max="6" width="21.28515625" customWidth="1"/>
    <col min="7" max="7" width="15.7109375" customWidth="1"/>
    <col min="8" max="8" width="62.5703125" customWidth="1"/>
    <col min="9" max="10" width="19.5703125" customWidth="1"/>
    <col min="11" max="11" width="17.42578125" customWidth="1"/>
    <col min="12" max="12" width="12" customWidth="1"/>
    <col min="13" max="13" width="39.1406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46005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37.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40.5" customHeight="1" x14ac:dyDescent="0.25">
      <c r="A5" s="4">
        <v>1</v>
      </c>
      <c r="B5" s="5">
        <v>46004.580474537041</v>
      </c>
      <c r="C5" s="4" t="s">
        <v>25</v>
      </c>
      <c r="D5" s="4"/>
      <c r="E5" s="4" t="s">
        <v>17</v>
      </c>
      <c r="F5" s="4" t="s">
        <v>18</v>
      </c>
      <c r="G5" s="4" t="s">
        <v>19</v>
      </c>
      <c r="H5" s="4" t="s">
        <v>20</v>
      </c>
      <c r="I5" s="6" t="s">
        <v>21</v>
      </c>
      <c r="J5" s="6" t="s">
        <v>22</v>
      </c>
      <c r="K5" s="7" t="s">
        <v>23</v>
      </c>
      <c r="L5" s="8" t="s">
        <v>24</v>
      </c>
      <c r="M5" s="4" t="s">
        <v>137</v>
      </c>
    </row>
    <row r="6" spans="1:13" ht="40.5" customHeight="1" x14ac:dyDescent="0.25">
      <c r="A6" s="4">
        <f>A5+1</f>
        <v>2</v>
      </c>
      <c r="B6" s="5">
        <v>45988.581759259258</v>
      </c>
      <c r="C6" s="4" t="s">
        <v>32</v>
      </c>
      <c r="D6" s="4" t="s">
        <v>26</v>
      </c>
      <c r="E6" s="4" t="s">
        <v>27</v>
      </c>
      <c r="F6" s="4" t="s">
        <v>28</v>
      </c>
      <c r="G6" s="4" t="s">
        <v>19</v>
      </c>
      <c r="H6" s="4" t="s">
        <v>33</v>
      </c>
      <c r="I6" s="6" t="s">
        <v>34</v>
      </c>
      <c r="J6" s="6" t="s">
        <v>29</v>
      </c>
      <c r="K6" s="7" t="s">
        <v>30</v>
      </c>
      <c r="L6" s="8" t="s">
        <v>31</v>
      </c>
      <c r="M6" s="4" t="s">
        <v>138</v>
      </c>
    </row>
    <row r="7" spans="1:13" ht="40.5" customHeight="1" x14ac:dyDescent="0.25">
      <c r="A7" s="4">
        <f t="shared" ref="A7:A23" si="0">A6+1</f>
        <v>3</v>
      </c>
      <c r="B7" s="5">
        <v>46000.478981481479</v>
      </c>
      <c r="C7" s="4" t="s">
        <v>35</v>
      </c>
      <c r="D7" s="4" t="s">
        <v>36</v>
      </c>
      <c r="E7" s="4" t="s">
        <v>37</v>
      </c>
      <c r="F7" s="4" t="s">
        <v>38</v>
      </c>
      <c r="G7" s="4" t="s">
        <v>19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4" t="s">
        <v>36</v>
      </c>
    </row>
    <row r="8" spans="1:13" ht="40.5" customHeight="1" x14ac:dyDescent="0.25">
      <c r="A8" s="4">
        <f t="shared" si="0"/>
        <v>4</v>
      </c>
      <c r="B8" s="5">
        <v>46004.600243055553</v>
      </c>
      <c r="C8" s="4" t="s">
        <v>44</v>
      </c>
      <c r="D8" s="4"/>
      <c r="E8" s="4" t="s">
        <v>45</v>
      </c>
      <c r="F8" s="4" t="s">
        <v>46</v>
      </c>
      <c r="G8" s="4" t="s">
        <v>19</v>
      </c>
      <c r="H8" s="4" t="s">
        <v>47</v>
      </c>
      <c r="I8" s="6" t="s">
        <v>48</v>
      </c>
      <c r="J8" s="6" t="s">
        <v>22</v>
      </c>
      <c r="K8" s="7" t="s">
        <v>49</v>
      </c>
      <c r="L8" s="8" t="s">
        <v>50</v>
      </c>
      <c r="M8" s="4" t="s">
        <v>140</v>
      </c>
    </row>
    <row r="9" spans="1:13" ht="40.5" customHeight="1" x14ac:dyDescent="0.25">
      <c r="A9" s="4">
        <f t="shared" si="0"/>
        <v>5</v>
      </c>
      <c r="B9" s="5">
        <v>46004.404293981483</v>
      </c>
      <c r="C9" s="4" t="s">
        <v>51</v>
      </c>
      <c r="D9" s="4" t="s">
        <v>26</v>
      </c>
      <c r="E9" s="4" t="s">
        <v>52</v>
      </c>
      <c r="F9" s="4" t="s">
        <v>53</v>
      </c>
      <c r="G9" s="4" t="s">
        <v>19</v>
      </c>
      <c r="H9" s="4" t="s">
        <v>54</v>
      </c>
      <c r="I9" s="6" t="s">
        <v>48</v>
      </c>
      <c r="J9" s="6" t="s">
        <v>29</v>
      </c>
      <c r="K9" s="7" t="s">
        <v>55</v>
      </c>
      <c r="L9" s="8" t="s">
        <v>56</v>
      </c>
      <c r="M9" s="4" t="s">
        <v>139</v>
      </c>
    </row>
    <row r="10" spans="1:13" ht="40.5" customHeight="1" x14ac:dyDescent="0.25">
      <c r="A10" s="4">
        <f t="shared" si="0"/>
        <v>6</v>
      </c>
      <c r="B10" s="5">
        <v>45953.737569444442</v>
      </c>
      <c r="C10" s="4" t="s">
        <v>57</v>
      </c>
      <c r="D10" s="4" t="s">
        <v>36</v>
      </c>
      <c r="E10" s="4" t="s">
        <v>58</v>
      </c>
      <c r="F10" s="4" t="s">
        <v>59</v>
      </c>
      <c r="G10" s="4" t="s">
        <v>60</v>
      </c>
      <c r="H10" s="4" t="s">
        <v>61</v>
      </c>
      <c r="I10" s="6" t="s">
        <v>62</v>
      </c>
      <c r="J10" s="6" t="s">
        <v>63</v>
      </c>
      <c r="K10" s="7" t="s">
        <v>49</v>
      </c>
      <c r="L10" s="8" t="s">
        <v>50</v>
      </c>
      <c r="M10" s="4" t="s">
        <v>36</v>
      </c>
    </row>
    <row r="11" spans="1:13" ht="40.5" customHeight="1" x14ac:dyDescent="0.25">
      <c r="A11" s="4">
        <f t="shared" si="0"/>
        <v>7</v>
      </c>
      <c r="B11" s="5">
        <v>45953.747557870367</v>
      </c>
      <c r="C11" s="4" t="s">
        <v>64</v>
      </c>
      <c r="D11" s="4" t="s">
        <v>36</v>
      </c>
      <c r="E11" s="4" t="s">
        <v>65</v>
      </c>
      <c r="F11" s="4" t="s">
        <v>59</v>
      </c>
      <c r="G11" s="4" t="s">
        <v>19</v>
      </c>
      <c r="H11" s="4" t="s">
        <v>61</v>
      </c>
      <c r="I11" s="6" t="s">
        <v>62</v>
      </c>
      <c r="J11" s="6" t="s">
        <v>63</v>
      </c>
      <c r="K11" s="7" t="s">
        <v>49</v>
      </c>
      <c r="L11" s="8" t="s">
        <v>50</v>
      </c>
      <c r="M11" s="4" t="s">
        <v>36</v>
      </c>
    </row>
    <row r="12" spans="1:13" ht="40.5" customHeight="1" x14ac:dyDescent="0.25">
      <c r="A12" s="4">
        <f t="shared" si="0"/>
        <v>8</v>
      </c>
      <c r="B12" s="5">
        <v>46004.642557870371</v>
      </c>
      <c r="C12" s="4" t="s">
        <v>66</v>
      </c>
      <c r="D12" s="4"/>
      <c r="E12" s="4" t="s">
        <v>67</v>
      </c>
      <c r="F12" s="4" t="s">
        <v>59</v>
      </c>
      <c r="G12" s="4" t="s">
        <v>19</v>
      </c>
      <c r="H12" s="4" t="s">
        <v>68</v>
      </c>
      <c r="I12" s="6" t="s">
        <v>69</v>
      </c>
      <c r="J12" s="6" t="s">
        <v>70</v>
      </c>
      <c r="K12" s="7" t="s">
        <v>71</v>
      </c>
      <c r="L12" s="8" t="s">
        <v>72</v>
      </c>
      <c r="M12" s="4" t="s">
        <v>144</v>
      </c>
    </row>
    <row r="13" spans="1:13" ht="40.5" customHeight="1" x14ac:dyDescent="0.25">
      <c r="A13" s="4">
        <f t="shared" si="0"/>
        <v>9</v>
      </c>
      <c r="B13" s="5">
        <v>46003.590949074074</v>
      </c>
      <c r="C13" s="4" t="s">
        <v>73</v>
      </c>
      <c r="D13" s="4" t="s">
        <v>26</v>
      </c>
      <c r="E13" s="4" t="s">
        <v>74</v>
      </c>
      <c r="F13" s="4" t="s">
        <v>75</v>
      </c>
      <c r="G13" s="4" t="s">
        <v>19</v>
      </c>
      <c r="H13" s="4" t="s">
        <v>76</v>
      </c>
      <c r="I13" s="6" t="s">
        <v>77</v>
      </c>
      <c r="J13" s="6" t="s">
        <v>78</v>
      </c>
      <c r="K13" s="7" t="s">
        <v>79</v>
      </c>
      <c r="L13" s="8" t="s">
        <v>80</v>
      </c>
      <c r="M13" s="4" t="s">
        <v>140</v>
      </c>
    </row>
    <row r="14" spans="1:13" ht="40.5" customHeight="1" x14ac:dyDescent="0.25">
      <c r="A14" s="4">
        <f t="shared" si="0"/>
        <v>10</v>
      </c>
      <c r="B14" s="5">
        <v>45960.566990740743</v>
      </c>
      <c r="C14" s="4" t="s">
        <v>81</v>
      </c>
      <c r="D14" s="4" t="s">
        <v>26</v>
      </c>
      <c r="E14" s="4" t="s">
        <v>82</v>
      </c>
      <c r="F14" s="4" t="s">
        <v>83</v>
      </c>
      <c r="G14" s="4" t="s">
        <v>19</v>
      </c>
      <c r="H14" s="4" t="s">
        <v>84</v>
      </c>
      <c r="I14" s="6" t="s">
        <v>85</v>
      </c>
      <c r="J14" s="6" t="s">
        <v>86</v>
      </c>
      <c r="K14" s="7" t="s">
        <v>87</v>
      </c>
      <c r="L14" s="8" t="s">
        <v>88</v>
      </c>
      <c r="M14" s="4" t="s">
        <v>141</v>
      </c>
    </row>
    <row r="15" spans="1:13" ht="40.5" customHeight="1" x14ac:dyDescent="0.25">
      <c r="A15" s="4">
        <f t="shared" si="0"/>
        <v>11</v>
      </c>
      <c r="B15" s="5">
        <v>45999.684027777781</v>
      </c>
      <c r="C15" s="4" t="s">
        <v>89</v>
      </c>
      <c r="D15" s="4" t="s">
        <v>36</v>
      </c>
      <c r="E15" s="4" t="s">
        <v>90</v>
      </c>
      <c r="F15" s="4" t="s">
        <v>91</v>
      </c>
      <c r="G15" s="4" t="s">
        <v>60</v>
      </c>
      <c r="H15" s="4" t="s">
        <v>92</v>
      </c>
      <c r="I15" s="6" t="s">
        <v>93</v>
      </c>
      <c r="J15" s="6" t="s">
        <v>70</v>
      </c>
      <c r="K15" s="7" t="s">
        <v>94</v>
      </c>
      <c r="L15" s="8" t="s">
        <v>95</v>
      </c>
      <c r="M15" s="4" t="s">
        <v>36</v>
      </c>
    </row>
    <row r="16" spans="1:13" ht="40.5" customHeight="1" x14ac:dyDescent="0.25">
      <c r="A16" s="4">
        <f t="shared" si="0"/>
        <v>12</v>
      </c>
      <c r="B16" s="5">
        <v>46002.713472222225</v>
      </c>
      <c r="C16" s="4" t="s">
        <v>96</v>
      </c>
      <c r="D16" s="4" t="s">
        <v>36</v>
      </c>
      <c r="E16" s="4" t="s">
        <v>97</v>
      </c>
      <c r="F16" s="4" t="s">
        <v>98</v>
      </c>
      <c r="G16" s="4" t="s">
        <v>19</v>
      </c>
      <c r="H16" s="4" t="s">
        <v>99</v>
      </c>
      <c r="I16" s="6" t="s">
        <v>100</v>
      </c>
      <c r="J16" s="6" t="s">
        <v>70</v>
      </c>
      <c r="K16" s="7" t="s">
        <v>101</v>
      </c>
      <c r="L16" s="8" t="s">
        <v>102</v>
      </c>
      <c r="M16" s="4" t="s">
        <v>36</v>
      </c>
    </row>
    <row r="17" spans="1:13" ht="40.5" customHeight="1" x14ac:dyDescent="0.25">
      <c r="A17" s="4">
        <f t="shared" si="0"/>
        <v>13</v>
      </c>
      <c r="B17" s="5">
        <v>46002.715405092589</v>
      </c>
      <c r="C17" s="4" t="s">
        <v>103</v>
      </c>
      <c r="D17" s="4" t="s">
        <v>36</v>
      </c>
      <c r="E17" s="4" t="s">
        <v>104</v>
      </c>
      <c r="F17" s="4" t="s">
        <v>98</v>
      </c>
      <c r="G17" s="4" t="s">
        <v>19</v>
      </c>
      <c r="H17" s="4" t="s">
        <v>99</v>
      </c>
      <c r="I17" s="6" t="s">
        <v>100</v>
      </c>
      <c r="J17" s="6" t="s">
        <v>70</v>
      </c>
      <c r="K17" s="7" t="s">
        <v>101</v>
      </c>
      <c r="L17" s="8" t="s">
        <v>102</v>
      </c>
      <c r="M17" s="4" t="s">
        <v>36</v>
      </c>
    </row>
    <row r="18" spans="1:13" ht="40.5" customHeight="1" x14ac:dyDescent="0.25">
      <c r="A18" s="4">
        <f t="shared" si="0"/>
        <v>14</v>
      </c>
      <c r="B18" s="5">
        <v>46004.616550925923</v>
      </c>
      <c r="C18" s="4" t="s">
        <v>110</v>
      </c>
      <c r="D18" s="4"/>
      <c r="E18" s="4" t="s">
        <v>105</v>
      </c>
      <c r="F18" s="4" t="s">
        <v>106</v>
      </c>
      <c r="G18" s="4" t="s">
        <v>19</v>
      </c>
      <c r="H18" s="4" t="s">
        <v>107</v>
      </c>
      <c r="I18" s="6" t="s">
        <v>48</v>
      </c>
      <c r="J18" s="6" t="s">
        <v>108</v>
      </c>
      <c r="K18" s="7" t="s">
        <v>109</v>
      </c>
      <c r="L18" s="8" t="s">
        <v>102</v>
      </c>
      <c r="M18" s="4" t="s">
        <v>142</v>
      </c>
    </row>
    <row r="19" spans="1:13" ht="40.5" customHeight="1" x14ac:dyDescent="0.25">
      <c r="A19" s="4">
        <f t="shared" si="0"/>
        <v>15</v>
      </c>
      <c r="B19" s="5">
        <v>45982.62771990741</v>
      </c>
      <c r="C19" s="4" t="s">
        <v>111</v>
      </c>
      <c r="D19" s="4" t="s">
        <v>26</v>
      </c>
      <c r="E19" s="4" t="s">
        <v>112</v>
      </c>
      <c r="F19" s="4" t="s">
        <v>113</v>
      </c>
      <c r="G19" s="4" t="s">
        <v>19</v>
      </c>
      <c r="H19" s="4" t="s">
        <v>114</v>
      </c>
      <c r="I19" s="6" t="s">
        <v>115</v>
      </c>
      <c r="J19" s="6" t="s">
        <v>116</v>
      </c>
      <c r="K19" s="7" t="s">
        <v>117</v>
      </c>
      <c r="L19" s="8" t="s">
        <v>118</v>
      </c>
      <c r="M19" s="4" t="s">
        <v>143</v>
      </c>
    </row>
    <row r="20" spans="1:13" ht="40.5" customHeight="1" x14ac:dyDescent="0.25">
      <c r="A20" s="13">
        <f t="shared" si="0"/>
        <v>16</v>
      </c>
      <c r="B20" s="14">
        <v>46004.443993055553</v>
      </c>
      <c r="C20" s="13" t="s">
        <v>119</v>
      </c>
      <c r="D20" s="13"/>
      <c r="E20" s="13" t="s">
        <v>120</v>
      </c>
      <c r="F20" s="13" t="s">
        <v>121</v>
      </c>
      <c r="G20" s="13" t="s">
        <v>19</v>
      </c>
      <c r="H20" s="13" t="s">
        <v>122</v>
      </c>
      <c r="I20" s="15" t="s">
        <v>69</v>
      </c>
      <c r="J20" s="15" t="s">
        <v>108</v>
      </c>
      <c r="K20" s="16" t="s">
        <v>123</v>
      </c>
      <c r="L20" s="17" t="s">
        <v>124</v>
      </c>
      <c r="M20" s="13" t="s">
        <v>139</v>
      </c>
    </row>
    <row r="21" spans="1:13" ht="40.5" customHeight="1" x14ac:dyDescent="0.25">
      <c r="A21" s="18">
        <f t="shared" si="0"/>
        <v>17</v>
      </c>
      <c r="B21" s="19">
        <v>46003.541168981479</v>
      </c>
      <c r="C21" s="18" t="s">
        <v>131</v>
      </c>
      <c r="D21" s="18" t="s">
        <v>36</v>
      </c>
      <c r="E21" s="18" t="s">
        <v>125</v>
      </c>
      <c r="F21" s="18" t="s">
        <v>126</v>
      </c>
      <c r="G21" s="18" t="s">
        <v>19</v>
      </c>
      <c r="H21" s="18" t="s">
        <v>127</v>
      </c>
      <c r="I21" s="20" t="s">
        <v>77</v>
      </c>
      <c r="J21" s="20" t="s">
        <v>128</v>
      </c>
      <c r="K21" s="18" t="s">
        <v>129</v>
      </c>
      <c r="L21" s="18" t="s">
        <v>130</v>
      </c>
      <c r="M21" s="23" t="s">
        <v>146</v>
      </c>
    </row>
    <row r="22" spans="1:13" ht="40.5" customHeight="1" x14ac:dyDescent="0.25">
      <c r="A22" s="18">
        <f t="shared" si="0"/>
        <v>18</v>
      </c>
      <c r="B22" s="19">
        <v>46004.649699074071</v>
      </c>
      <c r="C22" s="18" t="s">
        <v>132</v>
      </c>
      <c r="D22" s="18" t="s">
        <v>36</v>
      </c>
      <c r="E22" s="18" t="s">
        <v>133</v>
      </c>
      <c r="F22" s="18" t="s">
        <v>134</v>
      </c>
      <c r="G22" s="18" t="s">
        <v>19</v>
      </c>
      <c r="H22" s="18" t="s">
        <v>135</v>
      </c>
      <c r="I22" s="20" t="s">
        <v>48</v>
      </c>
      <c r="J22" s="20" t="s">
        <v>136</v>
      </c>
      <c r="K22" s="18" t="s">
        <v>30</v>
      </c>
      <c r="L22" s="18" t="s">
        <v>31</v>
      </c>
      <c r="M22" s="23" t="s">
        <v>145</v>
      </c>
    </row>
    <row r="23" spans="1:13" x14ac:dyDescent="0.25">
      <c r="A23" s="18">
        <f t="shared" si="0"/>
        <v>19</v>
      </c>
      <c r="B23" s="21"/>
      <c r="C23" s="22">
        <v>275193</v>
      </c>
      <c r="D23" s="21"/>
      <c r="E23" s="22" t="s">
        <v>147</v>
      </c>
      <c r="F23" s="21"/>
      <c r="G23" s="21"/>
      <c r="H23" s="22" t="s">
        <v>151</v>
      </c>
      <c r="I23" s="22" t="s">
        <v>148</v>
      </c>
      <c r="J23" s="22" t="s">
        <v>149</v>
      </c>
      <c r="K23" s="22" t="s">
        <v>148</v>
      </c>
      <c r="L23" s="22" t="s">
        <v>150</v>
      </c>
      <c r="M23" s="24" t="s">
        <v>152</v>
      </c>
    </row>
    <row r="24" spans="1:13" x14ac:dyDescent="0.25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</row>
    <row r="25" spans="1:13" x14ac:dyDescent="0.25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  <row r="26" spans="1:13" x14ac:dyDescent="0.25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</row>
    <row r="27" spans="1:13" x14ac:dyDescent="0.25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</row>
    <row r="28" spans="1:13" x14ac:dyDescent="0.25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</row>
    <row r="29" spans="1:13" x14ac:dyDescent="0.25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spans="1:13" x14ac:dyDescent="0.25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2025-12-13T12:02:17Z</dcterms:created>
  <dcterms:modified xsi:type="dcterms:W3CDTF">2025-12-13T13:22:24Z</dcterms:modified>
</cp:coreProperties>
</file>
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9040" windowHeight="15720"/>
  </bookViews>
  <sheets>
    <sheet name="Sheet0" sheetId="1" r:id="rId1"/>
  </sheets>
  <definedNames>
    <definedName name="__bookmark_1">Sheet0!$A$1:$M$28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</calcChain>
</file>

<file path=xl/sharedStrings.xml><?xml version="1.0" encoding="utf-8"?>
<sst xmlns="http://schemas.openxmlformats.org/spreadsheetml/2006/main" count="216" uniqueCount="166">
  <si>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</si>
  <si>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</si>
  <si>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</si>
  <si>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</si>
  <si>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</si>
  <si>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</si>
  <si>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</si>
  <si>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</si>
  <si>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</si>
  <si>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</si>
  <si>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</si>
  <si>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</si>
  <si>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</si>
  <si>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</si>
  <si>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</si>
  <si>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</si>
  <si>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</si>
  <si>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</si>
  <si>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NON-OCCM-MP</t>
  </si>
  <si>
    <t>16-12-2025 09:00:00</t>
  </si>
  <si>
    <t>132KV_AMARPATAN</t>
  </si>
  <si>
    <t>Arun Kumar</t>
  </si>
  <si>
    <t>9131207339</t>
  </si>
  <si>
    <t>Continuous</t>
  </si>
  <si>
    <t>220KV_BHOPAL</t>
  </si>
  <si>
    <t>A K Jain</t>
  </si>
  <si>
    <t>9425806899</t>
  </si>
  <si>
    <t>Rajkumar Bhusare</t>
  </si>
  <si>
    <t>9425820042</t>
  </si>
  <si>
    <t>9425163265</t>
  </si>
  <si>
    <t>DAMAGE CONDUCTOR REPLACEMENT</t>
  </si>
  <si>
    <t>18-12-2025 07:00:00</t>
  </si>
  <si>
    <t>8305612190</t>
  </si>
  <si>
    <t>23-12-2025 19:00:00</t>
  </si>
  <si>
    <t>MR2512/0344</t>
  </si>
  <si>
    <t>132KV_NORTHZONE (INDORE) â¿¿ CHAMBAL  CKT-1 LINE.</t>
  </si>
  <si>
    <t>220KV_INDORE NORTH</t>
  </si>
  <si>
    <t>Ravindra Patil</t>
  </si>
  <si>
    <t>MR2512/0346</t>
  </si>
  <si>
    <t>132KV_132 KV NORTHZONE (INDORE) â¿¿ CHAMBAL CKT-2 LINE.</t>
  </si>
  <si>
    <t>Ravindra patil</t>
  </si>
  <si>
    <t>MR2512/0338</t>
  </si>
  <si>
    <t>220KV_220 KV Itarsi-Pipariya Ckt-II</t>
  </si>
  <si>
    <t>220KV_ITARSI</t>
  </si>
  <si>
    <t>for replacement of Single to Double Disc Insulator</t>
  </si>
  <si>
    <t>18-12-2025 09:00:00</t>
  </si>
  <si>
    <t>21-12-2025 18:00:00</t>
  </si>
  <si>
    <t>Ashutosh Rai</t>
  </si>
  <si>
    <t>9425806902</t>
  </si>
  <si>
    <t>14-12-2025 09:00:00</t>
  </si>
  <si>
    <t>OCCM-MP</t>
  </si>
  <si>
    <t>31-12-2025 18:00:00</t>
  </si>
  <si>
    <t>220KV_220  kv Satna (PGCIL)  â¿¿  Kotar  line</t>
  </si>
  <si>
    <t>220KV_KOTAR</t>
  </si>
  <si>
    <t>Double  fitting work</t>
  </si>
  <si>
    <t>23-12-2025 17:00:00</t>
  </si>
  <si>
    <t>Mr. R.K.Prajapati</t>
  </si>
  <si>
    <t>9407070182</t>
  </si>
  <si>
    <t>MR2512/0176</t>
  </si>
  <si>
    <t>13-12-2025 09:00:00</t>
  </si>
  <si>
    <t>NON-OCCM-WR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</si>
  <si>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</si>
  <si>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</si>
  <si>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</si>
  <si>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</si>
  <si>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</si>
  <si>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</si>
  <si>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</si>
  <si>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G.L Sahu</t>
  </si>
  <si>
    <t>9425805102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</si>
  <si>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</si>
  <si>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</si>
  <si>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</si>
  <si>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</si>
  <si>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</si>
  <si>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</si>
  <si>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</si>
  <si>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</si>
  <si>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220KV_220 KV SHUJALPUR-BHOPAL-I CKT</t>
  </si>
  <si>
    <t>220KV_SHUJALPUR</t>
  </si>
  <si>
    <t>220 KV BHOPAL BAY SHIFTING FOR NEW ADD. 200 MVA</t>
  </si>
  <si>
    <t>12-01-2026 18:00:00</t>
  </si>
  <si>
    <t>Er VIJAY OJHA</t>
  </si>
  <si>
    <t>9755836908</t>
  </si>
  <si>
    <t>MR2512/0233</t>
  </si>
  <si>
    <t>MR2512/0266</t>
  </si>
  <si>
    <t>220KV_220kV Vidisha-Bina ckt</t>
  </si>
  <si>
    <t>220KV_VIDISHA</t>
  </si>
  <si>
    <t>For Modification/shifting work of line.</t>
  </si>
  <si>
    <t>26-12-2025 18:00:00</t>
  </si>
  <si>
    <t>deferred</t>
  </si>
  <si>
    <t>o&amp;m consent required</t>
  </si>
  <si>
    <t>ok, through sub ld</t>
  </si>
  <si>
    <t>sub ld</t>
  </si>
  <si>
    <t>ok, line to be in service</t>
  </si>
  <si>
    <t>MR2512/0421</t>
  </si>
  <si>
    <t>132KV_40 mva Xmer</t>
  </si>
  <si>
    <t>for saftey clearance purpose</t>
  </si>
  <si>
    <t>21-12-2025 09:30:00</t>
  </si>
  <si>
    <t>21-12-2025 16:30:00</t>
  </si>
  <si>
    <t>MR2512/0417</t>
  </si>
  <si>
    <t>220KV_220 KV Bus No.1</t>
  </si>
  <si>
    <t>Dismantling &amp; restringing of overhead conductor</t>
  </si>
  <si>
    <t>21-12-2025 09:00:00</t>
  </si>
  <si>
    <t>21-12-2025 17:00:00</t>
  </si>
  <si>
    <t>MR2512/0390</t>
  </si>
  <si>
    <t>132KV_132KV Main Bus at 132KV Sub Dindori</t>
  </si>
  <si>
    <t>132KV_DINDORI</t>
  </si>
  <si>
    <t>For Jumper connection work with 132kv Main Bus</t>
  </si>
  <si>
    <t>21-12-2025 12:00:00</t>
  </si>
  <si>
    <t>21-12-2025 16:00:00</t>
  </si>
  <si>
    <t>Vijay Kumar Tandekar</t>
  </si>
  <si>
    <t>9425805095</t>
  </si>
  <si>
    <t>loading of mandla and maneri shall be reviewed before, if required 132kv Balaghat-Baihar to be taken in service, gorakhpur shall be extended supply from shahdol in consultation with EE-T&amp;C</t>
  </si>
  <si>
    <t>MR2512/0416</t>
  </si>
  <si>
    <t>132KV_132 kV Shahdol-Dindori Circuit II</t>
  </si>
  <si>
    <t>F/o disc replacement &amp; other line maintenance</t>
  </si>
  <si>
    <t>Jitendra Tiwari</t>
  </si>
  <si>
    <t>9425805298</t>
  </si>
  <si>
    <t>as opportunity s/d</t>
  </si>
  <si>
    <t>MR2512/0414</t>
  </si>
  <si>
    <t>132KV_40mva X-mer BBL</t>
  </si>
  <si>
    <t>132KV_MAJHGAWAN</t>
  </si>
  <si>
    <t>For Post mansoon maintenance and Testing work</t>
  </si>
  <si>
    <t>21-12-2025 11:00:00</t>
  </si>
  <si>
    <t>Arun Kumar kol</t>
  </si>
  <si>
    <t>8319677721</t>
  </si>
  <si>
    <t>MR2512/0408</t>
  </si>
  <si>
    <t>132KV_132 KV MAIN BUS</t>
  </si>
  <si>
    <t>220KV_PITHAMPUR-II (SEC-I)</t>
  </si>
  <si>
    <t>132 KV MAIN BUS SHUTDOWN</t>
  </si>
  <si>
    <t>21-12-2025 07:00:00</t>
  </si>
  <si>
    <t>21-12-2025 22:00:00</t>
  </si>
  <si>
    <t>RAJU DASH BAIRAGI</t>
  </si>
  <si>
    <t>9425801532</t>
  </si>
  <si>
    <t>sub ld to manage/monitor the loading</t>
  </si>
  <si>
    <t>MR2512/0412</t>
  </si>
  <si>
    <t>132KV_132kV Rewa - Rampur Naikin Ckt</t>
  </si>
  <si>
    <t>220KV_REWA</t>
  </si>
  <si>
    <t>Tension Tower Disc String Replacement</t>
  </si>
  <si>
    <t>21-12-2025 10:00:00</t>
  </si>
  <si>
    <t>o&amp;m and RTS consent required</t>
  </si>
  <si>
    <t>MR2512/0402</t>
  </si>
  <si>
    <t>132KV_132 KV Main bus</t>
  </si>
  <si>
    <t>220KV_SHIVPURI</t>
  </si>
  <si>
    <t>Main bus to isolator jumpering work</t>
  </si>
  <si>
    <t>21-12-2025 15:00:00</t>
  </si>
  <si>
    <t>Er. Sunny Kumar</t>
  </si>
  <si>
    <t>9425806888</t>
  </si>
  <si>
    <t>sub ld to manage, RTS consent to be taken, no new charging will be allowed</t>
  </si>
  <si>
    <t>MR2512/0403</t>
  </si>
  <si>
    <t>132KV_132kv Shivpuri Karahal Line</t>
  </si>
  <si>
    <t>Line Maintenance work</t>
  </si>
  <si>
    <t>Suraj Pawar</t>
  </si>
  <si>
    <t>9425814079</t>
  </si>
  <si>
    <t>MR2512/0410</t>
  </si>
  <si>
    <t>132KV_132 kv main bus shutdown</t>
  </si>
  <si>
    <t>for connecting jumper of 132 kV Karahal circuit 2n</t>
  </si>
  <si>
    <t>rohit  kumar yadav</t>
  </si>
  <si>
    <t>9425804921</t>
  </si>
  <si>
    <t>MR2512/0409</t>
  </si>
  <si>
    <t>132KV_VFJ CKT 2 TAPPED VINOBA</t>
  </si>
  <si>
    <t>132KV_VINOBA BHAVE</t>
  </si>
  <si>
    <t>FOR SECOND CIRCUITING WORK</t>
  </si>
  <si>
    <t>R S BAIS</t>
  </si>
  <si>
    <t>ok, no new charging will be allowed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</si>
</sst>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5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3" name="Picture 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3"/>
  <sheetViews>
    <sheetView tabSelected="1" topLeftCell="A4" workbookViewId="0">
      <selection sqref="A1:XFD1048576"/>
    </sheetView>
  </sheetViews>
  <sheetFormatPr defaultRowHeight="15"/>
  <cols>
    <col min="2" max="2" width="11.140625" customWidth="1"/>
    <col min="3" max="3" width="13.42578125" customWidth="1"/>
    <col min="5" max="5" width="64.140625" customWidth="1"/>
    <col min="6" max="6" width="25.85546875" customWidth="1"/>
    <col min="7" max="7" width="15.7109375" customWidth="1"/>
    <col min="8" max="8" width="45" customWidth="1"/>
    <col min="9" max="10" width="19.5703125" customWidth="1"/>
    <col min="11" max="11" width="20.85546875" customWidth="1"/>
    <col min="12" max="12" width="12" customWidth="1"/>
    <col min="13" max="13" width="57.85546875" customWidth="1"/>
  </cols>
  <sheetData>
    <row r="1" spans="1:13" ht="43.7" customHeight="1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>
      <c r="A2" s="1" t="s">
        <v>1</v>
      </c>
      <c r="B2" s="2">
        <v>46012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9" t="s">
        <v>2</v>
      </c>
      <c r="B3" s="9" t="s">
        <v>3</v>
      </c>
      <c r="C3" s="9" t="s">
        <v>4</v>
      </c>
      <c r="D3" s="9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9" t="s">
        <v>5</v>
      </c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9" t="s">
        <v>11</v>
      </c>
      <c r="H4" s="9" t="s">
        <v>12</v>
      </c>
      <c r="I4" s="9" t="s">
        <v>13</v>
      </c>
      <c r="J4" s="9" t="s">
        <v>14</v>
      </c>
      <c r="K4" s="13" t="s">
        <v>15</v>
      </c>
      <c r="L4" s="12"/>
      <c r="M4" s="9" t="s">
        <v>16</v>
      </c>
    </row>
    <row r="5" spans="1:13" ht="35.25" customHeight="1">
      <c r="A5" s="3">
        <v>1</v>
      </c>
      <c r="B5" s="4">
        <v>46011.694502314815</v>
      </c>
      <c r="C5" s="3" t="s">
        <v>95</v>
      </c>
      <c r="D5" s="3"/>
      <c r="E5" s="3" t="s">
        <v>96</v>
      </c>
      <c r="F5" s="3" t="s">
        <v>20</v>
      </c>
      <c r="G5" s="3" t="s">
        <v>18</v>
      </c>
      <c r="H5" s="3" t="s">
        <v>97</v>
      </c>
      <c r="I5" s="5" t="s">
        <v>98</v>
      </c>
      <c r="J5" s="5" t="s">
        <v>99</v>
      </c>
      <c r="K5" s="6" t="s">
        <v>21</v>
      </c>
      <c r="L5" s="7" t="s">
        <v>22</v>
      </c>
      <c r="M5" s="3" t="s">
        <v>91</v>
      </c>
    </row>
    <row r="6" spans="1:13" ht="35.25" customHeight="1">
      <c r="A6" s="3">
        <f>A5+1</f>
        <v>2</v>
      </c>
      <c r="B6" s="4">
        <v>46011.645543981482</v>
      </c>
      <c r="C6" s="3" t="s">
        <v>100</v>
      </c>
      <c r="D6" s="3"/>
      <c r="E6" s="8" t="s">
        <v>101</v>
      </c>
      <c r="F6" s="3" t="s">
        <v>24</v>
      </c>
      <c r="G6" s="3" t="s">
        <v>18</v>
      </c>
      <c r="H6" s="3" t="s">
        <v>102</v>
      </c>
      <c r="I6" s="5" t="s">
        <v>103</v>
      </c>
      <c r="J6" s="5" t="s">
        <v>104</v>
      </c>
      <c r="K6" s="6" t="s">
        <v>25</v>
      </c>
      <c r="L6" s="7" t="s">
        <v>26</v>
      </c>
      <c r="M6" s="3" t="s">
        <v>92</v>
      </c>
    </row>
    <row r="7" spans="1:13" ht="74.25" customHeight="1">
      <c r="A7" s="3">
        <f t="shared" ref="A7:A22" si="0">A6+1</f>
        <v>3</v>
      </c>
      <c r="B7" s="4">
        <v>46009.910185185188</v>
      </c>
      <c r="C7" s="3" t="s">
        <v>105</v>
      </c>
      <c r="D7" s="3"/>
      <c r="E7" s="8" t="s">
        <v>106</v>
      </c>
      <c r="F7" s="3" t="s">
        <v>107</v>
      </c>
      <c r="G7" s="3" t="s">
        <v>18</v>
      </c>
      <c r="H7" s="3" t="s">
        <v>108</v>
      </c>
      <c r="I7" s="5" t="s">
        <v>109</v>
      </c>
      <c r="J7" s="5" t="s">
        <v>110</v>
      </c>
      <c r="K7" s="6" t="s">
        <v>111</v>
      </c>
      <c r="L7" s="7" t="s">
        <v>112</v>
      </c>
      <c r="M7" s="3" t="s">
        <v>113</v>
      </c>
    </row>
    <row r="8" spans="1:13" ht="35.25" customHeight="1">
      <c r="A8" s="3">
        <f t="shared" si="0"/>
        <v>4</v>
      </c>
      <c r="B8" s="4">
        <v>46011.635057870371</v>
      </c>
      <c r="C8" s="3" t="s">
        <v>114</v>
      </c>
      <c r="D8" s="3"/>
      <c r="E8" s="8" t="s">
        <v>115</v>
      </c>
      <c r="F8" s="3" t="s">
        <v>107</v>
      </c>
      <c r="G8" s="3" t="s">
        <v>18</v>
      </c>
      <c r="H8" s="3" t="s">
        <v>116</v>
      </c>
      <c r="I8" s="5" t="s">
        <v>109</v>
      </c>
      <c r="J8" s="5" t="s">
        <v>110</v>
      </c>
      <c r="K8" s="6" t="s">
        <v>117</v>
      </c>
      <c r="L8" s="7" t="s">
        <v>118</v>
      </c>
      <c r="M8" s="3" t="s">
        <v>119</v>
      </c>
    </row>
    <row r="9" spans="1:13" ht="35.25" customHeight="1">
      <c r="A9" s="3">
        <f t="shared" si="0"/>
        <v>5</v>
      </c>
      <c r="B9" s="4">
        <v>46008.563807870371</v>
      </c>
      <c r="C9" s="3" t="s">
        <v>34</v>
      </c>
      <c r="D9" s="3" t="s">
        <v>17</v>
      </c>
      <c r="E9" s="3" t="s">
        <v>35</v>
      </c>
      <c r="F9" s="3" t="s">
        <v>36</v>
      </c>
      <c r="G9" s="3" t="s">
        <v>18</v>
      </c>
      <c r="H9" s="3" t="s">
        <v>30</v>
      </c>
      <c r="I9" s="5" t="s">
        <v>31</v>
      </c>
      <c r="J9" s="5" t="s">
        <v>33</v>
      </c>
      <c r="K9" s="6" t="s">
        <v>37</v>
      </c>
      <c r="L9" s="7" t="s">
        <v>32</v>
      </c>
      <c r="M9" s="3" t="s">
        <v>93</v>
      </c>
    </row>
    <row r="10" spans="1:13" ht="35.25" customHeight="1">
      <c r="A10" s="3">
        <f t="shared" si="0"/>
        <v>6</v>
      </c>
      <c r="B10" s="4">
        <v>46008.567314814813</v>
      </c>
      <c r="C10" s="3" t="s">
        <v>38</v>
      </c>
      <c r="D10" s="3" t="s">
        <v>17</v>
      </c>
      <c r="E10" s="3" t="s">
        <v>39</v>
      </c>
      <c r="F10" s="3" t="s">
        <v>36</v>
      </c>
      <c r="G10" s="3" t="s">
        <v>18</v>
      </c>
      <c r="H10" s="3" t="s">
        <v>30</v>
      </c>
      <c r="I10" s="5" t="s">
        <v>31</v>
      </c>
      <c r="J10" s="5" t="s">
        <v>33</v>
      </c>
      <c r="K10" s="6" t="s">
        <v>40</v>
      </c>
      <c r="L10" s="7" t="s">
        <v>32</v>
      </c>
      <c r="M10" s="3" t="s">
        <v>93</v>
      </c>
    </row>
    <row r="11" spans="1:13" ht="35.25" customHeight="1">
      <c r="A11" s="3">
        <f t="shared" si="0"/>
        <v>7</v>
      </c>
      <c r="B11" s="4">
        <v>46008.480185185188</v>
      </c>
      <c r="C11" s="3" t="s">
        <v>41</v>
      </c>
      <c r="D11" s="3" t="s">
        <v>17</v>
      </c>
      <c r="E11" s="3" t="s">
        <v>42</v>
      </c>
      <c r="F11" s="3" t="s">
        <v>43</v>
      </c>
      <c r="G11" s="3" t="s">
        <v>18</v>
      </c>
      <c r="H11" s="3" t="s">
        <v>44</v>
      </c>
      <c r="I11" s="5" t="s">
        <v>45</v>
      </c>
      <c r="J11" s="5" t="s">
        <v>46</v>
      </c>
      <c r="K11" s="6" t="s">
        <v>47</v>
      </c>
      <c r="L11" s="7" t="s">
        <v>48</v>
      </c>
      <c r="M11" s="3" t="s">
        <v>92</v>
      </c>
    </row>
    <row r="12" spans="1:13" ht="35.25" customHeight="1">
      <c r="A12" s="3">
        <f t="shared" si="0"/>
        <v>8</v>
      </c>
      <c r="B12" s="4">
        <v>46001.502152777779</v>
      </c>
      <c r="C12" s="3" t="s">
        <v>58</v>
      </c>
      <c r="D12" s="3" t="s">
        <v>17</v>
      </c>
      <c r="E12" s="3" t="s">
        <v>52</v>
      </c>
      <c r="F12" s="3" t="s">
        <v>53</v>
      </c>
      <c r="G12" s="3" t="s">
        <v>18</v>
      </c>
      <c r="H12" s="3" t="s">
        <v>54</v>
      </c>
      <c r="I12" s="5" t="s">
        <v>19</v>
      </c>
      <c r="J12" s="5" t="s">
        <v>55</v>
      </c>
      <c r="K12" s="6" t="s">
        <v>56</v>
      </c>
      <c r="L12" s="7" t="s">
        <v>57</v>
      </c>
      <c r="M12" s="3" t="s">
        <v>90</v>
      </c>
    </row>
    <row r="13" spans="1:13" ht="35.25" customHeight="1">
      <c r="A13" s="3">
        <f t="shared" si="0"/>
        <v>9</v>
      </c>
      <c r="B13" s="4">
        <v>46011.620405092595</v>
      </c>
      <c r="C13" s="3" t="s">
        <v>120</v>
      </c>
      <c r="D13" s="3"/>
      <c r="E13" s="3" t="s">
        <v>121</v>
      </c>
      <c r="F13" s="3" t="s">
        <v>122</v>
      </c>
      <c r="G13" s="3" t="s">
        <v>50</v>
      </c>
      <c r="H13" s="3" t="s">
        <v>123</v>
      </c>
      <c r="I13" s="5" t="s">
        <v>124</v>
      </c>
      <c r="J13" s="5" t="s">
        <v>104</v>
      </c>
      <c r="K13" s="6" t="s">
        <v>125</v>
      </c>
      <c r="L13" s="7" t="s">
        <v>126</v>
      </c>
      <c r="M13" s="3" t="s">
        <v>91</v>
      </c>
    </row>
    <row r="14" spans="1:13" ht="35.25" customHeight="1">
      <c r="A14" s="3">
        <f t="shared" si="0"/>
        <v>10</v>
      </c>
      <c r="B14" s="4">
        <v>46011.53266203704</v>
      </c>
      <c r="C14" s="3" t="s">
        <v>127</v>
      </c>
      <c r="D14" s="3"/>
      <c r="E14" s="8" t="s">
        <v>128</v>
      </c>
      <c r="F14" s="3" t="s">
        <v>129</v>
      </c>
      <c r="G14" s="3" t="s">
        <v>60</v>
      </c>
      <c r="H14" s="3" t="s">
        <v>130</v>
      </c>
      <c r="I14" s="5" t="s">
        <v>131</v>
      </c>
      <c r="J14" s="5" t="s">
        <v>132</v>
      </c>
      <c r="K14" s="6" t="s">
        <v>133</v>
      </c>
      <c r="L14" s="7" t="s">
        <v>134</v>
      </c>
      <c r="M14" s="3" t="s">
        <v>135</v>
      </c>
    </row>
    <row r="15" spans="1:13" ht="35.25" customHeight="1">
      <c r="A15" s="3">
        <f t="shared" si="0"/>
        <v>11</v>
      </c>
      <c r="B15" s="4">
        <v>45960.569027777776</v>
      </c>
      <c r="C15" s="3" t="s">
        <v>61</v>
      </c>
      <c r="D15" s="3" t="s">
        <v>17</v>
      </c>
      <c r="E15" s="3" t="s">
        <v>62</v>
      </c>
      <c r="F15" s="3" t="s">
        <v>63</v>
      </c>
      <c r="G15" s="3" t="s">
        <v>18</v>
      </c>
      <c r="H15" s="3" t="s">
        <v>64</v>
      </c>
      <c r="I15" s="5" t="s">
        <v>65</v>
      </c>
      <c r="J15" s="5" t="s">
        <v>51</v>
      </c>
      <c r="K15" s="6" t="s">
        <v>66</v>
      </c>
      <c r="L15" s="7" t="s">
        <v>67</v>
      </c>
      <c r="M15" s="3" t="s">
        <v>90</v>
      </c>
    </row>
    <row r="16" spans="1:13" ht="35.25" customHeight="1">
      <c r="A16" s="3">
        <f t="shared" si="0"/>
        <v>12</v>
      </c>
      <c r="B16" s="4">
        <v>46011.603807870371</v>
      </c>
      <c r="C16" s="3" t="s">
        <v>136</v>
      </c>
      <c r="D16" s="3"/>
      <c r="E16" s="3" t="s">
        <v>137</v>
      </c>
      <c r="F16" s="3" t="s">
        <v>138</v>
      </c>
      <c r="G16" s="3" t="s">
        <v>18</v>
      </c>
      <c r="H16" s="3" t="s">
        <v>139</v>
      </c>
      <c r="I16" s="5" t="s">
        <v>140</v>
      </c>
      <c r="J16" s="5" t="s">
        <v>104</v>
      </c>
      <c r="K16" s="6" t="s">
        <v>68</v>
      </c>
      <c r="L16" s="7" t="s">
        <v>69</v>
      </c>
      <c r="M16" s="3" t="s">
        <v>141</v>
      </c>
    </row>
    <row r="17" spans="1:13" ht="35.25" customHeight="1">
      <c r="A17" s="3">
        <f t="shared" si="0"/>
        <v>13</v>
      </c>
      <c r="B17" s="4">
        <v>45982.62771990741</v>
      </c>
      <c r="C17" s="3" t="s">
        <v>70</v>
      </c>
      <c r="D17" s="3" t="s">
        <v>17</v>
      </c>
      <c r="E17" s="3" t="s">
        <v>71</v>
      </c>
      <c r="F17" s="3" t="s">
        <v>72</v>
      </c>
      <c r="G17" s="3" t="s">
        <v>18</v>
      </c>
      <c r="H17" s="3" t="s">
        <v>73</v>
      </c>
      <c r="I17" s="5" t="s">
        <v>74</v>
      </c>
      <c r="J17" s="5" t="s">
        <v>75</v>
      </c>
      <c r="K17" s="6" t="s">
        <v>76</v>
      </c>
      <c r="L17" s="7" t="s">
        <v>77</v>
      </c>
      <c r="M17" s="3" t="s">
        <v>94</v>
      </c>
    </row>
    <row r="18" spans="1:13" ht="35.25" customHeight="1">
      <c r="A18" s="3">
        <f t="shared" si="0"/>
        <v>14</v>
      </c>
      <c r="B18" s="4">
        <v>46010.746192129627</v>
      </c>
      <c r="C18" s="3" t="s">
        <v>142</v>
      </c>
      <c r="D18" s="3"/>
      <c r="E18" s="8" t="s">
        <v>143</v>
      </c>
      <c r="F18" s="3" t="s">
        <v>144</v>
      </c>
      <c r="G18" s="3" t="s">
        <v>18</v>
      </c>
      <c r="H18" s="3" t="s">
        <v>145</v>
      </c>
      <c r="I18" s="5" t="s">
        <v>124</v>
      </c>
      <c r="J18" s="5" t="s">
        <v>146</v>
      </c>
      <c r="K18" s="6" t="s">
        <v>147</v>
      </c>
      <c r="L18" s="7" t="s">
        <v>148</v>
      </c>
      <c r="M18" s="3" t="s">
        <v>149</v>
      </c>
    </row>
    <row r="19" spans="1:13" ht="35.25" customHeight="1">
      <c r="A19" s="3">
        <f t="shared" si="0"/>
        <v>15</v>
      </c>
      <c r="B19" s="4">
        <v>46011.45034722222</v>
      </c>
      <c r="C19" s="3" t="s">
        <v>150</v>
      </c>
      <c r="D19" s="3"/>
      <c r="E19" s="3" t="s">
        <v>151</v>
      </c>
      <c r="F19" s="3" t="s">
        <v>144</v>
      </c>
      <c r="G19" s="3" t="s">
        <v>18</v>
      </c>
      <c r="H19" s="3" t="s">
        <v>152</v>
      </c>
      <c r="I19" s="5" t="s">
        <v>124</v>
      </c>
      <c r="J19" s="5" t="s">
        <v>146</v>
      </c>
      <c r="K19" s="6" t="s">
        <v>153</v>
      </c>
      <c r="L19" s="7" t="s">
        <v>154</v>
      </c>
      <c r="M19" s="3" t="s">
        <v>93</v>
      </c>
    </row>
    <row r="20" spans="1:13" ht="35.25" customHeight="1">
      <c r="A20" s="3">
        <f t="shared" si="0"/>
        <v>16</v>
      </c>
      <c r="B20" s="4">
        <v>46011.586076388892</v>
      </c>
      <c r="C20" s="3" t="s">
        <v>155</v>
      </c>
      <c r="D20" s="3"/>
      <c r="E20" s="8" t="s">
        <v>156</v>
      </c>
      <c r="F20" s="3" t="s">
        <v>144</v>
      </c>
      <c r="G20" s="3" t="s">
        <v>18</v>
      </c>
      <c r="H20" s="3" t="s">
        <v>157</v>
      </c>
      <c r="I20" s="5" t="s">
        <v>124</v>
      </c>
      <c r="J20" s="5" t="s">
        <v>146</v>
      </c>
      <c r="K20" s="6" t="s">
        <v>158</v>
      </c>
      <c r="L20" s="7" t="s">
        <v>159</v>
      </c>
      <c r="M20" s="3" t="s">
        <v>149</v>
      </c>
    </row>
    <row r="21" spans="1:13" ht="35.25" customHeight="1">
      <c r="A21" s="3">
        <f t="shared" si="0"/>
        <v>17</v>
      </c>
      <c r="B21" s="4">
        <v>46003.541168981479</v>
      </c>
      <c r="C21" s="3" t="s">
        <v>84</v>
      </c>
      <c r="D21" s="3" t="s">
        <v>23</v>
      </c>
      <c r="E21" s="3" t="s">
        <v>78</v>
      </c>
      <c r="F21" s="3" t="s">
        <v>79</v>
      </c>
      <c r="G21" s="3" t="s">
        <v>18</v>
      </c>
      <c r="H21" s="3" t="s">
        <v>80</v>
      </c>
      <c r="I21" s="5" t="s">
        <v>59</v>
      </c>
      <c r="J21" s="5" t="s">
        <v>81</v>
      </c>
      <c r="K21" s="6" t="s">
        <v>82</v>
      </c>
      <c r="L21" s="7" t="s">
        <v>83</v>
      </c>
      <c r="M21" s="3" t="s">
        <v>23</v>
      </c>
    </row>
    <row r="22" spans="1:13" ht="35.25" customHeight="1">
      <c r="A22" s="3">
        <f t="shared" si="0"/>
        <v>18</v>
      </c>
      <c r="B22" s="4">
        <v>46004.649699074071</v>
      </c>
      <c r="C22" s="3" t="s">
        <v>85</v>
      </c>
      <c r="D22" s="3" t="s">
        <v>23</v>
      </c>
      <c r="E22" s="3" t="s">
        <v>86</v>
      </c>
      <c r="F22" s="3" t="s">
        <v>87</v>
      </c>
      <c r="G22" s="3" t="s">
        <v>18</v>
      </c>
      <c r="H22" s="3" t="s">
        <v>88</v>
      </c>
      <c r="I22" s="5" t="s">
        <v>49</v>
      </c>
      <c r="J22" s="5" t="s">
        <v>89</v>
      </c>
      <c r="K22" s="6" t="s">
        <v>27</v>
      </c>
      <c r="L22" s="7" t="s">
        <v>28</v>
      </c>
      <c r="M22" s="3" t="s">
        <v>23</v>
      </c>
    </row>
    <row r="23" spans="1:13" ht="35.25" customHeight="1">
      <c r="A23" s="3">
        <f>A22+1</f>
        <v>19</v>
      </c>
      <c r="B23" s="4">
        <v>46011.580717592595</v>
      </c>
      <c r="C23" s="3" t="s">
        <v>160</v>
      </c>
      <c r="D23" s="3"/>
      <c r="E23" s="3" t="s">
        <v>161</v>
      </c>
      <c r="F23" s="3" t="s">
        <v>162</v>
      </c>
      <c r="G23" s="3" t="s">
        <v>18</v>
      </c>
      <c r="H23" s="3" t="s">
        <v>163</v>
      </c>
      <c r="I23" s="5" t="s">
        <v>103</v>
      </c>
      <c r="J23" s="5" t="s">
        <v>146</v>
      </c>
      <c r="K23" s="6" t="s">
        <v>164</v>
      </c>
      <c r="L23" s="7" t="s">
        <v>29</v>
      </c>
      <c r="M23" s="3" t="s">
        <v>165</v>
      </c>
    </row>
  </sheetData>
  <mergeCells count="2">
    <mergeCell ref="B1:M1"/>
    <mergeCell ref="K4:L4"/>
  </mergeCells>
  <pageMargins left="0" right="0" top="0" bottom="0" header="0.51181102362204722" footer="0.51181102362204722"/>
  <pageSetup paperSize="9" scale="3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2025-12-19T12:47:12Z</cp:lastPrinted>
  <dcterms:created xsi:type="dcterms:W3CDTF">2025-12-19T11:44:45Z</dcterms:created>
  <dcterms:modified xsi:type="dcterms:W3CDTF">2025-12-20T16:01:23Z</dcterms:modified>
</cp:coreProperties>
</file>
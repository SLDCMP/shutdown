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Sheet0!$A$1:$M$22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6" i="1"/>
</calcChain>
</file>

<file path=xl/sharedStrings.xml><?xml version="1.0" encoding="utf-8"?>
<sst xmlns="http://schemas.openxmlformats.org/spreadsheetml/2006/main" count="261" uniqueCount="174">
  <si>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</si>
  <si>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</si>
  <si>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</si>
  <si>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</si>
  <si>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</si>
  <si>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</si>
  <si>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</si>
  <si>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</si>
  <si>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</si>
  <si>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</si>
  <si>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</si>
  <si>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</si>
  <si>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</si>
  <si>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</si>
  <si>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</si>
  <si>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</si>
  <si>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</si>
  <si>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MR2603/0024</t>
  </si>
  <si>
    <t>Daily</t>
  </si>
  <si>
    <t>132KV_132 KV ASHTA I/C CKT-2</t>
  </si>
  <si>
    <t>400KV_ASHTA4</t>
  </si>
  <si>
    <t>NON-OCCM-MP</t>
  </si>
  <si>
    <t>conductor upgradation work HTLS</t>
  </si>
  <si>
    <t>04-03-2026 08:00:00</t>
  </si>
  <si>
    <t>05-03-2026 18:00:00</t>
  </si>
  <si>
    <t>Nitin Reshwal</t>
  </si>
  <si>
    <t>9425804890</t>
  </si>
  <si>
    <t>MR2603/0025</t>
  </si>
  <si>
    <t>220KV_220 KV MAIN BUS -2</t>
  </si>
  <si>
    <t>220KV_BIRSINGHPUR</t>
  </si>
  <si>
    <t>B PHASE JHA &amp;CLAMP 220 JABALPUR CKT -2</t>
  </si>
  <si>
    <t>05-03-2026 10:00:00</t>
  </si>
  <si>
    <t>TOSHAN SINGH</t>
  </si>
  <si>
    <t>9752605559</t>
  </si>
  <si>
    <t>Continuous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</si>
  <si>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</si>
  <si>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</si>
  <si>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</si>
  <si>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</si>
  <si>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</si>
  <si>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</si>
  <si>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</si>
  <si>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</si>
  <si>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MR2603/0004</t>
  </si>
  <si>
    <t>400KV_UNIT#04</t>
  </si>
  <si>
    <t>400KV_INDIRASAGAR</t>
  </si>
  <si>
    <t>NON-OCCM-WR</t>
  </si>
  <si>
    <t>ANNUAL MAINTENANCE OF THE SAID UNIT</t>
  </si>
  <si>
    <t>01-03-2026 10:30:00</t>
  </si>
  <si>
    <t>15-03-2026 18:00:00</t>
  </si>
  <si>
    <t>SHRI SANJAY PATEL</t>
  </si>
  <si>
    <t>9575074321</t>
  </si>
  <si>
    <t>MR2603/0028</t>
  </si>
  <si>
    <t>132KV_132 KV CHAMBAL - ELECTRONIC  COMPLEX LINE</t>
  </si>
  <si>
    <t>132KV_INDORE CHAMBAL</t>
  </si>
  <si>
    <t>BIRD GAURD INSTALLATION WORK AND OTHER MAINTANANCE</t>
  </si>
  <si>
    <t>05-03-2026 07:00:00</t>
  </si>
  <si>
    <t>05-03-2026 17:30:00</t>
  </si>
  <si>
    <t>RAVINDRA PATIL</t>
  </si>
  <si>
    <t>9425801598</t>
  </si>
  <si>
    <t>MR2603/0007</t>
  </si>
  <si>
    <t>400KV_315 MVA ICT-3</t>
  </si>
  <si>
    <t>400KV_INDORE4</t>
  </si>
  <si>
    <t>Pre monsoon maintenance.</t>
  </si>
  <si>
    <t>06-03-2026 18:00:00</t>
  </si>
  <si>
    <t>ATUL PARADKAR</t>
  </si>
  <si>
    <t>9425804929</t>
  </si>
  <si>
    <t>MR2602/0573</t>
  </si>
  <si>
    <t>400KV_400kV 500MVA  ICT (CGL)</t>
  </si>
  <si>
    <t>400KV_MANDSOUR4</t>
  </si>
  <si>
    <t>OCCM-MP</t>
  </si>
  <si>
    <t>400kV  500MVA  ICT (CGL) 400kV Center Break Iso.</t>
  </si>
  <si>
    <t>06-03-2026 17:00:00</t>
  </si>
  <si>
    <t>CP Dhakad</t>
  </si>
  <si>
    <t>7587951067</t>
  </si>
  <si>
    <t>MR2603/0034</t>
  </si>
  <si>
    <t>220KV_220 KV MUNGALIYA CHHAP -BHOPAL</t>
  </si>
  <si>
    <t>220KV_MUGALIYACHAAP</t>
  </si>
  <si>
    <t>MAINTANACE AND TESTING WORK</t>
  </si>
  <si>
    <t>05-03-2026 14:00:00</t>
  </si>
  <si>
    <t>ANIL ACHARKATE  (AE)</t>
  </si>
  <si>
    <t>7587951086</t>
  </si>
  <si>
    <t>MR2602/0478</t>
  </si>
  <si>
    <t>132KV_132 KV Narsinghpur-Interconnector Line Ckt-I</t>
  </si>
  <si>
    <t>220KV_NARSINGHPUR</t>
  </si>
  <si>
    <t>Uprating the capacity of 132 KV Transmission Lines</t>
  </si>
  <si>
    <t>26-02-2026 08:00:00</t>
  </si>
  <si>
    <t>11-03-2026 17:00:00</t>
  </si>
  <si>
    <t>Ashish Kumar</t>
  </si>
  <si>
    <t>9425805935</t>
  </si>
  <si>
    <t>MR2603/0006</t>
  </si>
  <si>
    <t>132KV_132KV Neemuch interconnector circuit Ist</t>
  </si>
  <si>
    <t>132KV_NEEMUCH1</t>
  </si>
  <si>
    <t>Replace ACSR conductor to panthar HTLS conductor</t>
  </si>
  <si>
    <t>02-03-2026 07:00:00</t>
  </si>
  <si>
    <t>12-03-2026 19:00:00</t>
  </si>
  <si>
    <t>Gaurav Goyal</t>
  </si>
  <si>
    <t>9425805120</t>
  </si>
  <si>
    <t>MR2602/0561</t>
  </si>
  <si>
    <t>220KV_Generating Unit # 07</t>
  </si>
  <si>
    <t>220KV_OMKARESHWAR</t>
  </si>
  <si>
    <t>Annual maintenance</t>
  </si>
  <si>
    <t>02-03-2026 10:00:00</t>
  </si>
  <si>
    <t>M S Karunakar</t>
  </si>
  <si>
    <t>9789870318</t>
  </si>
  <si>
    <t>MR2603/0011</t>
  </si>
  <si>
    <t>220KV_OMKARESHWAR-JULWANIA LINE (LINE# 3) ALONG WITH ONE OF THE BUS AND BUS COUPLER</t>
  </si>
  <si>
    <t>ANNUAL MAINTENANCE</t>
  </si>
  <si>
    <t>09-03-2026 18:00:00</t>
  </si>
  <si>
    <t>NITINDEEP TAMRAKAR</t>
  </si>
  <si>
    <t>7898703187</t>
  </si>
  <si>
    <t>MR2602/0587</t>
  </si>
  <si>
    <t>400KV_400 KV SSTPH-Pithampur ckt 1</t>
  </si>
  <si>
    <t>400KV_PITHAMPUR4</t>
  </si>
  <si>
    <t>Tower Restrengthening work on cross arm.</t>
  </si>
  <si>
    <t>01-03-2026 08:00:00</t>
  </si>
  <si>
    <t>15-03-2026 08:00:00</t>
  </si>
  <si>
    <t>Naresh Pandre</t>
  </si>
  <si>
    <t>9425806905</t>
  </si>
  <si>
    <t>MR2602/0588</t>
  </si>
  <si>
    <t>400KV_400 KV SSTPH-Pithampur ckt 2</t>
  </si>
  <si>
    <t>MR2603/0008</t>
  </si>
  <si>
    <t>132KV_132kv Rewa -Inter Connector ckt-II</t>
  </si>
  <si>
    <t>220KV_REWA</t>
  </si>
  <si>
    <t>Modification/Shifting work of line</t>
  </si>
  <si>
    <t>05-03-2026 08:00:00</t>
  </si>
  <si>
    <t>Mr. Ajay Kumar Chaurasia</t>
  </si>
  <si>
    <t>9425805081</t>
  </si>
  <si>
    <t>MR2603/0029</t>
  </si>
  <si>
    <t>132KV_132KV SOUTHZONE â¿¿ SATYASAI   LINE</t>
  </si>
  <si>
    <t>132KV_SATYA SAI</t>
  </si>
  <si>
    <t>MR2602/0162</t>
  </si>
  <si>
    <t>220KV_220 KV Shujalpur -Bhopal Ckt- I st</t>
  </si>
  <si>
    <t>220KV_SHUJALPUR</t>
  </si>
  <si>
    <t>for bay Shifting       work for Add. 200 MVA</t>
  </si>
  <si>
    <t>15-02-2026 00:00:00</t>
  </si>
  <si>
    <t>Shri Bhupendra Rane</t>
  </si>
  <si>
    <t>9425802283</t>
  </si>
  <si>
    <t>MR2603/0026</t>
  </si>
  <si>
    <t>400KV_315MVA X-MER-Ist</t>
  </si>
  <si>
    <t>400KV_UJJAIN4</t>
  </si>
  <si>
    <t>pre monsoon maint.&amp; testing work</t>
  </si>
  <si>
    <t>santosh chavrasia</t>
  </si>
  <si>
    <t>9425804677</t>
  </si>
  <si>
    <t>sub ld</t>
  </si>
  <si>
    <t>ok</t>
  </si>
  <si>
    <t>as per system requirement</t>
  </si>
  <si>
    <t>ok, through sub ld</t>
  </si>
  <si>
    <t>ok, through sub ld, 220kv Daloda-Mandsaur ckt 1, 2 to be opened for laod management if required</t>
  </si>
  <si>
    <t>ok, all the elements to be in service through main bus 1</t>
  </si>
  <si>
    <t>ok, load drop scheme shall be implemented on 132kv Rewa -Inter Connector ckt-I to save the network in case of any tripping, EI aproval required while final charging</t>
  </si>
  <si>
    <t>400KV/220KV SATNA-ICT-2</t>
  </si>
  <si>
    <t>400KV-INDORE-UJJAIN-1</t>
  </si>
  <si>
    <t>220KV-MORENA-SABALGARH-1</t>
  </si>
  <si>
    <t>220KV-ANNUPUR-KOTMIKALA-1</t>
  </si>
  <si>
    <t>220KV-ANNUPUR-KOTMIKALA-2</t>
  </si>
  <si>
    <t>400KV/220KV</t>
  </si>
  <si>
    <t>05-Mar-2026</t>
  </si>
  <si>
    <t>09:00</t>
  </si>
  <si>
    <t>18:00</t>
  </si>
  <si>
    <t>07:00</t>
  </si>
  <si>
    <t>19:00</t>
  </si>
  <si>
    <t>17:00</t>
  </si>
  <si>
    <t>08:00</t>
  </si>
  <si>
    <t>POWERGRID_WR2</t>
  </si>
  <si>
    <t>MP_SLDC</t>
  </si>
  <si>
    <t xml:space="preserve">AMP Work, Dia to be kept open at both sides.
</t>
  </si>
  <si>
    <t>AMP Work, Dia to be kept open at both sides.</t>
  </si>
  <si>
    <t>FOR REPLACEMENT OF DAMAGED OPGW OF 400KV UJJAIN-INDORE HATUNIYA -1 BETWEEN LOCATION NO 101-99,95-93,86-89 AND 26-29</t>
  </si>
  <si>
    <t>FOR LINE MAINTENANCE WORK i.e. CLEANING OF DISC INSULATORS DURING LINE PATROLLING , REPLACEMENT OF FLASHOVERED DISC INSULATORS, TREE BRANCH CUTTING ETC AT VARIOUS TOWER LOCATIONS</t>
  </si>
  <si>
    <t> FOR RE-SAGGING WORK  IN  LOCATION 379-388, 388-397, 397-406, 406-418 &amp; 432-441, due to found low ground clearance</t>
  </si>
  <si>
    <t>deferred , as loading is high</t>
  </si>
  <si>
    <t>deferred by site</t>
  </si>
  <si>
    <t>real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</si>
</sst>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0" fontId="0" fillId="0" borderId="5" xfId="0" applyBorder="1"/>
    <xf numFmtId="0" fontId="5" fillId="3" borderId="5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0" fontId="0" fillId="3" borderId="5" xfId="0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"/>
  <sheetViews>
    <sheetView tabSelected="1" workbookViewId="0">
      <selection activeCell="G40" sqref="G40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64.42578125" customWidth="1"/>
    <col min="6" max="6" width="25.85546875" customWidth="1"/>
    <col min="7" max="7" width="16.140625" customWidth="1"/>
    <col min="8" max="8" width="64.85546875" customWidth="1"/>
    <col min="9" max="10" width="19.5703125" customWidth="1"/>
    <col min="11" max="11" width="23.28515625" customWidth="1"/>
    <col min="12" max="12" width="12" customWidth="1"/>
    <col min="13" max="13" width="47.140625" customWidth="1"/>
  </cols>
  <sheetData>
    <row r="1" spans="1:13" ht="43.7" customHeight="1" x14ac:dyDescent="0.25">
      <c r="A1" s="1"/>
      <c r="B1" s="10" t="s">
        <v>0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ht="42" customHeight="1" x14ac:dyDescent="0.25">
      <c r="A2" s="1" t="s">
        <v>1</v>
      </c>
      <c r="B2" s="2">
        <v>46086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3" t="s">
        <v>15</v>
      </c>
      <c r="L4" s="12"/>
      <c r="M4" s="3" t="s">
        <v>16</v>
      </c>
    </row>
    <row r="5" spans="1:13" ht="33" customHeight="1" x14ac:dyDescent="0.25">
      <c r="A5" s="4">
        <v>1</v>
      </c>
      <c r="B5" s="5">
        <v>46084.5390162037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144</v>
      </c>
    </row>
    <row r="6" spans="1:13" ht="33" customHeight="1" x14ac:dyDescent="0.25">
      <c r="A6" s="4">
        <f>A5+1</f>
        <v>2</v>
      </c>
      <c r="B6" s="5">
        <v>46085.391909722224</v>
      </c>
      <c r="C6" s="4" t="s">
        <v>27</v>
      </c>
      <c r="D6" s="4"/>
      <c r="E6" s="9" t="s">
        <v>28</v>
      </c>
      <c r="F6" s="4" t="s">
        <v>29</v>
      </c>
      <c r="G6" s="4" t="s">
        <v>21</v>
      </c>
      <c r="H6" s="4" t="s">
        <v>30</v>
      </c>
      <c r="I6" s="6" t="s">
        <v>31</v>
      </c>
      <c r="J6" s="6" t="s">
        <v>24</v>
      </c>
      <c r="K6" s="7" t="s">
        <v>32</v>
      </c>
      <c r="L6" s="8" t="s">
        <v>33</v>
      </c>
      <c r="M6" s="4" t="s">
        <v>149</v>
      </c>
    </row>
    <row r="7" spans="1:13" ht="33" customHeight="1" x14ac:dyDescent="0.25">
      <c r="A7" s="4">
        <f t="shared" ref="A7:A28" si="0">A6+1</f>
        <v>3</v>
      </c>
      <c r="B7" s="5">
        <v>46050.577592592592</v>
      </c>
      <c r="C7" s="4" t="s">
        <v>37</v>
      </c>
      <c r="D7" s="4" t="s">
        <v>18</v>
      </c>
      <c r="E7" s="4" t="s">
        <v>38</v>
      </c>
      <c r="F7" s="4" t="s">
        <v>35</v>
      </c>
      <c r="G7" s="4" t="s">
        <v>21</v>
      </c>
      <c r="H7" s="4" t="s">
        <v>39</v>
      </c>
      <c r="I7" s="6" t="s">
        <v>40</v>
      </c>
      <c r="J7" s="6" t="s">
        <v>41</v>
      </c>
      <c r="K7" s="7" t="s">
        <v>42</v>
      </c>
      <c r="L7" s="8" t="s">
        <v>36</v>
      </c>
      <c r="M7" s="4" t="s">
        <v>145</v>
      </c>
    </row>
    <row r="8" spans="1:13" ht="33" customHeight="1" x14ac:dyDescent="0.25">
      <c r="A8" s="4">
        <f t="shared" si="0"/>
        <v>4</v>
      </c>
      <c r="B8" s="5">
        <v>46082.494803240741</v>
      </c>
      <c r="C8" s="4" t="s">
        <v>43</v>
      </c>
      <c r="D8" s="4" t="s">
        <v>34</v>
      </c>
      <c r="E8" s="4" t="s">
        <v>44</v>
      </c>
      <c r="F8" s="4" t="s">
        <v>45</v>
      </c>
      <c r="G8" s="4" t="s">
        <v>46</v>
      </c>
      <c r="H8" s="4" t="s">
        <v>47</v>
      </c>
      <c r="I8" s="6" t="s">
        <v>48</v>
      </c>
      <c r="J8" s="6" t="s">
        <v>49</v>
      </c>
      <c r="K8" s="7" t="s">
        <v>50</v>
      </c>
      <c r="L8" s="8" t="s">
        <v>51</v>
      </c>
      <c r="M8" s="4" t="s">
        <v>146</v>
      </c>
    </row>
    <row r="9" spans="1:13" ht="33" customHeight="1" x14ac:dyDescent="0.25">
      <c r="A9" s="4">
        <f t="shared" si="0"/>
        <v>5</v>
      </c>
      <c r="B9" s="5">
        <v>46085.565428240741</v>
      </c>
      <c r="C9" s="4" t="s">
        <v>52</v>
      </c>
      <c r="D9" s="4"/>
      <c r="E9" s="4" t="s">
        <v>53</v>
      </c>
      <c r="F9" s="4" t="s">
        <v>54</v>
      </c>
      <c r="G9" s="4" t="s">
        <v>21</v>
      </c>
      <c r="H9" s="4" t="s">
        <v>55</v>
      </c>
      <c r="I9" s="6" t="s">
        <v>56</v>
      </c>
      <c r="J9" s="6" t="s">
        <v>57</v>
      </c>
      <c r="K9" s="7" t="s">
        <v>58</v>
      </c>
      <c r="L9" s="8" t="s">
        <v>59</v>
      </c>
      <c r="M9" s="4" t="s">
        <v>144</v>
      </c>
    </row>
    <row r="10" spans="1:13" ht="33" customHeight="1" x14ac:dyDescent="0.25">
      <c r="A10" s="4">
        <f t="shared" si="0"/>
        <v>6</v>
      </c>
      <c r="B10" s="5">
        <v>46083.529814814814</v>
      </c>
      <c r="C10" s="4" t="s">
        <v>60</v>
      </c>
      <c r="D10" s="4" t="s">
        <v>34</v>
      </c>
      <c r="E10" s="9" t="s">
        <v>61</v>
      </c>
      <c r="F10" s="4" t="s">
        <v>62</v>
      </c>
      <c r="G10" s="4" t="s">
        <v>21</v>
      </c>
      <c r="H10" s="4" t="s">
        <v>63</v>
      </c>
      <c r="I10" s="6" t="s">
        <v>31</v>
      </c>
      <c r="J10" s="6" t="s">
        <v>64</v>
      </c>
      <c r="K10" s="7" t="s">
        <v>65</v>
      </c>
      <c r="L10" s="8" t="s">
        <v>66</v>
      </c>
      <c r="M10" s="4" t="s">
        <v>147</v>
      </c>
    </row>
    <row r="11" spans="1:13" ht="33" customHeight="1" x14ac:dyDescent="0.25">
      <c r="A11" s="4">
        <f t="shared" si="0"/>
        <v>7</v>
      </c>
      <c r="B11" s="5">
        <v>46080.659583333334</v>
      </c>
      <c r="C11" s="4" t="s">
        <v>67</v>
      </c>
      <c r="D11" s="4" t="s">
        <v>34</v>
      </c>
      <c r="E11" s="9" t="s">
        <v>68</v>
      </c>
      <c r="F11" s="4" t="s">
        <v>69</v>
      </c>
      <c r="G11" s="4" t="s">
        <v>70</v>
      </c>
      <c r="H11" s="4" t="s">
        <v>71</v>
      </c>
      <c r="I11" s="6" t="s">
        <v>31</v>
      </c>
      <c r="J11" s="6" t="s">
        <v>72</v>
      </c>
      <c r="K11" s="7" t="s">
        <v>73</v>
      </c>
      <c r="L11" s="8" t="s">
        <v>74</v>
      </c>
      <c r="M11" s="4" t="s">
        <v>148</v>
      </c>
    </row>
    <row r="12" spans="1:13" ht="33" customHeight="1" x14ac:dyDescent="0.25">
      <c r="A12" s="4">
        <f t="shared" si="0"/>
        <v>8</v>
      </c>
      <c r="B12" s="5">
        <v>46085.604085648149</v>
      </c>
      <c r="C12" s="4" t="s">
        <v>75</v>
      </c>
      <c r="D12" s="4"/>
      <c r="E12" s="4" t="s">
        <v>76</v>
      </c>
      <c r="F12" s="4" t="s">
        <v>77</v>
      </c>
      <c r="G12" s="4" t="s">
        <v>21</v>
      </c>
      <c r="H12" s="4" t="s">
        <v>78</v>
      </c>
      <c r="I12" s="6" t="s">
        <v>79</v>
      </c>
      <c r="J12" s="6" t="s">
        <v>24</v>
      </c>
      <c r="K12" s="7" t="s">
        <v>80</v>
      </c>
      <c r="L12" s="8" t="s">
        <v>81</v>
      </c>
      <c r="M12" s="4" t="s">
        <v>147</v>
      </c>
    </row>
    <row r="13" spans="1:13" ht="33" customHeight="1" x14ac:dyDescent="0.25">
      <c r="A13" s="4">
        <f t="shared" si="0"/>
        <v>9</v>
      </c>
      <c r="B13" s="5">
        <v>46078.609456018516</v>
      </c>
      <c r="C13" s="4" t="s">
        <v>82</v>
      </c>
      <c r="D13" s="4" t="s">
        <v>34</v>
      </c>
      <c r="E13" s="4" t="s">
        <v>83</v>
      </c>
      <c r="F13" s="4" t="s">
        <v>84</v>
      </c>
      <c r="G13" s="4" t="s">
        <v>21</v>
      </c>
      <c r="H13" s="4" t="s">
        <v>85</v>
      </c>
      <c r="I13" s="6" t="s">
        <v>86</v>
      </c>
      <c r="J13" s="6" t="s">
        <v>87</v>
      </c>
      <c r="K13" s="7" t="s">
        <v>88</v>
      </c>
      <c r="L13" s="8" t="s">
        <v>89</v>
      </c>
      <c r="M13" s="4" t="s">
        <v>34</v>
      </c>
    </row>
    <row r="14" spans="1:13" ht="33" customHeight="1" x14ac:dyDescent="0.25">
      <c r="A14" s="4">
        <f t="shared" si="0"/>
        <v>10</v>
      </c>
      <c r="B14" s="5">
        <v>46082.600104166668</v>
      </c>
      <c r="C14" s="4" t="s">
        <v>90</v>
      </c>
      <c r="D14" s="4" t="s">
        <v>18</v>
      </c>
      <c r="E14" s="4" t="s">
        <v>91</v>
      </c>
      <c r="F14" s="4" t="s">
        <v>92</v>
      </c>
      <c r="G14" s="4" t="s">
        <v>21</v>
      </c>
      <c r="H14" s="4" t="s">
        <v>93</v>
      </c>
      <c r="I14" s="6" t="s">
        <v>94</v>
      </c>
      <c r="J14" s="6" t="s">
        <v>95</v>
      </c>
      <c r="K14" s="7" t="s">
        <v>96</v>
      </c>
      <c r="L14" s="8" t="s">
        <v>97</v>
      </c>
      <c r="M14" s="4" t="s">
        <v>144</v>
      </c>
    </row>
    <row r="15" spans="1:13" ht="33" customHeight="1" x14ac:dyDescent="0.25">
      <c r="A15" s="4">
        <f t="shared" si="0"/>
        <v>11</v>
      </c>
      <c r="B15" s="5">
        <v>46080.462106481478</v>
      </c>
      <c r="C15" s="4" t="s">
        <v>98</v>
      </c>
      <c r="D15" s="4" t="s">
        <v>34</v>
      </c>
      <c r="E15" s="4" t="s">
        <v>99</v>
      </c>
      <c r="F15" s="4" t="s">
        <v>100</v>
      </c>
      <c r="G15" s="4" t="s">
        <v>46</v>
      </c>
      <c r="H15" s="4" t="s">
        <v>101</v>
      </c>
      <c r="I15" s="6" t="s">
        <v>102</v>
      </c>
      <c r="J15" s="6" t="s">
        <v>49</v>
      </c>
      <c r="K15" s="7" t="s">
        <v>103</v>
      </c>
      <c r="L15" s="8" t="s">
        <v>104</v>
      </c>
      <c r="M15" s="4" t="s">
        <v>146</v>
      </c>
    </row>
    <row r="16" spans="1:13" ht="33" customHeight="1" x14ac:dyDescent="0.25">
      <c r="A16" s="4">
        <f t="shared" si="0"/>
        <v>12</v>
      </c>
      <c r="B16" s="5">
        <v>46083.663414351853</v>
      </c>
      <c r="C16" s="4" t="s">
        <v>105</v>
      </c>
      <c r="D16" s="4" t="s">
        <v>34</v>
      </c>
      <c r="E16" s="4" t="s">
        <v>106</v>
      </c>
      <c r="F16" s="4" t="s">
        <v>100</v>
      </c>
      <c r="G16" s="4" t="s">
        <v>21</v>
      </c>
      <c r="H16" s="4" t="s">
        <v>107</v>
      </c>
      <c r="I16" s="6" t="s">
        <v>31</v>
      </c>
      <c r="J16" s="6" t="s">
        <v>108</v>
      </c>
      <c r="K16" s="7" t="s">
        <v>109</v>
      </c>
      <c r="L16" s="8" t="s">
        <v>110</v>
      </c>
      <c r="M16" s="4" t="s">
        <v>147</v>
      </c>
    </row>
    <row r="17" spans="1:13" ht="33" customHeight="1" x14ac:dyDescent="0.25">
      <c r="A17" s="4">
        <f t="shared" si="0"/>
        <v>13</v>
      </c>
      <c r="B17" s="5">
        <v>46081.76353009259</v>
      </c>
      <c r="C17" s="4" t="s">
        <v>111</v>
      </c>
      <c r="D17" s="4" t="s">
        <v>34</v>
      </c>
      <c r="E17" s="4" t="s">
        <v>112</v>
      </c>
      <c r="F17" s="4" t="s">
        <v>113</v>
      </c>
      <c r="G17" s="4" t="s">
        <v>21</v>
      </c>
      <c r="H17" s="4" t="s">
        <v>114</v>
      </c>
      <c r="I17" s="6" t="s">
        <v>115</v>
      </c>
      <c r="J17" s="6" t="s">
        <v>116</v>
      </c>
      <c r="K17" s="7" t="s">
        <v>117</v>
      </c>
      <c r="L17" s="8" t="s">
        <v>118</v>
      </c>
      <c r="M17" s="4" t="s">
        <v>34</v>
      </c>
    </row>
    <row r="18" spans="1:13" ht="33" customHeight="1" x14ac:dyDescent="0.25">
      <c r="A18" s="4">
        <f t="shared" si="0"/>
        <v>14</v>
      </c>
      <c r="B18" s="5">
        <v>46081.765081018515</v>
      </c>
      <c r="C18" s="4" t="s">
        <v>119</v>
      </c>
      <c r="D18" s="4" t="s">
        <v>34</v>
      </c>
      <c r="E18" s="4" t="s">
        <v>120</v>
      </c>
      <c r="F18" s="4" t="s">
        <v>113</v>
      </c>
      <c r="G18" s="4" t="s">
        <v>21</v>
      </c>
      <c r="H18" s="4" t="s">
        <v>114</v>
      </c>
      <c r="I18" s="6" t="s">
        <v>115</v>
      </c>
      <c r="J18" s="6" t="s">
        <v>49</v>
      </c>
      <c r="K18" s="7" t="s">
        <v>117</v>
      </c>
      <c r="L18" s="8" t="s">
        <v>118</v>
      </c>
      <c r="M18" s="4" t="s">
        <v>34</v>
      </c>
    </row>
    <row r="19" spans="1:13" ht="33" customHeight="1" x14ac:dyDescent="0.25">
      <c r="A19" s="4">
        <f t="shared" si="0"/>
        <v>15</v>
      </c>
      <c r="B19" s="5">
        <v>46083.590208333335</v>
      </c>
      <c r="C19" s="4" t="s">
        <v>121</v>
      </c>
      <c r="D19" s="4" t="s">
        <v>34</v>
      </c>
      <c r="E19" s="9" t="s">
        <v>122</v>
      </c>
      <c r="F19" s="4" t="s">
        <v>123</v>
      </c>
      <c r="G19" s="4" t="s">
        <v>21</v>
      </c>
      <c r="H19" s="4" t="s">
        <v>124</v>
      </c>
      <c r="I19" s="6" t="s">
        <v>125</v>
      </c>
      <c r="J19" s="6" t="s">
        <v>49</v>
      </c>
      <c r="K19" s="7" t="s">
        <v>126</v>
      </c>
      <c r="L19" s="8" t="s">
        <v>127</v>
      </c>
      <c r="M19" s="25" t="s">
        <v>150</v>
      </c>
    </row>
    <row r="20" spans="1:13" ht="33" customHeight="1" x14ac:dyDescent="0.25">
      <c r="A20" s="14">
        <f t="shared" si="0"/>
        <v>16</v>
      </c>
      <c r="B20" s="22">
        <v>46085.567546296297</v>
      </c>
      <c r="C20" s="14" t="s">
        <v>128</v>
      </c>
      <c r="D20" s="14"/>
      <c r="E20" s="14" t="s">
        <v>129</v>
      </c>
      <c r="F20" s="14" t="s">
        <v>130</v>
      </c>
      <c r="G20" s="14" t="s">
        <v>21</v>
      </c>
      <c r="H20" s="14" t="s">
        <v>55</v>
      </c>
      <c r="I20" s="15" t="s">
        <v>56</v>
      </c>
      <c r="J20" s="15" t="s">
        <v>57</v>
      </c>
      <c r="K20" s="16" t="s">
        <v>58</v>
      </c>
      <c r="L20" s="17" t="s">
        <v>59</v>
      </c>
      <c r="M20" s="14" t="s">
        <v>144</v>
      </c>
    </row>
    <row r="21" spans="1:13" ht="33" customHeight="1" x14ac:dyDescent="0.25">
      <c r="A21" s="18">
        <f t="shared" si="0"/>
        <v>17</v>
      </c>
      <c r="B21" s="23">
        <v>46064.690474537034</v>
      </c>
      <c r="C21" s="18" t="s">
        <v>131</v>
      </c>
      <c r="D21" s="18" t="s">
        <v>18</v>
      </c>
      <c r="E21" s="18" t="s">
        <v>132</v>
      </c>
      <c r="F21" s="18" t="s">
        <v>133</v>
      </c>
      <c r="G21" s="18" t="s">
        <v>70</v>
      </c>
      <c r="H21" s="18" t="s">
        <v>134</v>
      </c>
      <c r="I21" s="19" t="s">
        <v>135</v>
      </c>
      <c r="J21" s="19" t="s">
        <v>49</v>
      </c>
      <c r="K21" s="18" t="s">
        <v>136</v>
      </c>
      <c r="L21" s="18" t="s">
        <v>137</v>
      </c>
      <c r="M21" s="18" t="s">
        <v>147</v>
      </c>
    </row>
    <row r="22" spans="1:13" ht="33" customHeight="1" x14ac:dyDescent="0.25">
      <c r="A22" s="18">
        <f t="shared" si="0"/>
        <v>18</v>
      </c>
      <c r="B22" s="23">
        <v>46085.412129629629</v>
      </c>
      <c r="C22" s="18" t="s">
        <v>138</v>
      </c>
      <c r="D22" s="18"/>
      <c r="E22" s="26" t="s">
        <v>139</v>
      </c>
      <c r="F22" s="18" t="s">
        <v>140</v>
      </c>
      <c r="G22" s="18" t="s">
        <v>21</v>
      </c>
      <c r="H22" s="18" t="s">
        <v>141</v>
      </c>
      <c r="I22" s="19" t="s">
        <v>31</v>
      </c>
      <c r="J22" s="19" t="s">
        <v>24</v>
      </c>
      <c r="K22" s="18" t="s">
        <v>142</v>
      </c>
      <c r="L22" s="18" t="s">
        <v>143</v>
      </c>
      <c r="M22" s="18" t="s">
        <v>147</v>
      </c>
    </row>
    <row r="23" spans="1:13" ht="30" x14ac:dyDescent="0.25">
      <c r="A23" s="18">
        <f t="shared" si="0"/>
        <v>19</v>
      </c>
      <c r="B23" s="20"/>
      <c r="C23" s="21">
        <v>291456</v>
      </c>
      <c r="D23" s="20"/>
      <c r="E23" s="21" t="s">
        <v>151</v>
      </c>
      <c r="F23" s="21" t="s">
        <v>156</v>
      </c>
      <c r="G23" s="21" t="s">
        <v>164</v>
      </c>
      <c r="H23" s="21" t="s">
        <v>166</v>
      </c>
      <c r="I23" s="21" t="s">
        <v>157</v>
      </c>
      <c r="J23" s="21" t="s">
        <v>158</v>
      </c>
      <c r="K23" s="21" t="s">
        <v>157</v>
      </c>
      <c r="L23" s="21" t="s">
        <v>159</v>
      </c>
      <c r="M23" s="24" t="s">
        <v>171</v>
      </c>
    </row>
    <row r="24" spans="1:13" ht="30" x14ac:dyDescent="0.25">
      <c r="A24" s="18">
        <f t="shared" si="0"/>
        <v>20</v>
      </c>
      <c r="B24" s="20"/>
      <c r="C24" s="21">
        <v>291712</v>
      </c>
      <c r="D24" s="20"/>
      <c r="E24" s="21" t="s">
        <v>151</v>
      </c>
      <c r="F24" s="21" t="s">
        <v>156</v>
      </c>
      <c r="G24" s="21" t="s">
        <v>164</v>
      </c>
      <c r="H24" s="21" t="s">
        <v>167</v>
      </c>
      <c r="I24" s="21" t="s">
        <v>157</v>
      </c>
      <c r="J24" s="21" t="s">
        <v>158</v>
      </c>
      <c r="K24" s="21" t="s">
        <v>157</v>
      </c>
      <c r="L24" s="21" t="s">
        <v>159</v>
      </c>
      <c r="M24" s="24" t="s">
        <v>171</v>
      </c>
    </row>
    <row r="25" spans="1:13" ht="30" x14ac:dyDescent="0.25">
      <c r="A25" s="18">
        <f t="shared" si="0"/>
        <v>21</v>
      </c>
      <c r="B25" s="20"/>
      <c r="C25" s="21">
        <v>291163</v>
      </c>
      <c r="D25" s="20"/>
      <c r="E25" s="21" t="s">
        <v>152</v>
      </c>
      <c r="F25" s="21">
        <v>400</v>
      </c>
      <c r="G25" s="21" t="s">
        <v>165</v>
      </c>
      <c r="H25" s="21" t="s">
        <v>168</v>
      </c>
      <c r="I25" s="21" t="s">
        <v>157</v>
      </c>
      <c r="J25" s="21" t="s">
        <v>160</v>
      </c>
      <c r="K25" s="21" t="s">
        <v>157</v>
      </c>
      <c r="L25" s="21" t="s">
        <v>161</v>
      </c>
      <c r="M25" s="24" t="s">
        <v>172</v>
      </c>
    </row>
    <row r="26" spans="1:13" ht="60" x14ac:dyDescent="0.25">
      <c r="A26" s="18">
        <f t="shared" si="0"/>
        <v>22</v>
      </c>
      <c r="B26" s="20"/>
      <c r="C26" s="21">
        <v>291201</v>
      </c>
      <c r="D26" s="20"/>
      <c r="E26" s="21" t="s">
        <v>153</v>
      </c>
      <c r="F26" s="21">
        <v>220</v>
      </c>
      <c r="G26" s="21" t="s">
        <v>165</v>
      </c>
      <c r="H26" s="21" t="s">
        <v>169</v>
      </c>
      <c r="I26" s="21" t="s">
        <v>157</v>
      </c>
      <c r="J26" s="21" t="s">
        <v>158</v>
      </c>
      <c r="K26" s="21" t="s">
        <v>157</v>
      </c>
      <c r="L26" s="21" t="s">
        <v>162</v>
      </c>
      <c r="M26" s="24" t="s">
        <v>173</v>
      </c>
    </row>
    <row r="27" spans="1:13" ht="30" x14ac:dyDescent="0.25">
      <c r="A27" s="18">
        <f t="shared" si="0"/>
        <v>23</v>
      </c>
      <c r="B27" s="20"/>
      <c r="C27" s="21">
        <v>292936</v>
      </c>
      <c r="D27" s="20"/>
      <c r="E27" s="21" t="s">
        <v>154</v>
      </c>
      <c r="F27" s="21">
        <v>220</v>
      </c>
      <c r="G27" s="21" t="s">
        <v>165</v>
      </c>
      <c r="H27" s="21" t="s">
        <v>170</v>
      </c>
      <c r="I27" s="21" t="s">
        <v>157</v>
      </c>
      <c r="J27" s="21" t="s">
        <v>163</v>
      </c>
      <c r="K27" s="21" t="s">
        <v>157</v>
      </c>
      <c r="L27" s="21" t="s">
        <v>159</v>
      </c>
      <c r="M27" s="24" t="s">
        <v>172</v>
      </c>
    </row>
    <row r="28" spans="1:13" ht="30" x14ac:dyDescent="0.25">
      <c r="A28" s="18">
        <f t="shared" si="0"/>
        <v>24</v>
      </c>
      <c r="B28" s="20"/>
      <c r="C28" s="21">
        <v>292956</v>
      </c>
      <c r="D28" s="20"/>
      <c r="E28" s="21" t="s">
        <v>155</v>
      </c>
      <c r="F28" s="21">
        <v>220</v>
      </c>
      <c r="G28" s="21" t="s">
        <v>165</v>
      </c>
      <c r="H28" s="21" t="s">
        <v>170</v>
      </c>
      <c r="I28" s="21" t="s">
        <v>157</v>
      </c>
      <c r="J28" s="21" t="s">
        <v>163</v>
      </c>
      <c r="K28" s="21" t="s">
        <v>157</v>
      </c>
      <c r="L28" s="21" t="s">
        <v>159</v>
      </c>
      <c r="M28" s="24" t="s">
        <v>172</v>
      </c>
    </row>
    <row r="29" spans="1:13" x14ac:dyDescent="0.2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spans="1:13" x14ac:dyDescent="0.2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2026-03-04T13:02:16Z</dcterms:created>
  <dcterms:modified xsi:type="dcterms:W3CDTF">2026-03-04T14:20:13Z</dcterms:modified>
</cp:coreProperties>
</file>
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Sheet0!$A$1:$M$24</definedName>
  </definedNames>
  <calcPr calcId="162913"/>
</workbook>
</file>

<file path=xl/calcChain.xml><?xml version="1.0" encoding="utf-8"?>
<calcChain xmlns="http://schemas.openxmlformats.org/spreadsheetml/2006/main">
  <c r="A25" i="1" l="1"/>
  <c r="A26" i="1"/>
  <c r="A27" i="1" s="1"/>
  <c r="A28" i="1" s="1"/>
  <c r="A29" i="1" s="1"/>
  <c r="A30" i="1" s="1"/>
  <c r="A31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6" i="1"/>
</calcChain>
</file>

<file path=xl/sharedStrings.xml><?xml version="1.0" encoding="utf-8"?>
<sst xmlns="http://schemas.openxmlformats.org/spreadsheetml/2006/main" count="284" uniqueCount="184">
  <si>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</si>
  <si>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</si>
  <si>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</si>
  <si>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</si>
  <si>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</si>
  <si>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</si>
  <si>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</si>
  <si>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</si>
  <si>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</si>
  <si>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</si>
  <si>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</si>
  <si>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</si>
  <si>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</si>
  <si>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</si>
  <si>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</si>
  <si>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</si>
  <si>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</si>
  <si>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MR2601/0201</t>
  </si>
  <si>
    <t>220KV_220 KV Badod - Nalkheda Ckt - 1 line</t>
  </si>
  <si>
    <t>220KV_BADOD</t>
  </si>
  <si>
    <t>NON-OCCM-MP</t>
  </si>
  <si>
    <t>flashover poilet disc replacement  &amp; other work</t>
  </si>
  <si>
    <t>15-01-2026 10:00:00</t>
  </si>
  <si>
    <t>15-01-2026 18:00:00</t>
  </si>
  <si>
    <t>Ravindra Kumar Marskole</t>
  </si>
  <si>
    <t>9425814080</t>
  </si>
  <si>
    <t>MR2601/0196</t>
  </si>
  <si>
    <t>Daily</t>
  </si>
  <si>
    <t>132KV_132 kV Bhopal-Amrawatkhurd line</t>
  </si>
  <si>
    <t>220KV_BHOPAL</t>
  </si>
  <si>
    <t>HTLS Conductor replacement work</t>
  </si>
  <si>
    <t>13-01-2026 07:00:00</t>
  </si>
  <si>
    <t>05-02-2026 18:00:00</t>
  </si>
  <si>
    <t>Ankit Mehroliya</t>
  </si>
  <si>
    <t>9425804506</t>
  </si>
  <si>
    <t>12-01-2026 09:00:00</t>
  </si>
  <si>
    <t>MR2601/0224</t>
  </si>
  <si>
    <t>220KV_220 kV bus 1</t>
  </si>
  <si>
    <t>For bus extension</t>
  </si>
  <si>
    <t>15-01-2026 09:00:00</t>
  </si>
  <si>
    <t>15-01-2026 17:00:00</t>
  </si>
  <si>
    <t>A K Jain</t>
  </si>
  <si>
    <t>9425806899</t>
  </si>
  <si>
    <t>MR2601/0215</t>
  </si>
  <si>
    <t>220KV_220 KV Interconnector 2</t>
  </si>
  <si>
    <t>NON-OCCM-WR</t>
  </si>
  <si>
    <t>for shifting of feeder in other bay</t>
  </si>
  <si>
    <t>A. K. Jain</t>
  </si>
  <si>
    <t>MR2601/0161</t>
  </si>
  <si>
    <t>220KV_220 KV Daloda DJ Energy  Ckt-1st &amp; Ckt-2nd</t>
  </si>
  <si>
    <t>220KV_DALODA</t>
  </si>
  <si>
    <t>yearly maintenance and testing activity</t>
  </si>
  <si>
    <t>12-01-2026 10:00:00</t>
  </si>
  <si>
    <t>Akash Shrivas</t>
  </si>
  <si>
    <t>9425805207</t>
  </si>
  <si>
    <t>MR2601/0220</t>
  </si>
  <si>
    <t>132KV_132KV CHAMBAL â¿¿ ELECTRONIC  COMPLEX LINE</t>
  </si>
  <si>
    <t>132KV_INDORE CHAMBAL</t>
  </si>
  <si>
    <t>CONDUCTOR REPLACEMENT  AND OTHER MAINTANANCE WORK.</t>
  </si>
  <si>
    <t>15-01-2026 07:00:00</t>
  </si>
  <si>
    <t>15-01-2026 17:30:00</t>
  </si>
  <si>
    <t>RAVINDRA PATIL</t>
  </si>
  <si>
    <t>8305612190</t>
  </si>
  <si>
    <t>MR2601/0221</t>
  </si>
  <si>
    <t>132KV_40mva xmer -i</t>
  </si>
  <si>
    <t>132KV_KARERA</t>
  </si>
  <si>
    <t>33kv side CTs replacement</t>
  </si>
  <si>
    <t>Virendra K Ahirwar</t>
  </si>
  <si>
    <t>9425801438</t>
  </si>
  <si>
    <t>Continuous</t>
  </si>
  <si>
    <t>400KV_400KV KATNI - DAMOH LINE</t>
  </si>
  <si>
    <t>400KV_KATNI4</t>
  </si>
  <si>
    <t>OCCM-MP</t>
  </si>
  <si>
    <t>TOWER STRENGTHENING WORK</t>
  </si>
  <si>
    <t>M.M. BAIG</t>
  </si>
  <si>
    <t>9425805067</t>
  </si>
  <si>
    <t>220KV_220KV KATNI - DAMOH LINE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</si>
  <si>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</si>
  <si>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</si>
  <si>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</si>
  <si>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</si>
  <si>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</si>
  <si>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</si>
  <si>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</si>
  <si>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MR2510/0740</t>
  </si>
  <si>
    <t>17-01-2026 18:00:00</t>
  </si>
  <si>
    <t>M.M.BAIG</t>
  </si>
  <si>
    <t>MR2510/0731</t>
  </si>
  <si>
    <t>220KV_220 kV mangliya jetpura line</t>
  </si>
  <si>
    <t>220KV_MANGLIA2</t>
  </si>
  <si>
    <t>Backup relay replacement work</t>
  </si>
  <si>
    <t>15-01-2026 12:00:00</t>
  </si>
  <si>
    <t>15-01-2026 16:00:00</t>
  </si>
  <si>
    <t>siddharth joshi</t>
  </si>
  <si>
    <t>9425804936</t>
  </si>
  <si>
    <t>MR2601/0212</t>
  </si>
  <si>
    <t>MR2601/0197</t>
  </si>
  <si>
    <t>20MVA_132/33KV_VOLTAMP_X'mer_2</t>
  </si>
  <si>
    <t>132KV_MORWA</t>
  </si>
  <si>
    <t>Main tank oil filtration &amp; OLTC Oil Replacement w</t>
  </si>
  <si>
    <t>25-01-2026 17:00:00</t>
  </si>
  <si>
    <t>S.B.Singh</t>
  </si>
  <si>
    <t>7000431053</t>
  </si>
  <si>
    <t>MR2601/0214</t>
  </si>
  <si>
    <t>132KV_132 KV Pipariya-Bareli Ckt-I</t>
  </si>
  <si>
    <t>220KV_PIPARIYA</t>
  </si>
  <si>
    <t>Resagging work loc.no. 79-95</t>
  </si>
  <si>
    <t>18-01-2026 18:00:00</t>
  </si>
  <si>
    <t>Ashutosh Rai</t>
  </si>
  <si>
    <t>9425806902</t>
  </si>
  <si>
    <t>MR2601/0205</t>
  </si>
  <si>
    <t>400KV_400 KV SSTPH-Pithampur ckt 2</t>
  </si>
  <si>
    <t>400KV_PITHAMPUR4</t>
  </si>
  <si>
    <t>Tower ReStrengthening work on cross arm</t>
  </si>
  <si>
    <t>13-01-2026 08:00:00</t>
  </si>
  <si>
    <t>21-01-2026 19:00:00</t>
  </si>
  <si>
    <t>Naresh Pandre</t>
  </si>
  <si>
    <t>9425806905</t>
  </si>
  <si>
    <t>MR2601/0204</t>
  </si>
  <si>
    <t>400KV_400 KV SSTPH-Pithampur ckt 1</t>
  </si>
  <si>
    <t>14-01-2026 08:00:00</t>
  </si>
  <si>
    <t>MR2601/0216</t>
  </si>
  <si>
    <t>220KV_220KV RATLAM-BADNAWAR-II</t>
  </si>
  <si>
    <t>220KV_RATLAM</t>
  </si>
  <si>
    <t>for bay maintenance &amp; tan delta measurement work</t>
  </si>
  <si>
    <t>NIKHIL DUNGE</t>
  </si>
  <si>
    <t>9425801487</t>
  </si>
  <si>
    <t>MR2601/0217</t>
  </si>
  <si>
    <t>220KV_220KV BUS COUPLAR</t>
  </si>
  <si>
    <t>MR2601/0225</t>
  </si>
  <si>
    <t>220KV_SATNA -KATNI LINE</t>
  </si>
  <si>
    <t>220KV_SATNA</t>
  </si>
  <si>
    <t>220 KV SATNA - KATNI  LINE FOR PLCC PROTECTION COU</t>
  </si>
  <si>
    <t>15-01-2026 15:00:00</t>
  </si>
  <si>
    <t>ER. ARUN KOL</t>
  </si>
  <si>
    <t>8319677721</t>
  </si>
  <si>
    <t>MR2601/0160</t>
  </si>
  <si>
    <t>132KV_132 kV Satna â¿¿II (Sonoura)  â¿¿  Maihar  line</t>
  </si>
  <si>
    <t>132KV_SATNA-II</t>
  </si>
  <si>
    <t>OPGW Stringing  work</t>
  </si>
  <si>
    <t>11-01-2026 10:00:00</t>
  </si>
  <si>
    <t>17-01-2026 17:00:00</t>
  </si>
  <si>
    <t>Mr. R.K.Prajapati</t>
  </si>
  <si>
    <t>9407070182</t>
  </si>
  <si>
    <t>MR2601/0218</t>
  </si>
  <si>
    <t>132KV_132 kv jbp-vfj ckt-2 tapped vinoba line</t>
  </si>
  <si>
    <t>132KV_VINOBA BHAVE</t>
  </si>
  <si>
    <t>second circuiting work at s/s</t>
  </si>
  <si>
    <t>15-01-2026 13:00:00</t>
  </si>
  <si>
    <t>R S BAIS</t>
  </si>
  <si>
    <t>9425163265</t>
  </si>
  <si>
    <t>ok, through sub ld</t>
  </si>
  <si>
    <t>sub ld</t>
  </si>
  <si>
    <t>deferred</t>
  </si>
  <si>
    <t>work completed</t>
  </si>
  <si>
    <t>o&amp;m consent required</t>
  </si>
  <si>
    <t>ok</t>
  </si>
  <si>
    <t>real time</t>
  </si>
  <si>
    <t>ok, Protection cordination and man material removal to be confirmed</t>
  </si>
  <si>
    <t>real time, shall be given after 12 hrs, if given  Protection cordination and man material, SCADA to be confirmed</t>
  </si>
  <si>
    <t>220KV-SATNA-KOTAR-1</t>
  </si>
  <si>
    <t>220KV-REWA-REWA-MP-1</t>
  </si>
  <si>
    <t>220KV-BHIND-MORENA-1</t>
  </si>
  <si>
    <t>132KV-MANSAR-MS-KANHAN-1</t>
  </si>
  <si>
    <t>400KV-INDORE-UJJAIN-2</t>
  </si>
  <si>
    <t>400KV-SSP-RAJGARH-2</t>
  </si>
  <si>
    <t>220KV-GWALIOR-MAHALGAON-2</t>
  </si>
  <si>
    <t>15-Jan-2026</t>
  </si>
  <si>
    <t>10:00</t>
  </si>
  <si>
    <t>16:59</t>
  </si>
  <si>
    <t>18:00</t>
  </si>
  <si>
    <t>09:00</t>
  </si>
  <si>
    <t>17:00</t>
  </si>
  <si>
    <t>MP_SLDC</t>
  </si>
  <si>
    <t>POWERGRID_WR2</t>
  </si>
  <si>
    <t>MSLDC_OUTAGE</t>
  </si>
  <si>
    <t>for line maintenance work</t>
  </si>
  <si>
    <t>CT tan delta / AMP</t>
  </si>
  <si>
    <t xml:space="preserve">LINE  AMP WORK (CRM Test of Isolator,CT Tan delta,LA IR and other checks) </t>
  </si>
  <si>
    <t>Replacement of earthwire &amp; Routine Maint. Work</t>
  </si>
  <si>
    <t>FOR BAY MAINTENANCE &amp; TESTING WORK AT SUBSTASTION, REPLACEMENT OF DAMAGED CLAMPS/JUMPERS ETC.</t>
  </si>
  <si>
    <t xml:space="preserve">For line maintenance work </t>
  </si>
  <si>
    <t>shall be given in non solar hours after normalisation of s/d of 220KV-SATNA-KOTAR-1</t>
  </si>
  <si>
    <t xml:space="preserve">REAL TIME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</si>
</sst>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9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  <font>
      <b/>
      <sz val="12"/>
      <color rgb="FF000000"/>
      <name val="Arial"/>
      <family val="2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wrapText="1"/>
    </xf>
    <xf numFmtId="0" fontId="8" fillId="0" borderId="0" xfId="0" applyFont="1" applyAlignment="1">
      <alignment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7"/>
  <sheetViews>
    <sheetView tabSelected="1" workbookViewId="0">
      <selection activeCell="F4" sqref="F4"/>
    </sheetView>
  </sheetViews>
  <sheetFormatPr defaultRowHeight="69.75" customHeight="1"/>
  <cols>
    <col min="1" max="1" width="9.140625" style="4"/>
    <col min="2" max="2" width="9.85546875" style="4" customWidth="1"/>
    <col min="3" max="3" width="10.42578125" style="4" customWidth="1"/>
    <col min="4" max="4" width="11" style="4" customWidth="1"/>
    <col min="5" max="5" width="54.140625" style="15" customWidth="1"/>
    <col min="6" max="6" width="33.7109375" style="15" customWidth="1"/>
    <col min="7" max="7" width="16.140625" style="4" customWidth="1"/>
    <col min="8" max="8" width="56.85546875" style="15" customWidth="1"/>
    <col min="9" max="9" width="11.140625" style="4" customWidth="1"/>
    <col min="10" max="10" width="11" style="4" customWidth="1"/>
    <col min="11" max="11" width="12.140625" style="4" customWidth="1"/>
    <col min="12" max="12" width="6.5703125" style="4" customWidth="1"/>
    <col min="13" max="13" width="45.140625" style="15" customWidth="1"/>
    <col min="14" max="16384" width="9.140625" style="4"/>
  </cols>
  <sheetData>
    <row r="1" spans="1:13" ht="69.75" customHeight="1">
      <c r="A1" s="1"/>
      <c r="B1" s="5" t="s">
        <v>0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7"/>
    </row>
    <row r="2" spans="1:13" ht="69.75" customHeight="1">
      <c r="A2" s="1" t="s">
        <v>1</v>
      </c>
      <c r="B2" s="18">
        <v>46037</v>
      </c>
      <c r="C2" s="1"/>
      <c r="D2" s="1"/>
      <c r="E2" s="9"/>
      <c r="F2" s="9"/>
      <c r="G2" s="1"/>
      <c r="H2" s="9"/>
      <c r="I2" s="1"/>
      <c r="J2" s="1"/>
      <c r="K2" s="1"/>
      <c r="L2" s="1"/>
      <c r="M2" s="9"/>
    </row>
    <row r="3" spans="1:13" ht="69.75" customHeight="1">
      <c r="A3" s="2" t="s">
        <v>2</v>
      </c>
      <c r="B3" s="2" t="s">
        <v>3</v>
      </c>
      <c r="C3" s="2" t="s">
        <v>4</v>
      </c>
      <c r="D3" s="2" t="s">
        <v>3</v>
      </c>
      <c r="E3" s="9"/>
      <c r="F3" s="9"/>
      <c r="G3" s="1"/>
      <c r="H3" s="9"/>
      <c r="I3" s="1"/>
      <c r="J3" s="1"/>
      <c r="K3" s="1"/>
      <c r="L3" s="1"/>
      <c r="M3" s="9"/>
    </row>
    <row r="4" spans="1:13" ht="69.75" customHeight="1">
      <c r="A4" s="2" t="s">
        <v>5</v>
      </c>
      <c r="B4" s="2" t="s">
        <v>6</v>
      </c>
      <c r="C4" s="2" t="s">
        <v>7</v>
      </c>
      <c r="D4" s="2" t="s">
        <v>8</v>
      </c>
      <c r="E4" s="10" t="s">
        <v>9</v>
      </c>
      <c r="F4" s="10" t="s">
        <v>10</v>
      </c>
      <c r="G4" s="2" t="s">
        <v>11</v>
      </c>
      <c r="H4" s="10" t="s">
        <v>12</v>
      </c>
      <c r="I4" s="2" t="s">
        <v>13</v>
      </c>
      <c r="J4" s="2" t="s">
        <v>14</v>
      </c>
      <c r="K4" s="19" t="s">
        <v>15</v>
      </c>
      <c r="L4" s="17"/>
      <c r="M4" s="10" t="s">
        <v>16</v>
      </c>
    </row>
    <row r="5" spans="1:13" ht="69.75" customHeight="1">
      <c r="A5" s="3">
        <v>1</v>
      </c>
      <c r="B5" s="20">
        <v>46035.487523148149</v>
      </c>
      <c r="C5" s="3" t="s">
        <v>17</v>
      </c>
      <c r="D5" s="3"/>
      <c r="E5" s="10" t="s">
        <v>18</v>
      </c>
      <c r="F5" s="10" t="s">
        <v>19</v>
      </c>
      <c r="G5" s="3" t="s">
        <v>20</v>
      </c>
      <c r="H5" s="10" t="s">
        <v>21</v>
      </c>
      <c r="I5" s="21" t="s">
        <v>22</v>
      </c>
      <c r="J5" s="21" t="s">
        <v>23</v>
      </c>
      <c r="K5" s="22" t="s">
        <v>24</v>
      </c>
      <c r="L5" s="23" t="s">
        <v>25</v>
      </c>
      <c r="M5" s="10" t="s">
        <v>151</v>
      </c>
    </row>
    <row r="6" spans="1:13" ht="69.75" customHeight="1">
      <c r="A6" s="3">
        <f>A5+1</f>
        <v>2</v>
      </c>
      <c r="B6" s="20">
        <v>46034.687615740739</v>
      </c>
      <c r="C6" s="3" t="s">
        <v>26</v>
      </c>
      <c r="D6" s="3" t="s">
        <v>27</v>
      </c>
      <c r="E6" s="10" t="s">
        <v>28</v>
      </c>
      <c r="F6" s="10" t="s">
        <v>29</v>
      </c>
      <c r="G6" s="3" t="s">
        <v>20</v>
      </c>
      <c r="H6" s="10" t="s">
        <v>30</v>
      </c>
      <c r="I6" s="21" t="s">
        <v>31</v>
      </c>
      <c r="J6" s="21" t="s">
        <v>32</v>
      </c>
      <c r="K6" s="22" t="s">
        <v>33</v>
      </c>
      <c r="L6" s="23" t="s">
        <v>34</v>
      </c>
      <c r="M6" s="10" t="s">
        <v>152</v>
      </c>
    </row>
    <row r="7" spans="1:13" ht="69.75" customHeight="1">
      <c r="A7" s="3">
        <f t="shared" ref="A7:A31" si="0">A6+1</f>
        <v>3</v>
      </c>
      <c r="B7" s="20">
        <v>46036.662743055553</v>
      </c>
      <c r="C7" s="3" t="s">
        <v>36</v>
      </c>
      <c r="D7" s="3"/>
      <c r="E7" s="24" t="s">
        <v>37</v>
      </c>
      <c r="F7" s="10" t="s">
        <v>29</v>
      </c>
      <c r="G7" s="3" t="s">
        <v>20</v>
      </c>
      <c r="H7" s="10" t="s">
        <v>38</v>
      </c>
      <c r="I7" s="21" t="s">
        <v>39</v>
      </c>
      <c r="J7" s="21" t="s">
        <v>40</v>
      </c>
      <c r="K7" s="22" t="s">
        <v>41</v>
      </c>
      <c r="L7" s="23" t="s">
        <v>42</v>
      </c>
      <c r="M7" s="10" t="s">
        <v>151</v>
      </c>
    </row>
    <row r="8" spans="1:13" ht="69.75" customHeight="1">
      <c r="A8" s="3">
        <f t="shared" si="0"/>
        <v>4</v>
      </c>
      <c r="B8" s="20">
        <v>46036.519826388889</v>
      </c>
      <c r="C8" s="3" t="s">
        <v>43</v>
      </c>
      <c r="D8" s="3"/>
      <c r="E8" s="24" t="s">
        <v>44</v>
      </c>
      <c r="F8" s="10" t="s">
        <v>29</v>
      </c>
      <c r="G8" s="3" t="s">
        <v>45</v>
      </c>
      <c r="H8" s="10" t="s">
        <v>46</v>
      </c>
      <c r="I8" s="21" t="s">
        <v>22</v>
      </c>
      <c r="J8" s="21" t="s">
        <v>23</v>
      </c>
      <c r="K8" s="22" t="s">
        <v>47</v>
      </c>
      <c r="L8" s="23" t="s">
        <v>42</v>
      </c>
      <c r="M8" s="10" t="s">
        <v>159</v>
      </c>
    </row>
    <row r="9" spans="1:13" ht="69.75" customHeight="1">
      <c r="A9" s="3">
        <f t="shared" si="0"/>
        <v>5</v>
      </c>
      <c r="B9" s="20">
        <v>46032.518449074072</v>
      </c>
      <c r="C9" s="3" t="s">
        <v>48</v>
      </c>
      <c r="D9" s="3" t="s">
        <v>27</v>
      </c>
      <c r="E9" s="10" t="s">
        <v>49</v>
      </c>
      <c r="F9" s="10" t="s">
        <v>50</v>
      </c>
      <c r="G9" s="3" t="s">
        <v>20</v>
      </c>
      <c r="H9" s="10" t="s">
        <v>51</v>
      </c>
      <c r="I9" s="21" t="s">
        <v>52</v>
      </c>
      <c r="J9" s="21" t="s">
        <v>23</v>
      </c>
      <c r="K9" s="22" t="s">
        <v>53</v>
      </c>
      <c r="L9" s="23" t="s">
        <v>54</v>
      </c>
      <c r="M9" s="10" t="s">
        <v>151</v>
      </c>
    </row>
    <row r="10" spans="1:13" ht="69.75" customHeight="1">
      <c r="A10" s="3">
        <f t="shared" si="0"/>
        <v>6</v>
      </c>
      <c r="B10" s="20">
        <v>46036.580868055556</v>
      </c>
      <c r="C10" s="3" t="s">
        <v>55</v>
      </c>
      <c r="D10" s="3"/>
      <c r="E10" s="10" t="s">
        <v>56</v>
      </c>
      <c r="F10" s="10" t="s">
        <v>57</v>
      </c>
      <c r="G10" s="3" t="s">
        <v>20</v>
      </c>
      <c r="H10" s="10" t="s">
        <v>58</v>
      </c>
      <c r="I10" s="21" t="s">
        <v>59</v>
      </c>
      <c r="J10" s="21" t="s">
        <v>60</v>
      </c>
      <c r="K10" s="22" t="s">
        <v>61</v>
      </c>
      <c r="L10" s="23" t="s">
        <v>62</v>
      </c>
      <c r="M10" s="10" t="s">
        <v>152</v>
      </c>
    </row>
    <row r="11" spans="1:13" ht="69.75" customHeight="1">
      <c r="A11" s="3">
        <f t="shared" si="0"/>
        <v>7</v>
      </c>
      <c r="B11" s="20">
        <v>46036.583472222221</v>
      </c>
      <c r="C11" s="3" t="s">
        <v>63</v>
      </c>
      <c r="D11" s="3"/>
      <c r="E11" s="10" t="s">
        <v>64</v>
      </c>
      <c r="F11" s="10" t="s">
        <v>65</v>
      </c>
      <c r="G11" s="3" t="s">
        <v>20</v>
      </c>
      <c r="H11" s="10" t="s">
        <v>66</v>
      </c>
      <c r="I11" s="21" t="s">
        <v>22</v>
      </c>
      <c r="J11" s="21" t="s">
        <v>40</v>
      </c>
      <c r="K11" s="22" t="s">
        <v>67</v>
      </c>
      <c r="L11" s="23" t="s">
        <v>68</v>
      </c>
      <c r="M11" s="10" t="s">
        <v>152</v>
      </c>
    </row>
    <row r="12" spans="1:13" ht="69.75" customHeight="1">
      <c r="A12" s="3">
        <f t="shared" si="0"/>
        <v>8</v>
      </c>
      <c r="B12" s="20">
        <v>46023.642534722225</v>
      </c>
      <c r="C12" s="3" t="s">
        <v>77</v>
      </c>
      <c r="D12" s="3" t="s">
        <v>69</v>
      </c>
      <c r="E12" s="10" t="s">
        <v>78</v>
      </c>
      <c r="F12" s="10" t="s">
        <v>71</v>
      </c>
      <c r="G12" s="3" t="s">
        <v>20</v>
      </c>
      <c r="H12" s="10" t="s">
        <v>79</v>
      </c>
      <c r="I12" s="21" t="s">
        <v>80</v>
      </c>
      <c r="J12" s="21" t="s">
        <v>81</v>
      </c>
      <c r="K12" s="22" t="s">
        <v>82</v>
      </c>
      <c r="L12" s="23" t="s">
        <v>83</v>
      </c>
      <c r="M12" s="10" t="s">
        <v>153</v>
      </c>
    </row>
    <row r="13" spans="1:13" ht="69.75" customHeight="1">
      <c r="A13" s="3">
        <f t="shared" si="0"/>
        <v>9</v>
      </c>
      <c r="B13" s="20">
        <v>45961.751828703702</v>
      </c>
      <c r="C13" s="3" t="s">
        <v>84</v>
      </c>
      <c r="D13" s="3" t="s">
        <v>69</v>
      </c>
      <c r="E13" s="10" t="s">
        <v>76</v>
      </c>
      <c r="F13" s="10" t="s">
        <v>71</v>
      </c>
      <c r="G13" s="3" t="s">
        <v>20</v>
      </c>
      <c r="H13" s="10" t="s">
        <v>73</v>
      </c>
      <c r="I13" s="21" t="s">
        <v>35</v>
      </c>
      <c r="J13" s="21" t="s">
        <v>85</v>
      </c>
      <c r="K13" s="22" t="s">
        <v>86</v>
      </c>
      <c r="L13" s="23" t="s">
        <v>75</v>
      </c>
      <c r="M13" s="10" t="s">
        <v>154</v>
      </c>
    </row>
    <row r="14" spans="1:13" ht="69.75" customHeight="1">
      <c r="A14" s="3">
        <f t="shared" si="0"/>
        <v>10</v>
      </c>
      <c r="B14" s="20">
        <v>45961.734340277777</v>
      </c>
      <c r="C14" s="3" t="s">
        <v>87</v>
      </c>
      <c r="D14" s="3" t="s">
        <v>69</v>
      </c>
      <c r="E14" s="10" t="s">
        <v>70</v>
      </c>
      <c r="F14" s="10" t="s">
        <v>71</v>
      </c>
      <c r="G14" s="3" t="s">
        <v>72</v>
      </c>
      <c r="H14" s="10" t="s">
        <v>73</v>
      </c>
      <c r="I14" s="21" t="s">
        <v>35</v>
      </c>
      <c r="J14" s="21" t="s">
        <v>85</v>
      </c>
      <c r="K14" s="22" t="s">
        <v>74</v>
      </c>
      <c r="L14" s="23" t="s">
        <v>75</v>
      </c>
      <c r="M14" s="10" t="s">
        <v>154</v>
      </c>
    </row>
    <row r="15" spans="1:13" ht="69.75" customHeight="1">
      <c r="A15" s="3">
        <f t="shared" si="0"/>
        <v>11</v>
      </c>
      <c r="B15" s="20">
        <v>46035.698240740741</v>
      </c>
      <c r="C15" s="3" t="s">
        <v>95</v>
      </c>
      <c r="D15" s="3"/>
      <c r="E15" s="10" t="s">
        <v>88</v>
      </c>
      <c r="F15" s="10" t="s">
        <v>89</v>
      </c>
      <c r="G15" s="3" t="s">
        <v>20</v>
      </c>
      <c r="H15" s="10" t="s">
        <v>90</v>
      </c>
      <c r="I15" s="21" t="s">
        <v>91</v>
      </c>
      <c r="J15" s="21" t="s">
        <v>92</v>
      </c>
      <c r="K15" s="22" t="s">
        <v>93</v>
      </c>
      <c r="L15" s="23" t="s">
        <v>94</v>
      </c>
      <c r="M15" s="10" t="s">
        <v>157</v>
      </c>
    </row>
    <row r="16" spans="1:13" ht="69.75" customHeight="1">
      <c r="A16" s="3">
        <f t="shared" si="0"/>
        <v>12</v>
      </c>
      <c r="B16" s="20">
        <v>46034.699479166666</v>
      </c>
      <c r="C16" s="3" t="s">
        <v>96</v>
      </c>
      <c r="D16" s="3" t="s">
        <v>69</v>
      </c>
      <c r="E16" s="10" t="s">
        <v>97</v>
      </c>
      <c r="F16" s="10" t="s">
        <v>98</v>
      </c>
      <c r="G16" s="3" t="s">
        <v>20</v>
      </c>
      <c r="H16" s="10" t="s">
        <v>99</v>
      </c>
      <c r="I16" s="21" t="s">
        <v>22</v>
      </c>
      <c r="J16" s="21" t="s">
        <v>100</v>
      </c>
      <c r="K16" s="22" t="s">
        <v>101</v>
      </c>
      <c r="L16" s="23" t="s">
        <v>102</v>
      </c>
      <c r="M16" s="10" t="s">
        <v>155</v>
      </c>
    </row>
    <row r="17" spans="1:13" ht="69.75" customHeight="1">
      <c r="A17" s="3">
        <f t="shared" si="0"/>
        <v>13</v>
      </c>
      <c r="B17" s="20">
        <v>46036.485775462963</v>
      </c>
      <c r="C17" s="3" t="s">
        <v>103</v>
      </c>
      <c r="D17" s="3" t="s">
        <v>27</v>
      </c>
      <c r="E17" s="10" t="s">
        <v>104</v>
      </c>
      <c r="F17" s="10" t="s">
        <v>105</v>
      </c>
      <c r="G17" s="3" t="s">
        <v>20</v>
      </c>
      <c r="H17" s="10" t="s">
        <v>106</v>
      </c>
      <c r="I17" s="21" t="s">
        <v>39</v>
      </c>
      <c r="J17" s="21" t="s">
        <v>107</v>
      </c>
      <c r="K17" s="22" t="s">
        <v>108</v>
      </c>
      <c r="L17" s="23" t="s">
        <v>109</v>
      </c>
      <c r="M17" s="10" t="s">
        <v>152</v>
      </c>
    </row>
    <row r="18" spans="1:13" ht="69.75" customHeight="1">
      <c r="A18" s="3">
        <f t="shared" si="0"/>
        <v>14</v>
      </c>
      <c r="B18" s="20">
        <v>46035.512916666667</v>
      </c>
      <c r="C18" s="3" t="s">
        <v>110</v>
      </c>
      <c r="D18" s="3" t="s">
        <v>69</v>
      </c>
      <c r="E18" s="10" t="s">
        <v>111</v>
      </c>
      <c r="F18" s="10" t="s">
        <v>112</v>
      </c>
      <c r="G18" s="3" t="s">
        <v>20</v>
      </c>
      <c r="H18" s="10" t="s">
        <v>113</v>
      </c>
      <c r="I18" s="21" t="s">
        <v>114</v>
      </c>
      <c r="J18" s="21" t="s">
        <v>115</v>
      </c>
      <c r="K18" s="22" t="s">
        <v>116</v>
      </c>
      <c r="L18" s="23" t="s">
        <v>117</v>
      </c>
      <c r="M18" s="10" t="s">
        <v>153</v>
      </c>
    </row>
    <row r="19" spans="1:13" ht="69.75" customHeight="1">
      <c r="A19" s="3">
        <f t="shared" si="0"/>
        <v>15</v>
      </c>
      <c r="B19" s="20">
        <v>46035.504699074074</v>
      </c>
      <c r="C19" s="3" t="s">
        <v>118</v>
      </c>
      <c r="D19" s="3" t="s">
        <v>69</v>
      </c>
      <c r="E19" s="10" t="s">
        <v>119</v>
      </c>
      <c r="F19" s="10" t="s">
        <v>112</v>
      </c>
      <c r="G19" s="3" t="s">
        <v>20</v>
      </c>
      <c r="H19" s="10" t="s">
        <v>113</v>
      </c>
      <c r="I19" s="21" t="s">
        <v>120</v>
      </c>
      <c r="J19" s="21" t="s">
        <v>115</v>
      </c>
      <c r="K19" s="22" t="s">
        <v>116</v>
      </c>
      <c r="L19" s="23" t="s">
        <v>117</v>
      </c>
      <c r="M19" s="10" t="s">
        <v>153</v>
      </c>
    </row>
    <row r="20" spans="1:13" ht="69.75" customHeight="1">
      <c r="A20" s="3">
        <f t="shared" si="0"/>
        <v>16</v>
      </c>
      <c r="B20" s="20">
        <v>46036.524363425924</v>
      </c>
      <c r="C20" s="3" t="s">
        <v>121</v>
      </c>
      <c r="D20" s="3"/>
      <c r="E20" s="10" t="s">
        <v>122</v>
      </c>
      <c r="F20" s="10" t="s">
        <v>123</v>
      </c>
      <c r="G20" s="3" t="s">
        <v>20</v>
      </c>
      <c r="H20" s="10" t="s">
        <v>124</v>
      </c>
      <c r="I20" s="21" t="s">
        <v>39</v>
      </c>
      <c r="J20" s="21" t="s">
        <v>40</v>
      </c>
      <c r="K20" s="22" t="s">
        <v>125</v>
      </c>
      <c r="L20" s="23" t="s">
        <v>126</v>
      </c>
      <c r="M20" s="10" t="s">
        <v>151</v>
      </c>
    </row>
    <row r="21" spans="1:13" ht="69.75" customHeight="1">
      <c r="A21" s="3">
        <f t="shared" si="0"/>
        <v>17</v>
      </c>
      <c r="B21" s="20">
        <v>46036.526493055557</v>
      </c>
      <c r="C21" s="3" t="s">
        <v>127</v>
      </c>
      <c r="D21" s="3"/>
      <c r="E21" s="10" t="s">
        <v>128</v>
      </c>
      <c r="F21" s="10" t="s">
        <v>123</v>
      </c>
      <c r="G21" s="3" t="s">
        <v>20</v>
      </c>
      <c r="H21" s="10" t="s">
        <v>124</v>
      </c>
      <c r="I21" s="21" t="s">
        <v>39</v>
      </c>
      <c r="J21" s="21" t="s">
        <v>40</v>
      </c>
      <c r="K21" s="22" t="s">
        <v>125</v>
      </c>
      <c r="L21" s="23" t="s">
        <v>126</v>
      </c>
      <c r="M21" s="10" t="s">
        <v>151</v>
      </c>
    </row>
    <row r="22" spans="1:13" ht="69.75" customHeight="1">
      <c r="A22" s="3">
        <f t="shared" si="0"/>
        <v>18</v>
      </c>
      <c r="B22" s="20">
        <v>46036.667800925927</v>
      </c>
      <c r="C22" s="3" t="s">
        <v>129</v>
      </c>
      <c r="D22" s="3"/>
      <c r="E22" s="10" t="s">
        <v>130</v>
      </c>
      <c r="F22" s="10" t="s">
        <v>131</v>
      </c>
      <c r="G22" s="3" t="s">
        <v>20</v>
      </c>
      <c r="H22" s="10" t="s">
        <v>132</v>
      </c>
      <c r="I22" s="21" t="s">
        <v>91</v>
      </c>
      <c r="J22" s="21" t="s">
        <v>133</v>
      </c>
      <c r="K22" s="22" t="s">
        <v>134</v>
      </c>
      <c r="L22" s="23" t="s">
        <v>135</v>
      </c>
      <c r="M22" s="10" t="s">
        <v>156</v>
      </c>
    </row>
    <row r="23" spans="1:13" ht="69.75" customHeight="1">
      <c r="A23" s="3">
        <f t="shared" si="0"/>
        <v>19</v>
      </c>
      <c r="B23" s="20">
        <v>46032.518229166664</v>
      </c>
      <c r="C23" s="3" t="s">
        <v>136</v>
      </c>
      <c r="D23" s="3" t="s">
        <v>27</v>
      </c>
      <c r="E23" s="10" t="s">
        <v>137</v>
      </c>
      <c r="F23" s="10" t="s">
        <v>138</v>
      </c>
      <c r="G23" s="3" t="s">
        <v>20</v>
      </c>
      <c r="H23" s="10" t="s">
        <v>139</v>
      </c>
      <c r="I23" s="21" t="s">
        <v>140</v>
      </c>
      <c r="J23" s="21" t="s">
        <v>141</v>
      </c>
      <c r="K23" s="22" t="s">
        <v>142</v>
      </c>
      <c r="L23" s="23" t="s">
        <v>143</v>
      </c>
      <c r="M23" s="10" t="s">
        <v>156</v>
      </c>
    </row>
    <row r="24" spans="1:13" ht="69.75" customHeight="1">
      <c r="A24" s="7">
        <f t="shared" si="0"/>
        <v>20</v>
      </c>
      <c r="B24" s="25">
        <v>46036.534097222226</v>
      </c>
      <c r="C24" s="7" t="s">
        <v>144</v>
      </c>
      <c r="D24" s="7"/>
      <c r="E24" s="26" t="s">
        <v>145</v>
      </c>
      <c r="F24" s="10" t="s">
        <v>146</v>
      </c>
      <c r="G24" s="3" t="s">
        <v>20</v>
      </c>
      <c r="H24" s="10" t="s">
        <v>147</v>
      </c>
      <c r="I24" s="21" t="s">
        <v>39</v>
      </c>
      <c r="J24" s="21" t="s">
        <v>148</v>
      </c>
      <c r="K24" s="22" t="s">
        <v>149</v>
      </c>
      <c r="L24" s="23" t="s">
        <v>150</v>
      </c>
      <c r="M24" s="12" t="s">
        <v>158</v>
      </c>
    </row>
    <row r="25" spans="1:13" ht="69.75" customHeight="1">
      <c r="A25" s="27">
        <f t="shared" si="0"/>
        <v>21</v>
      </c>
      <c r="B25" s="8"/>
      <c r="C25" s="6">
        <v>288388</v>
      </c>
      <c r="D25" s="8"/>
      <c r="E25" s="11" t="s">
        <v>160</v>
      </c>
      <c r="F25" s="11">
        <v>220</v>
      </c>
      <c r="G25" s="6" t="s">
        <v>173</v>
      </c>
      <c r="H25" s="11" t="s">
        <v>176</v>
      </c>
      <c r="I25" s="6" t="s">
        <v>167</v>
      </c>
      <c r="J25" s="6" t="s">
        <v>168</v>
      </c>
      <c r="K25" s="6" t="s">
        <v>167</v>
      </c>
      <c r="L25" s="6" t="s">
        <v>169</v>
      </c>
      <c r="M25" s="13" t="s">
        <v>156</v>
      </c>
    </row>
    <row r="26" spans="1:13" ht="69.75" customHeight="1">
      <c r="A26" s="27">
        <f t="shared" si="0"/>
        <v>22</v>
      </c>
      <c r="B26" s="8"/>
      <c r="C26" s="6">
        <v>282407</v>
      </c>
      <c r="D26" s="8"/>
      <c r="E26" s="11" t="s">
        <v>161</v>
      </c>
      <c r="F26" s="11">
        <v>220</v>
      </c>
      <c r="G26" s="6" t="s">
        <v>174</v>
      </c>
      <c r="H26" s="11" t="s">
        <v>177</v>
      </c>
      <c r="I26" s="6" t="s">
        <v>167</v>
      </c>
      <c r="J26" s="6" t="s">
        <v>168</v>
      </c>
      <c r="K26" s="6" t="s">
        <v>167</v>
      </c>
      <c r="L26" s="6" t="s">
        <v>170</v>
      </c>
      <c r="M26" s="13" t="s">
        <v>182</v>
      </c>
    </row>
    <row r="27" spans="1:13" ht="69.75" customHeight="1">
      <c r="A27" s="27">
        <f t="shared" si="0"/>
        <v>23</v>
      </c>
      <c r="B27" s="8"/>
      <c r="C27" s="6">
        <v>282289</v>
      </c>
      <c r="D27" s="8"/>
      <c r="E27" s="11" t="s">
        <v>162</v>
      </c>
      <c r="F27" s="11">
        <v>220</v>
      </c>
      <c r="G27" s="6" t="s">
        <v>174</v>
      </c>
      <c r="H27" s="11" t="s">
        <v>178</v>
      </c>
      <c r="I27" s="6" t="s">
        <v>167</v>
      </c>
      <c r="J27" s="6" t="s">
        <v>171</v>
      </c>
      <c r="K27" s="6" t="s">
        <v>167</v>
      </c>
      <c r="L27" s="6" t="s">
        <v>170</v>
      </c>
      <c r="M27" s="13" t="s">
        <v>183</v>
      </c>
    </row>
    <row r="28" spans="1:13" ht="69.75" customHeight="1">
      <c r="A28" s="27">
        <f t="shared" si="0"/>
        <v>24</v>
      </c>
      <c r="B28" s="8"/>
      <c r="C28" s="6">
        <v>282165</v>
      </c>
      <c r="D28" s="8"/>
      <c r="E28" s="11" t="s">
        <v>163</v>
      </c>
      <c r="F28" s="11">
        <v>132</v>
      </c>
      <c r="G28" s="6" t="s">
        <v>175</v>
      </c>
      <c r="H28" s="11" t="s">
        <v>179</v>
      </c>
      <c r="I28" s="6" t="s">
        <v>167</v>
      </c>
      <c r="J28" s="6" t="s">
        <v>171</v>
      </c>
      <c r="K28" s="6" t="s">
        <v>167</v>
      </c>
      <c r="L28" s="6" t="s">
        <v>170</v>
      </c>
      <c r="M28" s="13" t="s">
        <v>156</v>
      </c>
    </row>
    <row r="29" spans="1:13" ht="69.75" customHeight="1">
      <c r="A29" s="27">
        <f t="shared" si="0"/>
        <v>25</v>
      </c>
      <c r="B29" s="8"/>
      <c r="C29" s="6">
        <v>281001</v>
      </c>
      <c r="D29" s="8"/>
      <c r="E29" s="11" t="s">
        <v>164</v>
      </c>
      <c r="F29" s="11">
        <v>400</v>
      </c>
      <c r="G29" s="6" t="s">
        <v>173</v>
      </c>
      <c r="H29" s="11" t="s">
        <v>180</v>
      </c>
      <c r="I29" s="6" t="s">
        <v>167</v>
      </c>
      <c r="J29" s="6" t="s">
        <v>171</v>
      </c>
      <c r="K29" s="6" t="s">
        <v>167</v>
      </c>
      <c r="L29" s="6" t="s">
        <v>170</v>
      </c>
      <c r="M29" s="13" t="s">
        <v>157</v>
      </c>
    </row>
    <row r="30" spans="1:13" ht="69.75" customHeight="1">
      <c r="A30" s="27">
        <f t="shared" si="0"/>
        <v>26</v>
      </c>
      <c r="B30" s="8"/>
      <c r="C30" s="6">
        <v>281002</v>
      </c>
      <c r="D30" s="8"/>
      <c r="E30" s="11" t="s">
        <v>165</v>
      </c>
      <c r="F30" s="11">
        <v>400</v>
      </c>
      <c r="G30" s="6" t="s">
        <v>173</v>
      </c>
      <c r="H30" s="11" t="s">
        <v>181</v>
      </c>
      <c r="I30" s="6" t="s">
        <v>167</v>
      </c>
      <c r="J30" s="6" t="s">
        <v>171</v>
      </c>
      <c r="K30" s="6" t="s">
        <v>167</v>
      </c>
      <c r="L30" s="6" t="s">
        <v>170</v>
      </c>
      <c r="M30" s="13" t="s">
        <v>157</v>
      </c>
    </row>
    <row r="31" spans="1:13" ht="69.75" customHeight="1">
      <c r="A31" s="27">
        <f t="shared" si="0"/>
        <v>27</v>
      </c>
      <c r="B31" s="8"/>
      <c r="C31" s="6">
        <v>281016</v>
      </c>
      <c r="D31" s="8"/>
      <c r="E31" s="11" t="s">
        <v>166</v>
      </c>
      <c r="F31" s="11">
        <v>220</v>
      </c>
      <c r="G31" s="6" t="s">
        <v>173</v>
      </c>
      <c r="H31" s="11" t="s">
        <v>180</v>
      </c>
      <c r="I31" s="6" t="s">
        <v>167</v>
      </c>
      <c r="J31" s="6" t="s">
        <v>171</v>
      </c>
      <c r="K31" s="6" t="s">
        <v>167</v>
      </c>
      <c r="L31" s="6" t="s">
        <v>172</v>
      </c>
      <c r="M31" s="13" t="s">
        <v>157</v>
      </c>
    </row>
    <row r="32" spans="1:13" ht="69.75" customHeight="1">
      <c r="A32" s="8"/>
      <c r="B32" s="8"/>
      <c r="C32" s="8"/>
      <c r="D32" s="8"/>
      <c r="E32" s="14"/>
      <c r="F32" s="14"/>
      <c r="G32" s="8"/>
      <c r="H32" s="14"/>
      <c r="I32" s="8"/>
      <c r="J32" s="8"/>
      <c r="K32" s="8"/>
      <c r="L32" s="8"/>
      <c r="M32" s="14"/>
    </row>
    <row r="33" spans="1:13" ht="69.75" customHeight="1">
      <c r="A33" s="8"/>
      <c r="B33" s="8"/>
      <c r="C33" s="8"/>
      <c r="D33" s="8"/>
      <c r="E33" s="14"/>
      <c r="F33" s="14"/>
      <c r="G33" s="8"/>
      <c r="H33" s="14"/>
      <c r="I33" s="8"/>
      <c r="J33" s="8"/>
      <c r="K33" s="8"/>
      <c r="L33" s="8"/>
      <c r="M33" s="14"/>
    </row>
    <row r="34" spans="1:13" ht="69.75" customHeight="1">
      <c r="A34" s="8"/>
      <c r="B34" s="8"/>
      <c r="C34" s="8"/>
      <c r="D34" s="8"/>
      <c r="E34" s="14"/>
      <c r="F34" s="14"/>
      <c r="G34" s="8"/>
      <c r="H34" s="14"/>
      <c r="I34" s="8"/>
      <c r="J34" s="8"/>
      <c r="K34" s="8"/>
      <c r="L34" s="8"/>
      <c r="M34" s="14"/>
    </row>
    <row r="35" spans="1:13" ht="69.75" customHeight="1">
      <c r="A35" s="8"/>
      <c r="B35" s="8"/>
      <c r="C35" s="8"/>
      <c r="D35" s="8"/>
      <c r="E35" s="14"/>
      <c r="F35" s="14"/>
      <c r="G35" s="8"/>
      <c r="H35" s="14"/>
      <c r="I35" s="8"/>
      <c r="J35" s="8"/>
      <c r="K35" s="8"/>
      <c r="L35" s="8"/>
      <c r="M35" s="14"/>
    </row>
    <row r="36" spans="1:13" ht="69.75" customHeight="1">
      <c r="A36" s="8"/>
      <c r="B36" s="8"/>
      <c r="C36" s="8"/>
      <c r="D36" s="8"/>
      <c r="E36" s="14"/>
      <c r="F36" s="14"/>
      <c r="G36" s="8"/>
      <c r="H36" s="14"/>
      <c r="I36" s="8"/>
      <c r="J36" s="8"/>
      <c r="K36" s="8"/>
      <c r="L36" s="8"/>
      <c r="M36" s="14"/>
    </row>
    <row r="37" spans="1:13" ht="69.75" customHeight="1">
      <c r="A37" s="8"/>
      <c r="B37" s="8"/>
      <c r="C37" s="8"/>
      <c r="D37" s="8"/>
      <c r="E37" s="14"/>
      <c r="F37" s="14"/>
      <c r="G37" s="8"/>
      <c r="H37" s="14"/>
      <c r="I37" s="8"/>
      <c r="J37" s="8"/>
      <c r="K37" s="8"/>
      <c r="L37" s="8"/>
      <c r="M37" s="14"/>
    </row>
  </sheetData>
  <mergeCells count="2">
    <mergeCell ref="B1:M1"/>
    <mergeCell ref="K4:L4"/>
  </mergeCells>
  <pageMargins left="0" right="0" top="0" bottom="0" header="0.51181102362204722" footer="0.51181102362204722"/>
  <pageSetup paperSize="9" scale="50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2026-01-14T12:54:23Z</cp:lastPrinted>
  <dcterms:created xsi:type="dcterms:W3CDTF">2026-01-14T11:44:15Z</dcterms:created>
  <dcterms:modified xsi:type="dcterms:W3CDTF">2026-01-14T12:55:51Z</dcterms:modified>
</cp:coreProperties>
</file>
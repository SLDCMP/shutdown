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bookViews>
    <workbookView xWindow="0" yWindow="0" windowWidth="28800" windowHeight="12330" tabRatio="605"/>
  </bookViews>
  <sheets>
    <sheet name="Sheet0" sheetId="1" r:id="rId1"/>
  </sheets>
  <definedNames>
    <definedName name="__bookmark_1">Sheet0!$A$1:$M$37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8" i="1" l="1"/>
  <c r="A39" i="1" s="1"/>
  <c r="A40" i="1" s="1"/>
  <c r="A41" i="1" s="1"/>
  <c r="A42" i="1" s="1"/>
  <c r="A43" i="1" s="1"/>
  <c r="A44" i="1" s="1"/>
  <c r="A45" i="1" s="1"/>
  <c r="A46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6" i="1"/>
</calcChain>
</file>

<file path=xl/sharedStrings.xml><?xml version="1.0" encoding="utf-8"?>
<sst xmlns="http://schemas.openxmlformats.org/spreadsheetml/2006/main" count="390" uniqueCount="252">
  <si>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</si>
  <si>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</si>
  <si>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</si>
  <si>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</si>
  <si>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</si>
  <si>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</si>
  <si>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</si>
  <si>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</si>
  <si>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</si>
  <si>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</si>
  <si>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</si>
  <si>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</si>
  <si>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</si>
  <si>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</si>
  <si>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</si>
  <si>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</si>
  <si>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</si>
  <si>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MR2511/0339</t>
  </si>
  <si>
    <t>132KV_132 KV Bansagar Jhinna</t>
  </si>
  <si>
    <t>132KV_AMARPATAN</t>
  </si>
  <si>
    <t>NON-OCCM-MP</t>
  </si>
  <si>
    <t>attend hot point in line isolator</t>
  </si>
  <si>
    <t>17-11-2025 12:00:00</t>
  </si>
  <si>
    <t>17-11-2025 14:00:00</t>
  </si>
  <si>
    <t>Arun kumar</t>
  </si>
  <si>
    <t>9131207339</t>
  </si>
  <si>
    <t>MR2511/0337</t>
  </si>
  <si>
    <t>220KV_220/132KV 160MVA BBL X-MER</t>
  </si>
  <si>
    <t>220KV_ANUPPUR</t>
  </si>
  <si>
    <t>Post-Mansoon Maintenance &amp; Testing work</t>
  </si>
  <si>
    <t>17-11-2025 09:00:00</t>
  </si>
  <si>
    <t>17-11-2025 18:00:00</t>
  </si>
  <si>
    <t>Sunil Kumar Bhalavi</t>
  </si>
  <si>
    <t>9425804704</t>
  </si>
  <si>
    <t>MR2511/0328</t>
  </si>
  <si>
    <t>132KV_132 kV Bargi MPPTCL- Bargi Ph</t>
  </si>
  <si>
    <t>132KV_BARGI</t>
  </si>
  <si>
    <t>Pilot porcelain string provide at loc. 12 (T)</t>
  </si>
  <si>
    <t>17-11-2025 10:00:00</t>
  </si>
  <si>
    <t>17-11-2025 17:00:00</t>
  </si>
  <si>
    <t>Jitendra Tiwari</t>
  </si>
  <si>
    <t>9425805298</t>
  </si>
  <si>
    <t>220KV_3X40 MVA X-MER I (MITSUBISHI)</t>
  </si>
  <si>
    <t>220KV_BARWAHA</t>
  </si>
  <si>
    <t>Post monsoon maintenance work</t>
  </si>
  <si>
    <t>ER. IMRAN BEG</t>
  </si>
  <si>
    <t>9425805200</t>
  </si>
  <si>
    <t>MR2511/0340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</si>
  <si>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</si>
  <si>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</si>
  <si>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</si>
  <si>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</si>
  <si>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</si>
  <si>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</si>
  <si>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</si>
  <si>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</si>
  <si>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</si>
  <si>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MR2511/0336</t>
  </si>
  <si>
    <t>40MVA_132/33KV_BBL_X'mer_2</t>
  </si>
  <si>
    <t>220KV_CHHINDWARA</t>
  </si>
  <si>
    <t>OIL FILLING WORK.</t>
  </si>
  <si>
    <t>17-11-2025 16:00:00</t>
  </si>
  <si>
    <t>A A QURESHI</t>
  </si>
  <si>
    <t>9425804318</t>
  </si>
  <si>
    <t>Continuous</t>
  </si>
  <si>
    <t>220KV_220KV DAMOH - KATNI LINE</t>
  </si>
  <si>
    <t>220KV_DAMOH</t>
  </si>
  <si>
    <t>TOWER STRENGTHENING WORK</t>
  </si>
  <si>
    <t>22-11-2025 18:00:00</t>
  </si>
  <si>
    <t>M.M. BAIG</t>
  </si>
  <si>
    <t>9425805067</t>
  </si>
  <si>
    <t>MR2510/0481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</si>
  <si>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</si>
  <si>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</si>
  <si>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</si>
  <si>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</si>
  <si>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</si>
  <si>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</si>
  <si>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</si>
  <si>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MR2511/0334</t>
  </si>
  <si>
    <t>132KV_132KV ANUPPUR-Dongrital ckt</t>
  </si>
  <si>
    <t>132KV_DONGRITAL</t>
  </si>
  <si>
    <t>Disc string replacement work</t>
  </si>
  <si>
    <t>17-11-2025 08:00:00</t>
  </si>
  <si>
    <t>MR2511/0331</t>
  </si>
  <si>
    <t>132KV_40 MVA X- MER( MAKE BHEL)</t>
  </si>
  <si>
    <t>132KV_ESAGARH</t>
  </si>
  <si>
    <t>PAINTING WORK</t>
  </si>
  <si>
    <t>17-11-2025 11:00:00</t>
  </si>
  <si>
    <t>RAKESH SUMAN</t>
  </si>
  <si>
    <t>7587951093</t>
  </si>
  <si>
    <t>MR2511/0333</t>
  </si>
  <si>
    <t>132KV_132/33KV 40MVA Xmer EMCO</t>
  </si>
  <si>
    <t>132KV_GUDGAON</t>
  </si>
  <si>
    <t>S/d for PMM and Tan delta measurements work.</t>
  </si>
  <si>
    <t>Sanjay Pawar</t>
  </si>
  <si>
    <t>9425802293</t>
  </si>
  <si>
    <t>MR2511/0306</t>
  </si>
  <si>
    <t>220KV_220KV INDORE BARWAHA-1</t>
  </si>
  <si>
    <t>400KV_INDORE4</t>
  </si>
  <si>
    <t>post monsoon maintenance work.</t>
  </si>
  <si>
    <t>ATUL PARADKAR</t>
  </si>
  <si>
    <t>9425804929</t>
  </si>
  <si>
    <t>MR2511/0323</t>
  </si>
  <si>
    <t>132KV_63 MVA ABB X-MER</t>
  </si>
  <si>
    <t>220KV_JABALPUR</t>
  </si>
  <si>
    <t>ERTHING &amp; TESTING WORK</t>
  </si>
  <si>
    <t>17-11-2025 13:00:00</t>
  </si>
  <si>
    <t>D.N.PODDAR</t>
  </si>
  <si>
    <t>9425805034</t>
  </si>
  <si>
    <t>MR2511/0335</t>
  </si>
  <si>
    <t>220KV_160 MVA BHEL X-MER</t>
  </si>
  <si>
    <t>OIL TOPING &amp; MANTENANCE</t>
  </si>
  <si>
    <t>D.N. PODDAR</t>
  </si>
  <si>
    <t>400KV_400KV_400KV JP BINA -MP BINA LINE</t>
  </si>
  <si>
    <t>400KV_JP BINA</t>
  </si>
  <si>
    <t>NON-OCCM-WR</t>
  </si>
  <si>
    <t>Low line to line clearance</t>
  </si>
  <si>
    <t>17-11-2025 07:00:00</t>
  </si>
  <si>
    <t>17-11-2025 19:00:00</t>
  </si>
  <si>
    <t>Krishna Singh Thakur</t>
  </si>
  <si>
    <t>7987976012</t>
  </si>
  <si>
    <t>MR2510/0635</t>
  </si>
  <si>
    <t>MR2511/0326</t>
  </si>
  <si>
    <t>220KV_220KV Julwania -Kukshi DCDS Ckt-1 line</t>
  </si>
  <si>
    <t>400KV_JULWANIYA4</t>
  </si>
  <si>
    <t>Additional bird excreta preventer installation &amp; o</t>
  </si>
  <si>
    <t>Dinesh More</t>
  </si>
  <si>
    <t>9425806860</t>
  </si>
  <si>
    <t>MR2511/0329</t>
  </si>
  <si>
    <t>220KV_JULWANIYA4-KUKSHI_Ckt_1</t>
  </si>
  <si>
    <t>PLCC protection panel replacement work</t>
  </si>
  <si>
    <t>ER. Ravindra Patil</t>
  </si>
  <si>
    <t>8305612190</t>
  </si>
  <si>
    <t>MR2510/0487</t>
  </si>
  <si>
    <t>400KV_400KV KATNI - DAMOH LINE</t>
  </si>
  <si>
    <t>400KV_KATNI4</t>
  </si>
  <si>
    <t>OCCM-MP</t>
  </si>
  <si>
    <t>MR2511/0310</t>
  </si>
  <si>
    <t>220KV_220 kV Satna (PGCIL) â¿¿  Kotar line</t>
  </si>
  <si>
    <t>220KV_KOTAR</t>
  </si>
  <si>
    <t>Line maintenance work</t>
  </si>
  <si>
    <t>Mr. R.K. Prajapati</t>
  </si>
  <si>
    <t>9407070182</t>
  </si>
  <si>
    <t>132KV_40 MVA Xmer BBL</t>
  </si>
  <si>
    <t>132KV_MAJHGAWAN</t>
  </si>
  <si>
    <t>Oil topping</t>
  </si>
  <si>
    <t>17-11-2025 15:00:00</t>
  </si>
  <si>
    <t>Ravi Pandey</t>
  </si>
  <si>
    <t>9425805296</t>
  </si>
  <si>
    <t>MR2511/0345</t>
  </si>
  <si>
    <t>MR2511/0309</t>
  </si>
  <si>
    <t>132KV_132 kV Mandideep-Nahar line</t>
  </si>
  <si>
    <t>220KV_MANDIDEEP</t>
  </si>
  <si>
    <t>Disc insulator replacement work</t>
  </si>
  <si>
    <t>Ankit Mehroliya</t>
  </si>
  <si>
    <t>9425804506</t>
  </si>
  <si>
    <t>132KV_MANDLA</t>
  </si>
  <si>
    <t>S.K. BHALADHARE</t>
  </si>
  <si>
    <t>9425807264</t>
  </si>
  <si>
    <t>MR2511/0307</t>
  </si>
  <si>
    <t>132KV_132kV Mandla dindori Line</t>
  </si>
  <si>
    <t>Emergency Side tree cutting Work &amp; Other Line Main</t>
  </si>
  <si>
    <t>MR2511/0180</t>
  </si>
  <si>
    <t>220KV_Only Main CB of Nagda-Nagra ckt-2 bay</t>
  </si>
  <si>
    <t>400KV_NAGDA4</t>
  </si>
  <si>
    <t>For replacement of main CB of nagra ckt-2 bay</t>
  </si>
  <si>
    <t>10-11-2025 09:00:00</t>
  </si>
  <si>
    <t>30-11-2025 17:00:00</t>
  </si>
  <si>
    <t>Sunil Bamniya</t>
  </si>
  <si>
    <t>9425820045</t>
  </si>
  <si>
    <t>MR2511/0332</t>
  </si>
  <si>
    <t>132KV_132/33KV 40MVA X-mer-2 Make-BBL</t>
  </si>
  <si>
    <t>132KV_NAINPUR</t>
  </si>
  <si>
    <t>Post Monsoon Maintenance  Testing Work</t>
  </si>
  <si>
    <t>Shri Sandeep Damahe</t>
  </si>
  <si>
    <t>9425805009</t>
  </si>
  <si>
    <t>MR2511/0330</t>
  </si>
  <si>
    <t>220KV_100MVA TRANSFORMERâ¿¿ I (CGL)</t>
  </si>
  <si>
    <t>220KV_NIPANIYA</t>
  </si>
  <si>
    <t>Bay maintenance and  Testing work at Generation en</t>
  </si>
  <si>
    <t>17-11-2025 10:30:00</t>
  </si>
  <si>
    <t>K.C.PANWAR</t>
  </si>
  <si>
    <t>7587951066</t>
  </si>
  <si>
    <t>MR2511/0302</t>
  </si>
  <si>
    <t>220KV_/132kv 160MVA BHEL X-MER No-1</t>
  </si>
  <si>
    <t>220KV_PANAGAR</t>
  </si>
  <si>
    <t>Arresting of oil leakage of OSR</t>
  </si>
  <si>
    <t>h l koshta</t>
  </si>
  <si>
    <t>7587951105</t>
  </si>
  <si>
    <t>MR2511/0291</t>
  </si>
  <si>
    <t>132KV_132kV Gopalganj Pench Line</t>
  </si>
  <si>
    <t>132KV_PENCH</t>
  </si>
  <si>
    <t>Work for Re-sagging Loc 179 to 184 &amp; 184 to 187</t>
  </si>
  <si>
    <t>16-11-2025 08:00:00</t>
  </si>
  <si>
    <t>18-11-2025 18:00:00</t>
  </si>
  <si>
    <t>Amol Shende</t>
  </si>
  <si>
    <t>7587951136</t>
  </si>
  <si>
    <t>MR2510/0205</t>
  </si>
  <si>
    <t>400KV_400KV Rajgarh- SSP Ckt-2</t>
  </si>
  <si>
    <t>400KV_RAJGARH-PG</t>
  </si>
  <si>
    <t>Old disc insulator replacement work</t>
  </si>
  <si>
    <t>30-11-2025 18:00:00</t>
  </si>
  <si>
    <t>V.RPanadia</t>
  </si>
  <si>
    <t>8120516165</t>
  </si>
  <si>
    <t>MR2511/0026</t>
  </si>
  <si>
    <t>132KV_132KV REWA-RAMPUR NAIKIN CKT</t>
  </si>
  <si>
    <t>220KV_REWA</t>
  </si>
  <si>
    <t>OPGW HOT LINE WORK</t>
  </si>
  <si>
    <t>MR2511/0314</t>
  </si>
  <si>
    <t>220KV_SARNI BETUL PGCIL</t>
  </si>
  <si>
    <t>220KV_SARNI</t>
  </si>
  <si>
    <t>OCCM-WR</t>
  </si>
  <si>
    <t>BIRD GUARD INSTALLATION WORK &amp; OTHER LINE MAINT. W</t>
  </si>
  <si>
    <t>SHIV KUMAR</t>
  </si>
  <si>
    <t>9425806917</t>
  </si>
  <si>
    <t>MR2509/0137</t>
  </si>
  <si>
    <t>220KV_220 KV Sarni-Itarsi-4</t>
  </si>
  <si>
    <t>400KV_SATPURA TPS</t>
  </si>
  <si>
    <t>Work of rutine testing , DCRM testing of 400/220 K</t>
  </si>
  <si>
    <t>YASHWANT WARATHE</t>
  </si>
  <si>
    <t>9425611046</t>
  </si>
  <si>
    <t>MR2511/0025</t>
  </si>
  <si>
    <t>132KV_132KV REWA-Jhinna</t>
  </si>
  <si>
    <t>220KV_SIDHI</t>
  </si>
  <si>
    <t>ok</t>
  </si>
  <si>
    <t>real time</t>
  </si>
  <si>
    <t>ok, through sub ld</t>
  </si>
  <si>
    <t>data confirmation required from communication</t>
  </si>
  <si>
    <t>sub ld</t>
  </si>
  <si>
    <t>as opportunity s/d</t>
  </si>
  <si>
    <t>o&amp;m consent required</t>
  </si>
  <si>
    <t>deferred due to s/d on x-mer at Panagar, Narsinghpur and 132kv mandla-dindori</t>
  </si>
  <si>
    <t>RTS consent required</t>
  </si>
  <si>
    <t>RAJGARH - 220KV - BUS 1</t>
  </si>
  <si>
    <t>For 220KV Bus-Bar stability test for 220KV SVVPL Line</t>
  </si>
  <si>
    <t>OK</t>
  </si>
  <si>
    <t>400KV-DAMOH-KATNI-1</t>
  </si>
  <si>
    <t>Tower Strengthening Work</t>
  </si>
  <si>
    <t>400KV-BHOPAL-MP-BINA-MP-2</t>
  </si>
  <si>
    <t>FOR BAY MAINTENANCE &amp; TESTING WORK AT SUBSTASTION, REPLACEMENT OF DAMAGED CLAMPS/JUMPERS ETC.</t>
  </si>
  <si>
    <t>220KV-SATNA-KOTAR-1</t>
  </si>
  <si>
    <t>FOR LINE MAINTENANCE WORK i.e. CLEANING OF DISC INSULATORS DURING LINE PATROLLING , REPLACEMENT OF FLASHOVERED DISC INSULATORS, TREE BRANCH CUTTING ETC AT VARIOUS TOWER LOCATIONS</t>
  </si>
  <si>
    <t>220KV-SEONI-MP-SEONI-PG-2</t>
  </si>
  <si>
    <t>220KV-BETUL-SARNI-1</t>
  </si>
  <si>
    <t>400KV-SSP-RAJGARH-2</t>
  </si>
  <si>
    <t>Ok, All other ckts at SSP to be in service. At present Bus split at SSP. Ok.400kV SSP -RAJGARH-PG -T1 Sensitivity of  28.78% and All other lines at SSP - 400KV and RAJGARH - 400KV to be in service.</t>
  </si>
  <si>
    <t>220KV-AJAYGARH-SATNA-1</t>
  </si>
  <si>
    <t>FOR WIRING WORK AT LOCATION NO.IR/O TO 2/O (AS A PART OF BAY SHIFTING WORK AT PGCIL END)</t>
  </si>
  <si>
    <t>DEFERRED BY SITE</t>
  </si>
  <si>
    <t>400KV-INDORE-UJJAIN-2</t>
  </si>
  <si>
    <t>FOR BAY MAINTENANCE &amp; TESTING WORK AT UJJAIN SUBSTASTION, REPLACEMENT OF DAMAGED CLAMPS/JUMPERS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</si>
</sst>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5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0" fillId="0" borderId="0" xfId="0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0" borderId="6" xfId="0" applyFont="1" applyBorder="1"/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4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43" sqref="E43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5.28515625" style="7" customWidth="1"/>
    <col min="6" max="6" width="21.85546875" customWidth="1"/>
    <col min="7" max="7" width="15.7109375" customWidth="1"/>
    <col min="8" max="8" width="39.5703125" customWidth="1"/>
    <col min="9" max="9" width="19.42578125" customWidth="1"/>
    <col min="10" max="10" width="19.5703125" customWidth="1"/>
    <col min="11" max="11" width="19" customWidth="1"/>
    <col min="12" max="12" width="12" customWidth="1"/>
    <col min="13" max="13" width="56.140625" customWidth="1"/>
  </cols>
  <sheetData>
    <row r="1" spans="1:13" ht="43.7" customHeight="1">
      <c r="A1" s="1"/>
      <c r="B1" s="4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6"/>
    </row>
    <row r="2" spans="1:13" ht="42" customHeight="1">
      <c r="A2" s="1" t="s">
        <v>1</v>
      </c>
      <c r="B2" s="2">
        <v>45978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9" t="s">
        <v>15</v>
      </c>
      <c r="L4" s="10"/>
      <c r="M4" s="8" t="s">
        <v>16</v>
      </c>
    </row>
    <row r="5" spans="1:13" ht="39" customHeight="1">
      <c r="A5" s="11">
        <v>1</v>
      </c>
      <c r="B5" s="12">
        <v>45977.636423611111</v>
      </c>
      <c r="C5" s="11" t="s">
        <v>17</v>
      </c>
      <c r="D5" s="11"/>
      <c r="E5" s="11" t="s">
        <v>18</v>
      </c>
      <c r="F5" s="11" t="s">
        <v>19</v>
      </c>
      <c r="G5" s="11" t="s">
        <v>20</v>
      </c>
      <c r="H5" s="11" t="s">
        <v>21</v>
      </c>
      <c r="I5" s="13" t="s">
        <v>22</v>
      </c>
      <c r="J5" s="13" t="s">
        <v>23</v>
      </c>
      <c r="K5" s="11" t="s">
        <v>24</v>
      </c>
      <c r="L5" s="11" t="s">
        <v>25</v>
      </c>
      <c r="M5" s="11" t="s">
        <v>226</v>
      </c>
    </row>
    <row r="6" spans="1:13" ht="39" customHeight="1">
      <c r="A6" s="11">
        <f>A5+1</f>
        <v>2</v>
      </c>
      <c r="B6" s="12">
        <v>45977.619467592594</v>
      </c>
      <c r="C6" s="11" t="s">
        <v>26</v>
      </c>
      <c r="D6" s="11"/>
      <c r="E6" s="11" t="s">
        <v>27</v>
      </c>
      <c r="F6" s="11" t="s">
        <v>28</v>
      </c>
      <c r="G6" s="11" t="s">
        <v>20</v>
      </c>
      <c r="H6" s="11" t="s">
        <v>29</v>
      </c>
      <c r="I6" s="13" t="s">
        <v>30</v>
      </c>
      <c r="J6" s="13" t="s">
        <v>31</v>
      </c>
      <c r="K6" s="11" t="s">
        <v>32</v>
      </c>
      <c r="L6" s="11" t="s">
        <v>33</v>
      </c>
      <c r="M6" s="11" t="s">
        <v>225</v>
      </c>
    </row>
    <row r="7" spans="1:13" ht="39" customHeight="1">
      <c r="A7" s="11">
        <f t="shared" ref="A7:A46" si="0">A6+1</f>
        <v>3</v>
      </c>
      <c r="B7" s="12">
        <v>45976.64634259259</v>
      </c>
      <c r="C7" s="11" t="s">
        <v>34</v>
      </c>
      <c r="D7" s="11"/>
      <c r="E7" s="11" t="s">
        <v>35</v>
      </c>
      <c r="F7" s="11" t="s">
        <v>36</v>
      </c>
      <c r="G7" s="11" t="s">
        <v>20</v>
      </c>
      <c r="H7" s="11" t="s">
        <v>37</v>
      </c>
      <c r="I7" s="13" t="s">
        <v>38</v>
      </c>
      <c r="J7" s="13" t="s">
        <v>39</v>
      </c>
      <c r="K7" s="11" t="s">
        <v>40</v>
      </c>
      <c r="L7" s="11" t="s">
        <v>41</v>
      </c>
      <c r="M7" s="11" t="s">
        <v>225</v>
      </c>
    </row>
    <row r="8" spans="1:13" ht="39" customHeight="1">
      <c r="A8" s="11">
        <f t="shared" si="0"/>
        <v>4</v>
      </c>
      <c r="B8" s="12">
        <v>45977.675104166665</v>
      </c>
      <c r="C8" s="11" t="s">
        <v>47</v>
      </c>
      <c r="D8" s="11"/>
      <c r="E8" s="11" t="s">
        <v>42</v>
      </c>
      <c r="F8" s="11" t="s">
        <v>43</v>
      </c>
      <c r="G8" s="11" t="s">
        <v>20</v>
      </c>
      <c r="H8" s="11" t="s">
        <v>44</v>
      </c>
      <c r="I8" s="13" t="s">
        <v>30</v>
      </c>
      <c r="J8" s="13" t="s">
        <v>39</v>
      </c>
      <c r="K8" s="11" t="s">
        <v>45</v>
      </c>
      <c r="L8" s="11" t="s">
        <v>46</v>
      </c>
      <c r="M8" s="11" t="s">
        <v>227</v>
      </c>
    </row>
    <row r="9" spans="1:13" ht="39" customHeight="1">
      <c r="A9" s="11">
        <f t="shared" si="0"/>
        <v>5</v>
      </c>
      <c r="B9" s="12">
        <v>45963.700092592589</v>
      </c>
      <c r="C9" s="11" t="s">
        <v>48</v>
      </c>
      <c r="D9" s="11" t="s">
        <v>49</v>
      </c>
      <c r="E9" s="11" t="s">
        <v>50</v>
      </c>
      <c r="F9" s="11" t="s">
        <v>51</v>
      </c>
      <c r="G9" s="11" t="s">
        <v>20</v>
      </c>
      <c r="H9" s="11" t="s">
        <v>52</v>
      </c>
      <c r="I9" s="13" t="s">
        <v>53</v>
      </c>
      <c r="J9" s="13" t="s">
        <v>54</v>
      </c>
      <c r="K9" s="11" t="s">
        <v>55</v>
      </c>
      <c r="L9" s="11" t="s">
        <v>56</v>
      </c>
      <c r="M9" s="11" t="s">
        <v>228</v>
      </c>
    </row>
    <row r="10" spans="1:13" ht="39" customHeight="1">
      <c r="A10" s="11">
        <f t="shared" si="0"/>
        <v>6</v>
      </c>
      <c r="B10" s="12">
        <v>45977.610752314817</v>
      </c>
      <c r="C10" s="11" t="s">
        <v>57</v>
      </c>
      <c r="D10" s="11"/>
      <c r="E10" s="11" t="s">
        <v>58</v>
      </c>
      <c r="F10" s="11" t="s">
        <v>59</v>
      </c>
      <c r="G10" s="11" t="s">
        <v>20</v>
      </c>
      <c r="H10" s="11" t="s">
        <v>60</v>
      </c>
      <c r="I10" s="13" t="s">
        <v>22</v>
      </c>
      <c r="J10" s="13" t="s">
        <v>61</v>
      </c>
      <c r="K10" s="11" t="s">
        <v>62</v>
      </c>
      <c r="L10" s="11" t="s">
        <v>63</v>
      </c>
      <c r="M10" s="11" t="s">
        <v>225</v>
      </c>
    </row>
    <row r="11" spans="1:13" ht="39" customHeight="1">
      <c r="A11" s="11">
        <f t="shared" si="0"/>
        <v>7</v>
      </c>
      <c r="B11" s="12">
        <v>45946.731111111112</v>
      </c>
      <c r="C11" s="11" t="s">
        <v>71</v>
      </c>
      <c r="D11" s="11" t="s">
        <v>64</v>
      </c>
      <c r="E11" s="11" t="s">
        <v>65</v>
      </c>
      <c r="F11" s="11" t="s">
        <v>66</v>
      </c>
      <c r="G11" s="11" t="s">
        <v>20</v>
      </c>
      <c r="H11" s="11" t="s">
        <v>67</v>
      </c>
      <c r="I11" s="13" t="s">
        <v>30</v>
      </c>
      <c r="J11" s="13" t="s">
        <v>68</v>
      </c>
      <c r="K11" s="11" t="s">
        <v>69</v>
      </c>
      <c r="L11" s="11" t="s">
        <v>70</v>
      </c>
      <c r="M11" s="11" t="s">
        <v>225</v>
      </c>
    </row>
    <row r="12" spans="1:13" ht="39" customHeight="1">
      <c r="A12" s="11">
        <f t="shared" si="0"/>
        <v>8</v>
      </c>
      <c r="B12" s="12">
        <v>45964.491226851853</v>
      </c>
      <c r="C12" s="11" t="s">
        <v>72</v>
      </c>
      <c r="D12" s="11" t="s">
        <v>49</v>
      </c>
      <c r="E12" s="11" t="s">
        <v>73</v>
      </c>
      <c r="F12" s="11" t="s">
        <v>74</v>
      </c>
      <c r="G12" s="11" t="s">
        <v>20</v>
      </c>
      <c r="H12" s="11" t="s">
        <v>75</v>
      </c>
      <c r="I12" s="13" t="s">
        <v>53</v>
      </c>
      <c r="J12" s="13" t="s">
        <v>54</v>
      </c>
      <c r="K12" s="11" t="s">
        <v>76</v>
      </c>
      <c r="L12" s="11" t="s">
        <v>56</v>
      </c>
      <c r="M12" s="11" t="s">
        <v>228</v>
      </c>
    </row>
    <row r="13" spans="1:13" ht="39" customHeight="1">
      <c r="A13" s="11">
        <f t="shared" si="0"/>
        <v>9</v>
      </c>
      <c r="B13" s="12">
        <v>45964.492615740739</v>
      </c>
      <c r="C13" s="11" t="s">
        <v>77</v>
      </c>
      <c r="D13" s="11" t="s">
        <v>49</v>
      </c>
      <c r="E13" s="11" t="s">
        <v>78</v>
      </c>
      <c r="F13" s="11" t="s">
        <v>74</v>
      </c>
      <c r="G13" s="11" t="s">
        <v>20</v>
      </c>
      <c r="H13" s="11" t="s">
        <v>75</v>
      </c>
      <c r="I13" s="13" t="s">
        <v>53</v>
      </c>
      <c r="J13" s="13" t="s">
        <v>54</v>
      </c>
      <c r="K13" s="11" t="s">
        <v>76</v>
      </c>
      <c r="L13" s="11" t="s">
        <v>56</v>
      </c>
      <c r="M13" s="11" t="s">
        <v>228</v>
      </c>
    </row>
    <row r="14" spans="1:13" ht="39" customHeight="1">
      <c r="A14" s="11">
        <f t="shared" si="0"/>
        <v>10</v>
      </c>
      <c r="B14" s="12">
        <v>45977.540879629632</v>
      </c>
      <c r="C14" s="11" t="s">
        <v>79</v>
      </c>
      <c r="D14" s="11"/>
      <c r="E14" s="11" t="s">
        <v>80</v>
      </c>
      <c r="F14" s="11" t="s">
        <v>81</v>
      </c>
      <c r="G14" s="11" t="s">
        <v>20</v>
      </c>
      <c r="H14" s="11" t="s">
        <v>82</v>
      </c>
      <c r="I14" s="13" t="s">
        <v>83</v>
      </c>
      <c r="J14" s="13" t="s">
        <v>31</v>
      </c>
      <c r="K14" s="11" t="s">
        <v>55</v>
      </c>
      <c r="L14" s="11" t="s">
        <v>56</v>
      </c>
      <c r="M14" s="11" t="s">
        <v>225</v>
      </c>
    </row>
    <row r="15" spans="1:13" ht="39" customHeight="1">
      <c r="A15" s="11">
        <f t="shared" si="0"/>
        <v>11</v>
      </c>
      <c r="B15" s="12">
        <v>45977.489247685182</v>
      </c>
      <c r="C15" s="11" t="s">
        <v>84</v>
      </c>
      <c r="D15" s="11"/>
      <c r="E15" s="11" t="s">
        <v>85</v>
      </c>
      <c r="F15" s="11" t="s">
        <v>86</v>
      </c>
      <c r="G15" s="11" t="s">
        <v>20</v>
      </c>
      <c r="H15" s="11" t="s">
        <v>87</v>
      </c>
      <c r="I15" s="13" t="s">
        <v>88</v>
      </c>
      <c r="J15" s="13" t="s">
        <v>31</v>
      </c>
      <c r="K15" s="11" t="s">
        <v>89</v>
      </c>
      <c r="L15" s="11" t="s">
        <v>90</v>
      </c>
      <c r="M15" s="11" t="s">
        <v>229</v>
      </c>
    </row>
    <row r="16" spans="1:13" ht="39" customHeight="1">
      <c r="A16" s="11">
        <f t="shared" si="0"/>
        <v>12</v>
      </c>
      <c r="B16" s="12">
        <v>45977.529594907406</v>
      </c>
      <c r="C16" s="11" t="s">
        <v>91</v>
      </c>
      <c r="D16" s="11"/>
      <c r="E16" s="11" t="s">
        <v>92</v>
      </c>
      <c r="F16" s="11" t="s">
        <v>93</v>
      </c>
      <c r="G16" s="11" t="s">
        <v>20</v>
      </c>
      <c r="H16" s="11" t="s">
        <v>94</v>
      </c>
      <c r="I16" s="13" t="s">
        <v>88</v>
      </c>
      <c r="J16" s="13" t="s">
        <v>39</v>
      </c>
      <c r="K16" s="11" t="s">
        <v>95</v>
      </c>
      <c r="L16" s="11" t="s">
        <v>96</v>
      </c>
      <c r="M16" s="11" t="s">
        <v>229</v>
      </c>
    </row>
    <row r="17" spans="1:13" ht="39" customHeight="1">
      <c r="A17" s="11">
        <f t="shared" si="0"/>
        <v>13</v>
      </c>
      <c r="B17" s="12">
        <v>45976.380115740743</v>
      </c>
      <c r="C17" s="11" t="s">
        <v>97</v>
      </c>
      <c r="D17" s="11"/>
      <c r="E17" s="11" t="s">
        <v>98</v>
      </c>
      <c r="F17" s="11" t="s">
        <v>99</v>
      </c>
      <c r="G17" s="11" t="s">
        <v>20</v>
      </c>
      <c r="H17" s="11" t="s">
        <v>100</v>
      </c>
      <c r="I17" s="13" t="s">
        <v>30</v>
      </c>
      <c r="J17" s="13" t="s">
        <v>39</v>
      </c>
      <c r="K17" s="11" t="s">
        <v>101</v>
      </c>
      <c r="L17" s="11" t="s">
        <v>102</v>
      </c>
      <c r="M17" s="11" t="s">
        <v>227</v>
      </c>
    </row>
    <row r="18" spans="1:13" ht="39" customHeight="1">
      <c r="A18" s="11">
        <f t="shared" si="0"/>
        <v>14</v>
      </c>
      <c r="B18" s="12">
        <v>45976.588009259256</v>
      </c>
      <c r="C18" s="11" t="s">
        <v>103</v>
      </c>
      <c r="D18" s="11"/>
      <c r="E18" s="11" t="s">
        <v>104</v>
      </c>
      <c r="F18" s="11" t="s">
        <v>105</v>
      </c>
      <c r="G18" s="11" t="s">
        <v>20</v>
      </c>
      <c r="H18" s="11" t="s">
        <v>106</v>
      </c>
      <c r="I18" s="13" t="s">
        <v>38</v>
      </c>
      <c r="J18" s="13" t="s">
        <v>107</v>
      </c>
      <c r="K18" s="11" t="s">
        <v>108</v>
      </c>
      <c r="L18" s="11" t="s">
        <v>109</v>
      </c>
      <c r="M18" s="11" t="s">
        <v>231</v>
      </c>
    </row>
    <row r="19" spans="1:13" ht="39" customHeight="1">
      <c r="A19" s="11">
        <f t="shared" si="0"/>
        <v>15</v>
      </c>
      <c r="B19" s="12">
        <v>45977.603101851855</v>
      </c>
      <c r="C19" s="11" t="s">
        <v>110</v>
      </c>
      <c r="D19" s="11"/>
      <c r="E19" s="11" t="s">
        <v>111</v>
      </c>
      <c r="F19" s="11" t="s">
        <v>105</v>
      </c>
      <c r="G19" s="11" t="s">
        <v>20</v>
      </c>
      <c r="H19" s="11" t="s">
        <v>112</v>
      </c>
      <c r="I19" s="13" t="s">
        <v>30</v>
      </c>
      <c r="J19" s="13" t="s">
        <v>31</v>
      </c>
      <c r="K19" s="11" t="s">
        <v>113</v>
      </c>
      <c r="L19" s="11" t="s">
        <v>109</v>
      </c>
      <c r="M19" s="11" t="s">
        <v>232</v>
      </c>
    </row>
    <row r="20" spans="1:13" ht="39" customHeight="1">
      <c r="A20" s="11">
        <f t="shared" si="0"/>
        <v>16</v>
      </c>
      <c r="B20" s="12">
        <v>45958.536909722221</v>
      </c>
      <c r="C20" s="11" t="s">
        <v>122</v>
      </c>
      <c r="D20" s="11"/>
      <c r="E20" s="14" t="s">
        <v>114</v>
      </c>
      <c r="F20" s="11" t="s">
        <v>115</v>
      </c>
      <c r="G20" s="11" t="s">
        <v>116</v>
      </c>
      <c r="H20" s="11" t="s">
        <v>117</v>
      </c>
      <c r="I20" s="13" t="s">
        <v>118</v>
      </c>
      <c r="J20" s="13" t="s">
        <v>119</v>
      </c>
      <c r="K20" s="11" t="s">
        <v>120</v>
      </c>
      <c r="L20" s="11" t="s">
        <v>121</v>
      </c>
      <c r="M20" s="11" t="s">
        <v>225</v>
      </c>
    </row>
    <row r="21" spans="1:13" ht="39" customHeight="1">
      <c r="A21" s="11">
        <f t="shared" si="0"/>
        <v>17</v>
      </c>
      <c r="B21" s="12">
        <v>45976.625717592593</v>
      </c>
      <c r="C21" s="11" t="s">
        <v>123</v>
      </c>
      <c r="D21" s="11"/>
      <c r="E21" s="11" t="s">
        <v>124</v>
      </c>
      <c r="F21" s="11" t="s">
        <v>125</v>
      </c>
      <c r="G21" s="11" t="s">
        <v>20</v>
      </c>
      <c r="H21" s="11" t="s">
        <v>126</v>
      </c>
      <c r="I21" s="13" t="s">
        <v>88</v>
      </c>
      <c r="J21" s="13" t="s">
        <v>39</v>
      </c>
      <c r="K21" s="11" t="s">
        <v>127</v>
      </c>
      <c r="L21" s="11" t="s">
        <v>128</v>
      </c>
      <c r="M21" s="11" t="s">
        <v>227</v>
      </c>
    </row>
    <row r="22" spans="1:13" ht="39" customHeight="1">
      <c r="A22" s="11">
        <f t="shared" si="0"/>
        <v>18</v>
      </c>
      <c r="B22" s="12">
        <v>45976.889166666668</v>
      </c>
      <c r="C22" s="11" t="s">
        <v>129</v>
      </c>
      <c r="D22" s="11"/>
      <c r="E22" s="11" t="s">
        <v>130</v>
      </c>
      <c r="F22" s="11" t="s">
        <v>125</v>
      </c>
      <c r="G22" s="11" t="s">
        <v>20</v>
      </c>
      <c r="H22" s="11" t="s">
        <v>131</v>
      </c>
      <c r="I22" s="13" t="s">
        <v>88</v>
      </c>
      <c r="J22" s="13" t="s">
        <v>39</v>
      </c>
      <c r="K22" s="11" t="s">
        <v>132</v>
      </c>
      <c r="L22" s="11" t="s">
        <v>133</v>
      </c>
      <c r="M22" s="11" t="s">
        <v>230</v>
      </c>
    </row>
    <row r="23" spans="1:13" ht="39" customHeight="1">
      <c r="A23" s="11">
        <f t="shared" si="0"/>
        <v>19</v>
      </c>
      <c r="B23" s="12">
        <v>45946.768321759257</v>
      </c>
      <c r="C23" s="11" t="s">
        <v>134</v>
      </c>
      <c r="D23" s="11" t="s">
        <v>64</v>
      </c>
      <c r="E23" s="11" t="s">
        <v>135</v>
      </c>
      <c r="F23" s="11" t="s">
        <v>136</v>
      </c>
      <c r="G23" s="11" t="s">
        <v>137</v>
      </c>
      <c r="H23" s="11" t="s">
        <v>67</v>
      </c>
      <c r="I23" s="13" t="s">
        <v>30</v>
      </c>
      <c r="J23" s="13" t="s">
        <v>68</v>
      </c>
      <c r="K23" s="11" t="s">
        <v>69</v>
      </c>
      <c r="L23" s="11" t="s">
        <v>70</v>
      </c>
      <c r="M23" s="11" t="s">
        <v>225</v>
      </c>
    </row>
    <row r="24" spans="1:13" ht="39" customHeight="1">
      <c r="A24" s="11">
        <f t="shared" si="0"/>
        <v>20</v>
      </c>
      <c r="B24" s="12">
        <v>45976.461504629631</v>
      </c>
      <c r="C24" s="11" t="s">
        <v>138</v>
      </c>
      <c r="D24" s="11"/>
      <c r="E24" s="11" t="s">
        <v>139</v>
      </c>
      <c r="F24" s="11" t="s">
        <v>140</v>
      </c>
      <c r="G24" s="11" t="s">
        <v>137</v>
      </c>
      <c r="H24" s="11" t="s">
        <v>141</v>
      </c>
      <c r="I24" s="13" t="s">
        <v>38</v>
      </c>
      <c r="J24" s="13" t="s">
        <v>39</v>
      </c>
      <c r="K24" s="11" t="s">
        <v>142</v>
      </c>
      <c r="L24" s="11" t="s">
        <v>143</v>
      </c>
      <c r="M24" s="11" t="s">
        <v>225</v>
      </c>
    </row>
    <row r="25" spans="1:13" ht="39" customHeight="1">
      <c r="A25" s="11">
        <f t="shared" si="0"/>
        <v>21</v>
      </c>
      <c r="B25" s="12">
        <v>45977.678483796299</v>
      </c>
      <c r="C25" s="11" t="s">
        <v>150</v>
      </c>
      <c r="D25" s="11"/>
      <c r="E25" s="11" t="s">
        <v>144</v>
      </c>
      <c r="F25" s="11" t="s">
        <v>145</v>
      </c>
      <c r="G25" s="11" t="s">
        <v>20</v>
      </c>
      <c r="H25" s="11" t="s">
        <v>146</v>
      </c>
      <c r="I25" s="13" t="s">
        <v>88</v>
      </c>
      <c r="J25" s="13" t="s">
        <v>147</v>
      </c>
      <c r="K25" s="11" t="s">
        <v>148</v>
      </c>
      <c r="L25" s="11" t="s">
        <v>149</v>
      </c>
      <c r="M25" s="11" t="s">
        <v>231</v>
      </c>
    </row>
    <row r="26" spans="1:13" ht="39" customHeight="1">
      <c r="A26" s="11">
        <f t="shared" si="0"/>
        <v>22</v>
      </c>
      <c r="B26" s="12">
        <v>45976.459791666668</v>
      </c>
      <c r="C26" s="11" t="s">
        <v>151</v>
      </c>
      <c r="D26" s="11"/>
      <c r="E26" s="11" t="s">
        <v>152</v>
      </c>
      <c r="F26" s="11" t="s">
        <v>153</v>
      </c>
      <c r="G26" s="11" t="s">
        <v>137</v>
      </c>
      <c r="H26" s="11" t="s">
        <v>154</v>
      </c>
      <c r="I26" s="13" t="s">
        <v>88</v>
      </c>
      <c r="J26" s="13" t="s">
        <v>23</v>
      </c>
      <c r="K26" s="11" t="s">
        <v>155</v>
      </c>
      <c r="L26" s="11" t="s">
        <v>156</v>
      </c>
      <c r="M26" s="11" t="s">
        <v>229</v>
      </c>
    </row>
    <row r="27" spans="1:13" ht="39" customHeight="1">
      <c r="A27" s="11">
        <f t="shared" si="0"/>
        <v>23</v>
      </c>
      <c r="B27" s="12">
        <v>45976.456458333334</v>
      </c>
      <c r="C27" s="11" t="s">
        <v>160</v>
      </c>
      <c r="D27" s="11"/>
      <c r="E27" s="11" t="s">
        <v>161</v>
      </c>
      <c r="F27" s="11" t="s">
        <v>157</v>
      </c>
      <c r="G27" s="11" t="s">
        <v>20</v>
      </c>
      <c r="H27" s="11" t="s">
        <v>162</v>
      </c>
      <c r="I27" s="13" t="s">
        <v>38</v>
      </c>
      <c r="J27" s="13" t="s">
        <v>31</v>
      </c>
      <c r="K27" s="11" t="s">
        <v>158</v>
      </c>
      <c r="L27" s="11" t="s">
        <v>159</v>
      </c>
      <c r="M27" s="11" t="s">
        <v>225</v>
      </c>
    </row>
    <row r="28" spans="1:13" ht="39" customHeight="1">
      <c r="A28" s="11">
        <f t="shared" si="0"/>
        <v>24</v>
      </c>
      <c r="B28" s="12">
        <v>45970.434675925928</v>
      </c>
      <c r="C28" s="11" t="s">
        <v>163</v>
      </c>
      <c r="D28" s="11" t="s">
        <v>64</v>
      </c>
      <c r="E28" s="11" t="s">
        <v>164</v>
      </c>
      <c r="F28" s="11" t="s">
        <v>165</v>
      </c>
      <c r="G28" s="11" t="s">
        <v>20</v>
      </c>
      <c r="H28" s="11" t="s">
        <v>166</v>
      </c>
      <c r="I28" s="13" t="s">
        <v>167</v>
      </c>
      <c r="J28" s="13" t="s">
        <v>168</v>
      </c>
      <c r="K28" s="11" t="s">
        <v>169</v>
      </c>
      <c r="L28" s="11" t="s">
        <v>170</v>
      </c>
      <c r="M28" s="11" t="s">
        <v>64</v>
      </c>
    </row>
    <row r="29" spans="1:13" ht="39" customHeight="1">
      <c r="A29" s="11">
        <f t="shared" si="0"/>
        <v>25</v>
      </c>
      <c r="B29" s="12">
        <v>45977.502013888887</v>
      </c>
      <c r="C29" s="11" t="s">
        <v>171</v>
      </c>
      <c r="D29" s="11"/>
      <c r="E29" s="11" t="s">
        <v>172</v>
      </c>
      <c r="F29" s="11" t="s">
        <v>173</v>
      </c>
      <c r="G29" s="11" t="s">
        <v>20</v>
      </c>
      <c r="H29" s="11" t="s">
        <v>174</v>
      </c>
      <c r="I29" s="13" t="s">
        <v>38</v>
      </c>
      <c r="J29" s="13" t="s">
        <v>39</v>
      </c>
      <c r="K29" s="11" t="s">
        <v>175</v>
      </c>
      <c r="L29" s="11" t="s">
        <v>176</v>
      </c>
      <c r="M29" s="11" t="s">
        <v>225</v>
      </c>
    </row>
    <row r="30" spans="1:13" ht="39" customHeight="1">
      <c r="A30" s="11">
        <f t="shared" si="0"/>
        <v>26</v>
      </c>
      <c r="B30" s="12">
        <v>45977.48609953704</v>
      </c>
      <c r="C30" s="11" t="s">
        <v>177</v>
      </c>
      <c r="D30" s="11"/>
      <c r="E30" s="11" t="s">
        <v>178</v>
      </c>
      <c r="F30" s="11" t="s">
        <v>179</v>
      </c>
      <c r="G30" s="11" t="s">
        <v>20</v>
      </c>
      <c r="H30" s="11" t="s">
        <v>180</v>
      </c>
      <c r="I30" s="13" t="s">
        <v>181</v>
      </c>
      <c r="J30" s="13" t="s">
        <v>39</v>
      </c>
      <c r="K30" s="11" t="s">
        <v>182</v>
      </c>
      <c r="L30" s="11" t="s">
        <v>183</v>
      </c>
      <c r="M30" s="11" t="s">
        <v>227</v>
      </c>
    </row>
    <row r="31" spans="1:13" ht="39" customHeight="1">
      <c r="A31" s="11">
        <f t="shared" si="0"/>
        <v>27</v>
      </c>
      <c r="B31" s="12">
        <v>45975.66978009259</v>
      </c>
      <c r="C31" s="11" t="s">
        <v>184</v>
      </c>
      <c r="D31" s="11"/>
      <c r="E31" s="11" t="s">
        <v>185</v>
      </c>
      <c r="F31" s="11" t="s">
        <v>186</v>
      </c>
      <c r="G31" s="11" t="s">
        <v>20</v>
      </c>
      <c r="H31" s="11" t="s">
        <v>187</v>
      </c>
      <c r="I31" s="13" t="s">
        <v>88</v>
      </c>
      <c r="J31" s="13" t="s">
        <v>39</v>
      </c>
      <c r="K31" s="11" t="s">
        <v>188</v>
      </c>
      <c r="L31" s="11" t="s">
        <v>189</v>
      </c>
      <c r="M31" s="11" t="s">
        <v>226</v>
      </c>
    </row>
    <row r="32" spans="1:13" ht="39" customHeight="1">
      <c r="A32" s="11">
        <f t="shared" si="0"/>
        <v>28</v>
      </c>
      <c r="B32" s="12">
        <v>45975.463923611111</v>
      </c>
      <c r="C32" s="11" t="s">
        <v>190</v>
      </c>
      <c r="D32" s="11" t="s">
        <v>49</v>
      </c>
      <c r="E32" s="11" t="s">
        <v>191</v>
      </c>
      <c r="F32" s="11" t="s">
        <v>192</v>
      </c>
      <c r="G32" s="11" t="s">
        <v>20</v>
      </c>
      <c r="H32" s="11" t="s">
        <v>193</v>
      </c>
      <c r="I32" s="13" t="s">
        <v>194</v>
      </c>
      <c r="J32" s="13" t="s">
        <v>195</v>
      </c>
      <c r="K32" s="11" t="s">
        <v>196</v>
      </c>
      <c r="L32" s="11" t="s">
        <v>197</v>
      </c>
      <c r="M32" s="11" t="s">
        <v>225</v>
      </c>
    </row>
    <row r="33" spans="1:13" ht="39" customHeight="1">
      <c r="A33" s="11">
        <f t="shared" si="0"/>
        <v>29</v>
      </c>
      <c r="B33" s="12">
        <v>45938.524513888886</v>
      </c>
      <c r="C33" s="11" t="s">
        <v>198</v>
      </c>
      <c r="D33" s="11" t="s">
        <v>49</v>
      </c>
      <c r="E33" s="11" t="s">
        <v>199</v>
      </c>
      <c r="F33" s="11" t="s">
        <v>200</v>
      </c>
      <c r="G33" s="11" t="s">
        <v>116</v>
      </c>
      <c r="H33" s="11" t="s">
        <v>201</v>
      </c>
      <c r="I33" s="13" t="s">
        <v>194</v>
      </c>
      <c r="J33" s="13" t="s">
        <v>202</v>
      </c>
      <c r="K33" s="11" t="s">
        <v>203</v>
      </c>
      <c r="L33" s="11" t="s">
        <v>204</v>
      </c>
      <c r="M33" s="11" t="s">
        <v>225</v>
      </c>
    </row>
    <row r="34" spans="1:13" ht="39" customHeight="1">
      <c r="A34" s="11">
        <f t="shared" si="0"/>
        <v>30</v>
      </c>
      <c r="B34" s="12">
        <v>45963.714502314811</v>
      </c>
      <c r="C34" s="11" t="s">
        <v>205</v>
      </c>
      <c r="D34" s="11" t="s">
        <v>49</v>
      </c>
      <c r="E34" s="11" t="s">
        <v>206</v>
      </c>
      <c r="F34" s="11" t="s">
        <v>207</v>
      </c>
      <c r="G34" s="11" t="s">
        <v>20</v>
      </c>
      <c r="H34" s="11" t="s">
        <v>208</v>
      </c>
      <c r="I34" s="13" t="s">
        <v>53</v>
      </c>
      <c r="J34" s="13" t="s">
        <v>54</v>
      </c>
      <c r="K34" s="11" t="s">
        <v>55</v>
      </c>
      <c r="L34" s="11" t="s">
        <v>56</v>
      </c>
      <c r="M34" s="11" t="s">
        <v>228</v>
      </c>
    </row>
    <row r="35" spans="1:13" ht="39" customHeight="1">
      <c r="A35" s="11">
        <f t="shared" si="0"/>
        <v>31</v>
      </c>
      <c r="B35" s="12">
        <v>45976.492766203701</v>
      </c>
      <c r="C35" s="11" t="s">
        <v>209</v>
      </c>
      <c r="D35" s="11"/>
      <c r="E35" s="11" t="s">
        <v>210</v>
      </c>
      <c r="F35" s="11" t="s">
        <v>211</v>
      </c>
      <c r="G35" s="11" t="s">
        <v>212</v>
      </c>
      <c r="H35" s="11" t="s">
        <v>213</v>
      </c>
      <c r="I35" s="13" t="s">
        <v>30</v>
      </c>
      <c r="J35" s="13" t="s">
        <v>39</v>
      </c>
      <c r="K35" s="11" t="s">
        <v>214</v>
      </c>
      <c r="L35" s="11" t="s">
        <v>215</v>
      </c>
      <c r="M35" s="11" t="s">
        <v>227</v>
      </c>
    </row>
    <row r="36" spans="1:13" ht="39" customHeight="1">
      <c r="A36" s="11">
        <f t="shared" si="0"/>
        <v>32</v>
      </c>
      <c r="B36" s="12">
        <v>45905.761782407404</v>
      </c>
      <c r="C36" s="11" t="s">
        <v>216</v>
      </c>
      <c r="D36" s="11"/>
      <c r="E36" s="11" t="s">
        <v>217</v>
      </c>
      <c r="F36" s="11" t="s">
        <v>218</v>
      </c>
      <c r="G36" s="11" t="s">
        <v>20</v>
      </c>
      <c r="H36" s="11" t="s">
        <v>219</v>
      </c>
      <c r="I36" s="13" t="s">
        <v>30</v>
      </c>
      <c r="J36" s="13" t="s">
        <v>31</v>
      </c>
      <c r="K36" s="11" t="s">
        <v>220</v>
      </c>
      <c r="L36" s="11" t="s">
        <v>221</v>
      </c>
      <c r="M36" s="11" t="s">
        <v>233</v>
      </c>
    </row>
    <row r="37" spans="1:13" ht="39" customHeight="1">
      <c r="A37" s="11">
        <f t="shared" si="0"/>
        <v>33</v>
      </c>
      <c r="B37" s="12">
        <v>45963.711967592593</v>
      </c>
      <c r="C37" s="11" t="s">
        <v>222</v>
      </c>
      <c r="D37" s="11" t="s">
        <v>49</v>
      </c>
      <c r="E37" s="11" t="s">
        <v>223</v>
      </c>
      <c r="F37" s="11" t="s">
        <v>224</v>
      </c>
      <c r="G37" s="11" t="s">
        <v>20</v>
      </c>
      <c r="H37" s="11" t="s">
        <v>208</v>
      </c>
      <c r="I37" s="13" t="s">
        <v>53</v>
      </c>
      <c r="J37" s="13" t="s">
        <v>54</v>
      </c>
      <c r="K37" s="11" t="s">
        <v>55</v>
      </c>
      <c r="L37" s="11" t="s">
        <v>56</v>
      </c>
      <c r="M37" s="11" t="s">
        <v>228</v>
      </c>
    </row>
    <row r="38" spans="1:13">
      <c r="A38" s="11">
        <f t="shared" si="0"/>
        <v>34</v>
      </c>
      <c r="B38" s="15"/>
      <c r="C38" s="15"/>
      <c r="D38" s="15"/>
      <c r="E38" s="16" t="s">
        <v>234</v>
      </c>
      <c r="F38" s="15"/>
      <c r="G38" s="15"/>
      <c r="H38" s="15" t="s">
        <v>235</v>
      </c>
      <c r="I38" s="13" t="s">
        <v>30</v>
      </c>
      <c r="J38" s="13">
        <v>45978.791666666664</v>
      </c>
      <c r="K38" s="15"/>
      <c r="L38" s="15"/>
      <c r="M38" s="17" t="s">
        <v>236</v>
      </c>
    </row>
    <row r="39" spans="1:13">
      <c r="A39" s="11">
        <f t="shared" si="0"/>
        <v>35</v>
      </c>
      <c r="B39" s="15"/>
      <c r="C39" s="15"/>
      <c r="D39" s="15" t="s">
        <v>64</v>
      </c>
      <c r="E39" s="11" t="s">
        <v>237</v>
      </c>
      <c r="F39" s="15"/>
      <c r="G39" s="15"/>
      <c r="H39" s="18" t="s">
        <v>238</v>
      </c>
      <c r="I39" s="13" t="s">
        <v>30</v>
      </c>
      <c r="J39" s="13">
        <v>45983.75</v>
      </c>
      <c r="K39" s="15"/>
      <c r="L39" s="15"/>
      <c r="M39" s="17" t="s">
        <v>236</v>
      </c>
    </row>
    <row r="40" spans="1:13" ht="51">
      <c r="A40" s="11">
        <f t="shared" si="0"/>
        <v>36</v>
      </c>
      <c r="B40" s="15"/>
      <c r="C40" s="15"/>
      <c r="D40" s="15" t="s">
        <v>64</v>
      </c>
      <c r="E40" s="11" t="s">
        <v>239</v>
      </c>
      <c r="F40" s="15"/>
      <c r="G40" s="15"/>
      <c r="H40" s="18" t="s">
        <v>240</v>
      </c>
      <c r="I40" s="13" t="s">
        <v>30</v>
      </c>
      <c r="J40" s="13">
        <v>45979.75</v>
      </c>
      <c r="K40" s="15"/>
      <c r="L40" s="15"/>
      <c r="M40" s="17" t="s">
        <v>226</v>
      </c>
    </row>
    <row r="41" spans="1:13" ht="76.5">
      <c r="A41" s="11">
        <f t="shared" si="0"/>
        <v>37</v>
      </c>
      <c r="B41" s="15"/>
      <c r="C41" s="15"/>
      <c r="D41" s="15"/>
      <c r="E41" s="11" t="s">
        <v>241</v>
      </c>
      <c r="F41" s="15"/>
      <c r="G41" s="15"/>
      <c r="H41" s="18" t="s">
        <v>242</v>
      </c>
      <c r="I41" s="13">
        <v>45978.416666666664</v>
      </c>
      <c r="J41" s="13">
        <v>45978.708333333336</v>
      </c>
      <c r="K41" s="15"/>
      <c r="L41" s="15"/>
      <c r="M41" s="17" t="s">
        <v>236</v>
      </c>
    </row>
    <row r="42" spans="1:13" ht="76.5">
      <c r="A42" s="11">
        <f t="shared" si="0"/>
        <v>38</v>
      </c>
      <c r="B42" s="15"/>
      <c r="C42" s="15"/>
      <c r="D42" s="15"/>
      <c r="E42" s="11" t="s">
        <v>243</v>
      </c>
      <c r="F42" s="15"/>
      <c r="G42" s="15"/>
      <c r="H42" s="18" t="s">
        <v>242</v>
      </c>
      <c r="I42" s="13">
        <v>45978.375</v>
      </c>
      <c r="J42" s="13">
        <v>45978.75</v>
      </c>
      <c r="K42" s="15"/>
      <c r="L42" s="15"/>
      <c r="M42" s="17" t="s">
        <v>226</v>
      </c>
    </row>
    <row r="43" spans="1:13" ht="76.5">
      <c r="A43" s="11">
        <f t="shared" si="0"/>
        <v>39</v>
      </c>
      <c r="B43" s="15"/>
      <c r="C43" s="15"/>
      <c r="D43" s="15"/>
      <c r="E43" s="11" t="s">
        <v>244</v>
      </c>
      <c r="F43" s="15"/>
      <c r="G43" s="15"/>
      <c r="H43" s="18" t="s">
        <v>242</v>
      </c>
      <c r="I43" s="13">
        <v>45978.375</v>
      </c>
      <c r="J43" s="13">
        <v>45978.708333333336</v>
      </c>
      <c r="K43" s="15"/>
      <c r="L43" s="15"/>
      <c r="M43" s="17" t="s">
        <v>227</v>
      </c>
    </row>
    <row r="44" spans="1:13" ht="63.75">
      <c r="A44" s="11">
        <f t="shared" si="0"/>
        <v>40</v>
      </c>
      <c r="B44" s="15"/>
      <c r="C44" s="15"/>
      <c r="D44" s="15"/>
      <c r="E44" s="11" t="s">
        <v>245</v>
      </c>
      <c r="F44" s="15"/>
      <c r="G44" s="15"/>
      <c r="H44" s="18" t="s">
        <v>246</v>
      </c>
      <c r="I44" s="13">
        <v>45978.291666666664</v>
      </c>
      <c r="J44" s="13">
        <v>45978.75</v>
      </c>
      <c r="K44" s="15"/>
      <c r="L44" s="15"/>
      <c r="M44" s="17" t="s">
        <v>227</v>
      </c>
    </row>
    <row r="45" spans="1:13" ht="38.25">
      <c r="A45" s="11">
        <f t="shared" si="0"/>
        <v>41</v>
      </c>
      <c r="B45" s="15"/>
      <c r="C45" s="15"/>
      <c r="D45" s="15"/>
      <c r="E45" s="11" t="s">
        <v>247</v>
      </c>
      <c r="F45" s="15"/>
      <c r="G45" s="15"/>
      <c r="H45" s="18" t="s">
        <v>248</v>
      </c>
      <c r="I45" s="13">
        <v>45978.375</v>
      </c>
      <c r="J45" s="13">
        <v>45978.75</v>
      </c>
      <c r="K45" s="15"/>
      <c r="L45" s="15"/>
      <c r="M45" s="17" t="s">
        <v>249</v>
      </c>
    </row>
    <row r="46" spans="1:13" ht="51">
      <c r="A46" s="11">
        <f t="shared" si="0"/>
        <v>42</v>
      </c>
      <c r="B46" s="15"/>
      <c r="C46" s="15"/>
      <c r="D46" s="15"/>
      <c r="E46" s="11" t="s">
        <v>250</v>
      </c>
      <c r="F46" s="15"/>
      <c r="G46" s="15"/>
      <c r="H46" s="18" t="s">
        <v>251</v>
      </c>
      <c r="I46" s="13">
        <v>45978.375</v>
      </c>
      <c r="J46" s="13">
        <v>45978.75</v>
      </c>
      <c r="K46" s="15"/>
      <c r="L46" s="15"/>
      <c r="M46" s="17" t="s">
        <v>226</v>
      </c>
    </row>
  </sheetData>
  <mergeCells count="2">
    <mergeCell ref="B1:M1"/>
    <mergeCell ref="K4:L4"/>
  </mergeCells>
  <pageMargins left="0.25" right="0.25" top="0.75" bottom="0.75" header="0.5" footer="0.5"/>
  <pageSetup paperSize="9" scale="45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2025-11-16T15:46:33Z</cp:lastPrinted>
  <dcterms:created xsi:type="dcterms:W3CDTF">2025-11-16T14:29:25Z</dcterms:created>
  <dcterms:modified xsi:type="dcterms:W3CDTF">2025-11-16T15:55:17Z</dcterms:modified>
</cp:coreProperties>
</file>
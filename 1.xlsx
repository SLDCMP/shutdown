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Sheet0!$A$1:$M$38</definedName>
  </definedNames>
  <calcPr calcId="162913"/>
</workbook>
</file>

<file path=xl/calcChain.xml><?xml version="1.0" encoding="utf-8"?>
<calcChain xmlns="http://schemas.openxmlformats.org/spreadsheetml/2006/main">
  <c r="A39" i="1" l="1"/>
  <c r="A40" i="1" s="1"/>
  <c r="A41" i="1" s="1"/>
  <c r="A42" i="1" s="1"/>
  <c r="A43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6" i="1"/>
</calcChain>
</file>

<file path=xl/sharedStrings.xml><?xml version="1.0" encoding="utf-8"?>
<sst xmlns="http://schemas.openxmlformats.org/spreadsheetml/2006/main" count="406" uniqueCount="279">
  <si>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</si>
  <si>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</si>
  <si>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</si>
  <si>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</si>
  <si>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</si>
  <si>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</si>
  <si>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</si>
  <si>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</si>
  <si>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</si>
  <si>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</si>
  <si>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</si>
  <si>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</si>
  <si>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</si>
  <si>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</si>
  <si>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</si>
  <si>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</si>
  <si>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</si>
  <si>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MR2606/0038</t>
  </si>
  <si>
    <t>220KV_220kv Amarkantak-Shahdol ckt</t>
  </si>
  <si>
    <t>220KV_AMARKANTAK</t>
  </si>
  <si>
    <t>NON-OCCM-MP</t>
  </si>
  <si>
    <t>for single fitting to double fitting &amp; other main.</t>
  </si>
  <si>
    <t>03-06-2026 10:00:00</t>
  </si>
  <si>
    <t>03-06-2026 18:00:00</t>
  </si>
  <si>
    <t>Jagdish Prasad Asati</t>
  </si>
  <si>
    <t>9424445533</t>
  </si>
  <si>
    <t>MR2605/0367</t>
  </si>
  <si>
    <t>Daily</t>
  </si>
  <si>
    <t>220KV_220 kV Anuppur-Kotmikala Circuit I</t>
  </si>
  <si>
    <t>220KV_ANUPPUR</t>
  </si>
  <si>
    <t>For Conductor re-sagging work maintained</t>
  </si>
  <si>
    <t>25-05-2026 08:00:00</t>
  </si>
  <si>
    <t>08-06-2026 18:00:00</t>
  </si>
  <si>
    <t>MR2606/0031</t>
  </si>
  <si>
    <t>220KV_220 kV Bhopal-Bairagarh III</t>
  </si>
  <si>
    <t>220KV_BAIRAGARH</t>
  </si>
  <si>
    <t>Repairing of damage conductor work</t>
  </si>
  <si>
    <t>03-06-2026 13:00:00</t>
  </si>
  <si>
    <t>Ankit Mehrolya</t>
  </si>
  <si>
    <t>9425804506</t>
  </si>
  <si>
    <t>MR2606/0041</t>
  </si>
  <si>
    <t>220KV_220KV Barwaha- Handia Feeder</t>
  </si>
  <si>
    <t>220KV_BARWAHA</t>
  </si>
  <si>
    <t>Renal Shifting Work</t>
  </si>
  <si>
    <t>03-06-2026 09:00:00</t>
  </si>
  <si>
    <t>Er. Imran Beg</t>
  </si>
  <si>
    <t>9425805200</t>
  </si>
  <si>
    <t>MR2605/0301</t>
  </si>
  <si>
    <t>Continuous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</si>
  <si>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</si>
  <si>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</si>
  <si>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</si>
  <si>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</si>
  <si>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</si>
  <si>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</si>
  <si>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</si>
  <si>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</si>
  <si>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</si>
  <si>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</si>
  <si>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</si>
  <si>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</si>
  <si>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</si>
  <si>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</si>
  <si>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</si>
  <si>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220KV_DAMOH</t>
  </si>
  <si>
    <t>FOR LINE MAINTENANCE WORK</t>
  </si>
  <si>
    <t>03-06-2026 17:00:00</t>
  </si>
  <si>
    <t>M.M. BAIG</t>
  </si>
  <si>
    <t>9425805067</t>
  </si>
  <si>
    <t>MR2606/0036</t>
  </si>
  <si>
    <t>132KV_132KV DAMOH - GARHAKOTA LINE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</si>
  <si>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</si>
  <si>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</si>
  <si>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</si>
  <si>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</si>
  <si>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</si>
  <si>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</si>
  <si>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</si>
  <si>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</si>
  <si>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</si>
  <si>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MR2606/0030</t>
  </si>
  <si>
    <t>220KV_220KV BARWAHA-II MAIN CIRCUIT BREAKER</t>
  </si>
  <si>
    <t>400KV_INDORE4</t>
  </si>
  <si>
    <t>ALIGNMENT &amp; RECTIFICATION OF B-PHASE CB</t>
  </si>
  <si>
    <t>ATUL PARADKAR</t>
  </si>
  <si>
    <t>9425804929</t>
  </si>
  <si>
    <t>MR2606/0019</t>
  </si>
  <si>
    <t>220KV_220/132KV 160MVA Transformer No.-01</t>
  </si>
  <si>
    <t>220KV_ITARSI</t>
  </si>
  <si>
    <t>Pre Monsoon Maintanence work.</t>
  </si>
  <si>
    <t>03-06-2026 07:00:00</t>
  </si>
  <si>
    <t>03-06-2026 16:00:00</t>
  </si>
  <si>
    <t>J.D.Khoria</t>
  </si>
  <si>
    <t>9425804975</t>
  </si>
  <si>
    <t>MR2606/0028</t>
  </si>
  <si>
    <t>220KV_220KV Jabalpur-Narsingpur CKT-II</t>
  </si>
  <si>
    <t>220KV_JABALPUR</t>
  </si>
  <si>
    <t>erection &amp; stringing work of 132 Jabalpur-Shahpura</t>
  </si>
  <si>
    <t>20-06-2026 17:00:00</t>
  </si>
  <si>
    <t>Rajesh Tiwari</t>
  </si>
  <si>
    <t>7898239595</t>
  </si>
  <si>
    <t>MR2606/0029</t>
  </si>
  <si>
    <t>132KV_132KV Jabalpur Shahpura DP Line</t>
  </si>
  <si>
    <t>Stringing and Erection Of Line</t>
  </si>
  <si>
    <t>03-06-2026 15:00:00</t>
  </si>
  <si>
    <t>01-06-2026 09:00:00</t>
  </si>
  <si>
    <t>MR2606/0022</t>
  </si>
  <si>
    <t>220KV_220 kv jaora Nagara line</t>
  </si>
  <si>
    <t>220KV_JAORA</t>
  </si>
  <si>
    <t>PREEMANSOON MAINTANCE WORK</t>
  </si>
  <si>
    <t>03-06-2026 14:00:00</t>
  </si>
  <si>
    <t>RAKESH BADGOTYA</t>
  </si>
  <si>
    <t>7587951143</t>
  </si>
  <si>
    <t>MR2606/0021</t>
  </si>
  <si>
    <t>220KV_220 kv Jaora Daloda line</t>
  </si>
  <si>
    <t>MR2606/0035</t>
  </si>
  <si>
    <t>160MVA_220/132KV_BHEL_X'mer_2</t>
  </si>
  <si>
    <t>400KV_JULWANIYA4</t>
  </si>
  <si>
    <t>for Pre monsoon maintenance &amp; Testing work.</t>
  </si>
  <si>
    <t>03-06-2026 09:30:00</t>
  </si>
  <si>
    <t>03-06-2026 17:30:00</t>
  </si>
  <si>
    <t>400 KV S/s Julwaniya</t>
  </si>
  <si>
    <t>8319599488</t>
  </si>
  <si>
    <t>MR2606/0032</t>
  </si>
  <si>
    <t>132KV_40 MVA ABB NO 2 X MER</t>
  </si>
  <si>
    <t>132KV_KATNI</t>
  </si>
  <si>
    <t>HOT point R-ph LV CB Bottom clamp</t>
  </si>
  <si>
    <t>ABHISHEK MISHRA</t>
  </si>
  <si>
    <t>9425801440</t>
  </si>
  <si>
    <t>MR2605/0721</t>
  </si>
  <si>
    <t>132KV_132 KV KATNI - KAYMORE LINE CKT - 1st &amp; 2nd</t>
  </si>
  <si>
    <t>400KV_KATNI4</t>
  </si>
  <si>
    <t>Re-sagging  of  Conductor and  other line maintena</t>
  </si>
  <si>
    <t>10-06-2026 18:00:00</t>
  </si>
  <si>
    <t>MANOJ KUMAR TIWARI</t>
  </si>
  <si>
    <t>9425804993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</si>
  <si>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</si>
  <si>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</si>
  <si>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</si>
  <si>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</si>
  <si>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</si>
  <si>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</si>
  <si>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</si>
  <si>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</si>
  <si>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MR2606/0025</t>
  </si>
  <si>
    <t>132KV_132/33 KV 50 MVA TAL X-MER</t>
  </si>
  <si>
    <t>132KV_MADWAS</t>
  </si>
  <si>
    <t>PRE MONSOON MAINTENANCE &amp; TESTING WORK</t>
  </si>
  <si>
    <t>SHRI VISHAL BHALADHARE</t>
  </si>
  <si>
    <t>9425804690</t>
  </si>
  <si>
    <t>220KV_220/132kv 160 MVA BHEL-I</t>
  </si>
  <si>
    <t>220KV_MAHALGAON</t>
  </si>
  <si>
    <t>Replacement of Differencial Relayand testing work</t>
  </si>
  <si>
    <t>03-06-2026 11:00:00</t>
  </si>
  <si>
    <t>P.DATEY</t>
  </si>
  <si>
    <t>9425805110</t>
  </si>
  <si>
    <t>MR2606/0024</t>
  </si>
  <si>
    <t>MR2606/0033</t>
  </si>
  <si>
    <t>132KV_132kv 40mva xmer bbl</t>
  </si>
  <si>
    <t>132KV_MAJHGAWAN</t>
  </si>
  <si>
    <t>OCCM-MP</t>
  </si>
  <si>
    <t>For premansoon maintenance and testing work</t>
  </si>
  <si>
    <t>Poshkar kushwaha</t>
  </si>
  <si>
    <t>9425813990</t>
  </si>
  <si>
    <t>MR2606/0020</t>
  </si>
  <si>
    <t>132KV_40 mva bbl-2 x-mer</t>
  </si>
  <si>
    <t>132KV_MANGAWAN</t>
  </si>
  <si>
    <t>33kv B-ph C.T. clamp red hot point attending</t>
  </si>
  <si>
    <t>kanishk singh</t>
  </si>
  <si>
    <t>9425804656</t>
  </si>
  <si>
    <t>MR2606/0039</t>
  </si>
  <si>
    <t>220KV_220kv Mehgaon Auraiya line</t>
  </si>
  <si>
    <t>220KV_MEHGAON</t>
  </si>
  <si>
    <t>old insulator replacement &amp; other line maintenance</t>
  </si>
  <si>
    <t>Baidyanath Kumar</t>
  </si>
  <si>
    <t>6265588473</t>
  </si>
  <si>
    <t>MR2606/0040</t>
  </si>
  <si>
    <t>220KV_220KV Nagda-Ujjain Ckt-I Line</t>
  </si>
  <si>
    <t>400KV_NAGDA4</t>
  </si>
  <si>
    <t>Conductor Resagging work</t>
  </si>
  <si>
    <t>03-06-2026 08:00:00</t>
  </si>
  <si>
    <t>Er.Naresh Pandre</t>
  </si>
  <si>
    <t>9425806905</t>
  </si>
  <si>
    <t>MR2606/0042</t>
  </si>
  <si>
    <t>220KV_220 KV Narsinghpur-Chichli feeder</t>
  </si>
  <si>
    <t>220KV_NARSINGHPUR</t>
  </si>
  <si>
    <t>for Relay testing work</t>
  </si>
  <si>
    <t>Dinesh kushwaha</t>
  </si>
  <si>
    <t>9425182413</t>
  </si>
  <si>
    <t>MR2606/0027</t>
  </si>
  <si>
    <t>220KV_220KV Neemuch Mandsaur Circuit IInd</t>
  </si>
  <si>
    <t>220KV_NEEMUCH</t>
  </si>
  <si>
    <t>765KV Power Line Crossing Work</t>
  </si>
  <si>
    <t>07-06-2026 19:00:00</t>
  </si>
  <si>
    <t>Gaurav Goyal</t>
  </si>
  <si>
    <t>9425805120</t>
  </si>
  <si>
    <t>MR2606/0026</t>
  </si>
  <si>
    <t>220KV_220KV Neemuch Mandsaur circuit Ist</t>
  </si>
  <si>
    <t>765KV Power line crossing work</t>
  </si>
  <si>
    <t>Gaurav  Goyal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</si>
  <si>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</si>
  <si>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</si>
  <si>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</si>
  <si>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</si>
  <si>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</si>
  <si>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</si>
  <si>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</si>
  <si>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MR2605/0379</t>
  </si>
  <si>
    <t>220KV_PANDHURNA BETUL PGCIL</t>
  </si>
  <si>
    <t>220KV_PANDHURNA</t>
  </si>
  <si>
    <t>RESAGGING WORK BETWEEN LOC. NO. 178-194</t>
  </si>
  <si>
    <t>01-06-2026 07:00:00</t>
  </si>
  <si>
    <t>06-06-2026 18:00:00</t>
  </si>
  <si>
    <t>SHIV KUMAR</t>
  </si>
  <si>
    <t>9425806917</t>
  </si>
  <si>
    <t>MR2605/0712</t>
  </si>
  <si>
    <t>220KV_220KV Inter-connector Ckt-1 (220KV Pithampur-PithampurSec-III)</t>
  </si>
  <si>
    <t>400KV_PITHAMPUR4</t>
  </si>
  <si>
    <t>For Pre-monsoon maintenance &amp; Testing work</t>
  </si>
  <si>
    <t>Rajudas Bairagi</t>
  </si>
  <si>
    <t>9425801532</t>
  </si>
  <si>
    <t>MR2605/0726</t>
  </si>
  <si>
    <t>220KV_220  kv Satna (MPPTCL)  â¿¿  Kotar  line</t>
  </si>
  <si>
    <t>220KV_SATNA</t>
  </si>
  <si>
    <t>For double  fitting work</t>
  </si>
  <si>
    <t>31-05-2026 08:00:00</t>
  </si>
  <si>
    <t>09-06-2026 19:00:00</t>
  </si>
  <si>
    <t>MR2606/0037</t>
  </si>
  <si>
    <t>132KV_132KV SIDHI-DEOSAR CKT-I</t>
  </si>
  <si>
    <t>220KV_SIDHI</t>
  </si>
  <si>
    <t>JUMPER CONE TIGHTENING WORK</t>
  </si>
  <si>
    <t>G.L SAHU</t>
  </si>
  <si>
    <t>9425805102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</si>
  <si>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</si>
  <si>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</si>
  <si>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</si>
  <si>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</si>
  <si>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</si>
  <si>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</si>
  <si>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</si>
  <si>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</si>
  <si>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MR2605/0705</t>
  </si>
  <si>
    <t>400KV_400 KV Main Bus - II</t>
  </si>
  <si>
    <t>400KV_UJJAIN4</t>
  </si>
  <si>
    <t>Bus jumpering of 400KV Pachoar I &amp; II new bay</t>
  </si>
  <si>
    <t>Santosh Chavrasia</t>
  </si>
  <si>
    <t>9425804677</t>
  </si>
  <si>
    <t>ok</t>
  </si>
  <si>
    <t>deferred, not in WR list</t>
  </si>
  <si>
    <t>ok, through sub ld</t>
  </si>
  <si>
    <t>a sper system availability</t>
  </si>
  <si>
    <t>deferred, due to s/d on 220KV Barwaha- Indore ckt</t>
  </si>
  <si>
    <t>deferred due to s/d on 220kv Satna PG-Maihar ckt</t>
  </si>
  <si>
    <t>work done</t>
  </si>
  <si>
    <t>deferred due to s/d on 220  kv Satna (MPPTCL)  - Kotar  line</t>
  </si>
  <si>
    <t>as per system availability</t>
  </si>
  <si>
    <t>ok, o&amp;m shall be informed</t>
  </si>
  <si>
    <t>o&amp;m consent required</t>
  </si>
  <si>
    <t>ok, o&amp;m shall be informed, line settings to be revised for any line length change</t>
  </si>
  <si>
    <t>real time</t>
  </si>
  <si>
    <t>double ckt outage is not feasible for reliable operation, PGCIL may explore taking outage one by one</t>
  </si>
  <si>
    <t>400KV-JABALPUR-REWA-1</t>
  </si>
  <si>
    <t>220KV-MEHGAON-AURIYA-1</t>
  </si>
  <si>
    <t>220KV-SEONI-PG-CHINDWARA-2</t>
  </si>
  <si>
    <t>220KV-SATNA-MAIHAR-1</t>
  </si>
  <si>
    <t>132KV-VSTPS-WAIDHAN-1</t>
  </si>
  <si>
    <t>POWERGRID_WR2</t>
  </si>
  <si>
    <t>MP_SLDC</t>
  </si>
  <si>
    <t>Line Reactor &amp; Line Terminal equipment AMP work.Attending shutdown nature defect in transmission line. Dia to be kept open at both ends.</t>
  </si>
  <si>
    <t xml:space="preserve">FOR REPLACEMENT OF SINGLE FITTING HARDWARE INTO DOUBLE FITTING HARDWARE AT VARIOUS ROAD CROSSING LOCATIONS 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</si>
  <si>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</si>
  <si>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</si>
  <si>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ok, all other lines in REWA PG to be in service</t>
  </si>
  <si>
    <t>09:00</t>
  </si>
  <si>
    <t>08:00</t>
  </si>
  <si>
    <t>18:00</t>
  </si>
  <si>
    <t>17:00</t>
  </si>
  <si>
    <t>19:00</t>
  </si>
  <si>
    <t xml:space="preserve">WR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</si>
</sst>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49" sqref="F4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0.85546875" style="12" customWidth="1"/>
    <col min="6" max="6" width="29" customWidth="1"/>
    <col min="7" max="7" width="16.140625" customWidth="1"/>
    <col min="8" max="8" width="46.42578125" customWidth="1"/>
    <col min="9" max="9" width="19.5703125" customWidth="1"/>
    <col min="10" max="10" width="19.42578125" customWidth="1"/>
    <col min="11" max="11" width="19.7109375" customWidth="1"/>
    <col min="12" max="12" width="12" customWidth="1"/>
    <col min="13" max="13" width="45.8554687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46176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3.75" customHeight="1" x14ac:dyDescent="0.25">
      <c r="A5" s="4">
        <v>1</v>
      </c>
      <c r="B5" s="5">
        <v>46175.615567129629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247</v>
      </c>
    </row>
    <row r="6" spans="1:13" ht="33.75" customHeight="1" x14ac:dyDescent="0.25">
      <c r="A6" s="4">
        <f>A5+1</f>
        <v>2</v>
      </c>
      <c r="B6" s="5">
        <v>46156.701944444445</v>
      </c>
      <c r="C6" s="4" t="s">
        <v>26</v>
      </c>
      <c r="D6" s="4" t="s">
        <v>27</v>
      </c>
      <c r="E6" s="11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24</v>
      </c>
      <c r="L6" s="8" t="s">
        <v>25</v>
      </c>
      <c r="M6" s="11" t="s">
        <v>248</v>
      </c>
    </row>
    <row r="7" spans="1:13" ht="33.75" customHeight="1" x14ac:dyDescent="0.25">
      <c r="A7" s="4">
        <f t="shared" ref="A7:A43" si="0">A6+1</f>
        <v>3</v>
      </c>
      <c r="B7" s="5">
        <v>46175.573148148149</v>
      </c>
      <c r="C7" s="4" t="s">
        <v>33</v>
      </c>
      <c r="D7" s="4"/>
      <c r="E7" s="11" t="s">
        <v>34</v>
      </c>
      <c r="F7" s="4" t="s">
        <v>35</v>
      </c>
      <c r="G7" s="4" t="s">
        <v>20</v>
      </c>
      <c r="H7" s="4" t="s">
        <v>36</v>
      </c>
      <c r="I7" s="6" t="s">
        <v>22</v>
      </c>
      <c r="J7" s="6" t="s">
        <v>37</v>
      </c>
      <c r="K7" s="7" t="s">
        <v>38</v>
      </c>
      <c r="L7" s="8" t="s">
        <v>39</v>
      </c>
      <c r="M7" s="11" t="s">
        <v>249</v>
      </c>
    </row>
    <row r="8" spans="1:13" ht="33.75" customHeight="1" x14ac:dyDescent="0.25">
      <c r="A8" s="4">
        <f t="shared" si="0"/>
        <v>4</v>
      </c>
      <c r="B8" s="5">
        <v>46175.633842592593</v>
      </c>
      <c r="C8" s="4" t="s">
        <v>40</v>
      </c>
      <c r="D8" s="4"/>
      <c r="E8" s="11" t="s">
        <v>41</v>
      </c>
      <c r="F8" s="4" t="s">
        <v>42</v>
      </c>
      <c r="G8" s="4" t="s">
        <v>20</v>
      </c>
      <c r="H8" s="4" t="s">
        <v>43</v>
      </c>
      <c r="I8" s="6" t="s">
        <v>44</v>
      </c>
      <c r="J8" s="6" t="s">
        <v>23</v>
      </c>
      <c r="K8" s="7" t="s">
        <v>45</v>
      </c>
      <c r="L8" s="8" t="s">
        <v>46</v>
      </c>
      <c r="M8" s="11" t="s">
        <v>251</v>
      </c>
    </row>
    <row r="9" spans="1:13" ht="33.75" customHeight="1" x14ac:dyDescent="0.25">
      <c r="A9" s="4">
        <f t="shared" si="0"/>
        <v>5</v>
      </c>
      <c r="B9" s="5">
        <v>46154.485196759262</v>
      </c>
      <c r="C9" s="4" t="s">
        <v>47</v>
      </c>
      <c r="D9" s="4" t="s">
        <v>48</v>
      </c>
      <c r="E9" s="11" t="s">
        <v>49</v>
      </c>
      <c r="F9" s="4" t="s">
        <v>50</v>
      </c>
      <c r="G9" s="4" t="s">
        <v>20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11" t="s">
        <v>248</v>
      </c>
    </row>
    <row r="10" spans="1:13" ht="33.75" customHeight="1" x14ac:dyDescent="0.25">
      <c r="A10" s="4">
        <f t="shared" si="0"/>
        <v>6</v>
      </c>
      <c r="B10" s="5">
        <v>46155.566747685189</v>
      </c>
      <c r="C10" s="4" t="s">
        <v>63</v>
      </c>
      <c r="D10" s="4" t="s">
        <v>48</v>
      </c>
      <c r="E10" s="11" t="s">
        <v>56</v>
      </c>
      <c r="F10" s="4" t="s">
        <v>57</v>
      </c>
      <c r="G10" s="4" t="s">
        <v>20</v>
      </c>
      <c r="H10" s="4" t="s">
        <v>58</v>
      </c>
      <c r="I10" s="6" t="s">
        <v>59</v>
      </c>
      <c r="J10" s="6" t="s">
        <v>60</v>
      </c>
      <c r="K10" s="7" t="s">
        <v>61</v>
      </c>
      <c r="L10" s="8" t="s">
        <v>62</v>
      </c>
      <c r="M10" s="11" t="s">
        <v>48</v>
      </c>
    </row>
    <row r="11" spans="1:13" ht="33.75" customHeight="1" x14ac:dyDescent="0.25">
      <c r="A11" s="4">
        <f t="shared" si="0"/>
        <v>7</v>
      </c>
      <c r="B11" s="5">
        <v>46175.600601851853</v>
      </c>
      <c r="C11" s="4" t="s">
        <v>69</v>
      </c>
      <c r="D11" s="4"/>
      <c r="E11" s="11" t="s">
        <v>70</v>
      </c>
      <c r="F11" s="4" t="s">
        <v>64</v>
      </c>
      <c r="G11" s="4" t="s">
        <v>20</v>
      </c>
      <c r="H11" s="4" t="s">
        <v>65</v>
      </c>
      <c r="I11" s="6" t="s">
        <v>22</v>
      </c>
      <c r="J11" s="6" t="s">
        <v>66</v>
      </c>
      <c r="K11" s="7" t="s">
        <v>67</v>
      </c>
      <c r="L11" s="8" t="s">
        <v>68</v>
      </c>
      <c r="M11" s="11" t="s">
        <v>256</v>
      </c>
    </row>
    <row r="12" spans="1:13" ht="33.75" customHeight="1" x14ac:dyDescent="0.25">
      <c r="A12" s="4">
        <f t="shared" si="0"/>
        <v>8</v>
      </c>
      <c r="B12" s="5">
        <v>46172.729803240742</v>
      </c>
      <c r="C12" s="4" t="s">
        <v>71</v>
      </c>
      <c r="D12" s="4" t="s">
        <v>48</v>
      </c>
      <c r="E12" s="11" t="s">
        <v>72</v>
      </c>
      <c r="F12" s="4" t="s">
        <v>73</v>
      </c>
      <c r="G12" s="4" t="s">
        <v>74</v>
      </c>
      <c r="H12" s="4" t="s">
        <v>75</v>
      </c>
      <c r="I12" s="6" t="s">
        <v>76</v>
      </c>
      <c r="J12" s="6" t="s">
        <v>77</v>
      </c>
      <c r="K12" s="7" t="s">
        <v>78</v>
      </c>
      <c r="L12" s="8" t="s">
        <v>79</v>
      </c>
      <c r="M12" s="11" t="s">
        <v>250</v>
      </c>
    </row>
    <row r="13" spans="1:13" ht="33.75" customHeight="1" x14ac:dyDescent="0.25">
      <c r="A13" s="4">
        <f t="shared" si="0"/>
        <v>9</v>
      </c>
      <c r="B13" s="5">
        <v>46175.567893518521</v>
      </c>
      <c r="C13" s="4" t="s">
        <v>80</v>
      </c>
      <c r="D13" s="4"/>
      <c r="E13" s="11" t="s">
        <v>81</v>
      </c>
      <c r="F13" s="4" t="s">
        <v>82</v>
      </c>
      <c r="G13" s="4" t="s">
        <v>20</v>
      </c>
      <c r="H13" s="4" t="s">
        <v>83</v>
      </c>
      <c r="I13" s="6" t="s">
        <v>22</v>
      </c>
      <c r="J13" s="6" t="s">
        <v>66</v>
      </c>
      <c r="K13" s="7" t="s">
        <v>84</v>
      </c>
      <c r="L13" s="8" t="s">
        <v>85</v>
      </c>
      <c r="M13" s="11" t="s">
        <v>249</v>
      </c>
    </row>
    <row r="14" spans="1:13" ht="33.75" customHeight="1" x14ac:dyDescent="0.25">
      <c r="A14" s="4">
        <f t="shared" si="0"/>
        <v>10</v>
      </c>
      <c r="B14" s="5">
        <v>46175.396192129629</v>
      </c>
      <c r="C14" s="4" t="s">
        <v>86</v>
      </c>
      <c r="D14" s="4"/>
      <c r="E14" s="11" t="s">
        <v>87</v>
      </c>
      <c r="F14" s="4" t="s">
        <v>88</v>
      </c>
      <c r="G14" s="4" t="s">
        <v>20</v>
      </c>
      <c r="H14" s="4" t="s">
        <v>89</v>
      </c>
      <c r="I14" s="6" t="s">
        <v>90</v>
      </c>
      <c r="J14" s="6" t="s">
        <v>91</v>
      </c>
      <c r="K14" s="7" t="s">
        <v>92</v>
      </c>
      <c r="L14" s="8" t="s">
        <v>93</v>
      </c>
      <c r="M14" s="11" t="s">
        <v>259</v>
      </c>
    </row>
    <row r="15" spans="1:13" ht="33.75" customHeight="1" x14ac:dyDescent="0.25">
      <c r="A15" s="4">
        <f t="shared" si="0"/>
        <v>11</v>
      </c>
      <c r="B15" s="5">
        <v>46175.55263888889</v>
      </c>
      <c r="C15" s="4" t="s">
        <v>94</v>
      </c>
      <c r="D15" s="4" t="s">
        <v>48</v>
      </c>
      <c r="E15" s="11" t="s">
        <v>95</v>
      </c>
      <c r="F15" s="4" t="s">
        <v>96</v>
      </c>
      <c r="G15" s="4" t="s">
        <v>20</v>
      </c>
      <c r="H15" s="4" t="s">
        <v>97</v>
      </c>
      <c r="I15" s="6" t="s">
        <v>44</v>
      </c>
      <c r="J15" s="6" t="s">
        <v>98</v>
      </c>
      <c r="K15" s="7" t="s">
        <v>99</v>
      </c>
      <c r="L15" s="8" t="s">
        <v>100</v>
      </c>
      <c r="M15" s="11" t="s">
        <v>247</v>
      </c>
    </row>
    <row r="16" spans="1:13" ht="33.75" customHeight="1" x14ac:dyDescent="0.25">
      <c r="A16" s="4">
        <f t="shared" si="0"/>
        <v>12</v>
      </c>
      <c r="B16" s="5">
        <v>46175.554027777776</v>
      </c>
      <c r="C16" s="4" t="s">
        <v>101</v>
      </c>
      <c r="D16" s="4"/>
      <c r="E16" s="11" t="s">
        <v>102</v>
      </c>
      <c r="F16" s="4" t="s">
        <v>96</v>
      </c>
      <c r="G16" s="4" t="s">
        <v>20</v>
      </c>
      <c r="H16" s="4" t="s">
        <v>103</v>
      </c>
      <c r="I16" s="6" t="s">
        <v>44</v>
      </c>
      <c r="J16" s="6" t="s">
        <v>104</v>
      </c>
      <c r="K16" s="7" t="s">
        <v>99</v>
      </c>
      <c r="L16" s="8" t="s">
        <v>100</v>
      </c>
      <c r="M16" s="11" t="s">
        <v>258</v>
      </c>
    </row>
    <row r="17" spans="1:13" ht="33.75" customHeight="1" x14ac:dyDescent="0.25">
      <c r="A17" s="4">
        <f t="shared" si="0"/>
        <v>13</v>
      </c>
      <c r="B17" s="5">
        <v>46175.471539351849</v>
      </c>
      <c r="C17" s="4" t="s">
        <v>106</v>
      </c>
      <c r="D17" s="4"/>
      <c r="E17" s="11" t="s">
        <v>107</v>
      </c>
      <c r="F17" s="4" t="s">
        <v>108</v>
      </c>
      <c r="G17" s="4" t="s">
        <v>20</v>
      </c>
      <c r="H17" s="4" t="s">
        <v>109</v>
      </c>
      <c r="I17" s="6" t="s">
        <v>110</v>
      </c>
      <c r="J17" s="6" t="s">
        <v>23</v>
      </c>
      <c r="K17" s="7" t="s">
        <v>111</v>
      </c>
      <c r="L17" s="8" t="s">
        <v>112</v>
      </c>
      <c r="M17" s="11" t="s">
        <v>249</v>
      </c>
    </row>
    <row r="18" spans="1:13" ht="33.75" customHeight="1" x14ac:dyDescent="0.25">
      <c r="A18" s="4">
        <f t="shared" si="0"/>
        <v>14</v>
      </c>
      <c r="B18" s="5">
        <v>46175.469282407408</v>
      </c>
      <c r="C18" s="4" t="s">
        <v>113</v>
      </c>
      <c r="D18" s="4"/>
      <c r="E18" s="11" t="s">
        <v>114</v>
      </c>
      <c r="F18" s="4" t="s">
        <v>108</v>
      </c>
      <c r="G18" s="4" t="s">
        <v>20</v>
      </c>
      <c r="H18" s="4" t="s">
        <v>109</v>
      </c>
      <c r="I18" s="6" t="s">
        <v>22</v>
      </c>
      <c r="J18" s="6" t="s">
        <v>110</v>
      </c>
      <c r="K18" s="7" t="s">
        <v>111</v>
      </c>
      <c r="L18" s="8" t="s">
        <v>112</v>
      </c>
      <c r="M18" s="11" t="s">
        <v>249</v>
      </c>
    </row>
    <row r="19" spans="1:13" ht="33.75" customHeight="1" x14ac:dyDescent="0.25">
      <c r="A19" s="4">
        <f t="shared" si="0"/>
        <v>15</v>
      </c>
      <c r="B19" s="5">
        <v>46175.599803240744</v>
      </c>
      <c r="C19" s="4" t="s">
        <v>115</v>
      </c>
      <c r="D19" s="4"/>
      <c r="E19" s="11" t="s">
        <v>116</v>
      </c>
      <c r="F19" s="4" t="s">
        <v>117</v>
      </c>
      <c r="G19" s="4" t="s">
        <v>74</v>
      </c>
      <c r="H19" s="4" t="s">
        <v>118</v>
      </c>
      <c r="I19" s="6" t="s">
        <v>119</v>
      </c>
      <c r="J19" s="6" t="s">
        <v>120</v>
      </c>
      <c r="K19" s="7" t="s">
        <v>121</v>
      </c>
      <c r="L19" s="8" t="s">
        <v>122</v>
      </c>
      <c r="M19" s="11" t="s">
        <v>249</v>
      </c>
    </row>
    <row r="20" spans="1:13" ht="33.75" customHeight="1" x14ac:dyDescent="0.25">
      <c r="A20" s="4">
        <f t="shared" si="0"/>
        <v>16</v>
      </c>
      <c r="B20" s="5">
        <v>46175.58258101852</v>
      </c>
      <c r="C20" s="4" t="s">
        <v>123</v>
      </c>
      <c r="D20" s="4"/>
      <c r="E20" s="11" t="s">
        <v>124</v>
      </c>
      <c r="F20" s="4" t="s">
        <v>125</v>
      </c>
      <c r="G20" s="4" t="s">
        <v>20</v>
      </c>
      <c r="H20" s="4" t="s">
        <v>126</v>
      </c>
      <c r="I20" s="6" t="s">
        <v>22</v>
      </c>
      <c r="J20" s="6" t="s">
        <v>37</v>
      </c>
      <c r="K20" s="7" t="s">
        <v>127</v>
      </c>
      <c r="L20" s="8" t="s">
        <v>128</v>
      </c>
      <c r="M20" s="11" t="s">
        <v>247</v>
      </c>
    </row>
    <row r="21" spans="1:13" ht="33.75" customHeight="1" x14ac:dyDescent="0.25">
      <c r="A21" s="4">
        <f t="shared" si="0"/>
        <v>17</v>
      </c>
      <c r="B21" s="5">
        <v>46172.591562499998</v>
      </c>
      <c r="C21" s="4" t="s">
        <v>129</v>
      </c>
      <c r="D21" s="4" t="s">
        <v>27</v>
      </c>
      <c r="E21" s="11" t="s">
        <v>130</v>
      </c>
      <c r="F21" s="4" t="s">
        <v>131</v>
      </c>
      <c r="G21" s="4" t="s">
        <v>20</v>
      </c>
      <c r="H21" s="4" t="s">
        <v>132</v>
      </c>
      <c r="I21" s="6" t="s">
        <v>105</v>
      </c>
      <c r="J21" s="6" t="s">
        <v>133</v>
      </c>
      <c r="K21" s="7" t="s">
        <v>134</v>
      </c>
      <c r="L21" s="8" t="s">
        <v>135</v>
      </c>
      <c r="M21" s="11" t="s">
        <v>252</v>
      </c>
    </row>
    <row r="22" spans="1:13" ht="33.75" customHeight="1" x14ac:dyDescent="0.25">
      <c r="A22" s="4">
        <f t="shared" si="0"/>
        <v>18</v>
      </c>
      <c r="B22" s="5">
        <v>46167.661944444444</v>
      </c>
      <c r="C22" s="4" t="s">
        <v>143</v>
      </c>
      <c r="D22" s="4" t="s">
        <v>27</v>
      </c>
      <c r="E22" s="11" t="s">
        <v>136</v>
      </c>
      <c r="F22" s="4" t="s">
        <v>137</v>
      </c>
      <c r="G22" s="4" t="s">
        <v>20</v>
      </c>
      <c r="H22" s="4" t="s">
        <v>138</v>
      </c>
      <c r="I22" s="6" t="s">
        <v>139</v>
      </c>
      <c r="J22" s="6" t="s">
        <v>140</v>
      </c>
      <c r="K22" s="7" t="s">
        <v>141</v>
      </c>
      <c r="L22" s="8" t="s">
        <v>142</v>
      </c>
      <c r="M22" s="11" t="s">
        <v>254</v>
      </c>
    </row>
    <row r="23" spans="1:13" ht="33.75" customHeight="1" x14ac:dyDescent="0.25">
      <c r="A23" s="4">
        <f t="shared" si="0"/>
        <v>19</v>
      </c>
      <c r="B23" s="5">
        <v>46175.504745370374</v>
      </c>
      <c r="C23" s="4" t="s">
        <v>144</v>
      </c>
      <c r="D23" s="4"/>
      <c r="E23" s="11" t="s">
        <v>145</v>
      </c>
      <c r="F23" s="4" t="s">
        <v>146</v>
      </c>
      <c r="G23" s="4" t="s">
        <v>20</v>
      </c>
      <c r="H23" s="4" t="s">
        <v>147</v>
      </c>
      <c r="I23" s="6" t="s">
        <v>22</v>
      </c>
      <c r="J23" s="6" t="s">
        <v>66</v>
      </c>
      <c r="K23" s="7" t="s">
        <v>148</v>
      </c>
      <c r="L23" s="8" t="s">
        <v>149</v>
      </c>
      <c r="M23" s="11" t="s">
        <v>247</v>
      </c>
    </row>
    <row r="24" spans="1:13" ht="33.75" customHeight="1" x14ac:dyDescent="0.25">
      <c r="A24" s="4">
        <f t="shared" si="0"/>
        <v>20</v>
      </c>
      <c r="B24" s="5">
        <v>46175.482604166667</v>
      </c>
      <c r="C24" s="4" t="s">
        <v>156</v>
      </c>
      <c r="D24" s="4"/>
      <c r="E24" s="11" t="s">
        <v>150</v>
      </c>
      <c r="F24" s="4" t="s">
        <v>151</v>
      </c>
      <c r="G24" s="4" t="s">
        <v>20</v>
      </c>
      <c r="H24" s="4" t="s">
        <v>152</v>
      </c>
      <c r="I24" s="6" t="s">
        <v>153</v>
      </c>
      <c r="J24" s="6" t="s">
        <v>91</v>
      </c>
      <c r="K24" s="7" t="s">
        <v>154</v>
      </c>
      <c r="L24" s="8" t="s">
        <v>155</v>
      </c>
      <c r="M24" s="11" t="s">
        <v>249</v>
      </c>
    </row>
    <row r="25" spans="1:13" ht="33.75" customHeight="1" x14ac:dyDescent="0.25">
      <c r="A25" s="4">
        <f t="shared" si="0"/>
        <v>21</v>
      </c>
      <c r="B25" s="5">
        <v>46175.583993055552</v>
      </c>
      <c r="C25" s="4" t="s">
        <v>157</v>
      </c>
      <c r="D25" s="4"/>
      <c r="E25" s="11" t="s">
        <v>158</v>
      </c>
      <c r="F25" s="4" t="s">
        <v>159</v>
      </c>
      <c r="G25" s="4" t="s">
        <v>160</v>
      </c>
      <c r="H25" s="4" t="s">
        <v>161</v>
      </c>
      <c r="I25" s="6" t="s">
        <v>22</v>
      </c>
      <c r="J25" s="6" t="s">
        <v>66</v>
      </c>
      <c r="K25" s="7" t="s">
        <v>162</v>
      </c>
      <c r="L25" s="8" t="s">
        <v>163</v>
      </c>
      <c r="M25" s="11" t="s">
        <v>257</v>
      </c>
    </row>
    <row r="26" spans="1:13" ht="33.75" customHeight="1" x14ac:dyDescent="0.25">
      <c r="A26" s="4">
        <f t="shared" si="0"/>
        <v>22</v>
      </c>
      <c r="B26" s="5">
        <v>46175.41375</v>
      </c>
      <c r="C26" s="4" t="s">
        <v>164</v>
      </c>
      <c r="D26" s="4"/>
      <c r="E26" s="11" t="s">
        <v>165</v>
      </c>
      <c r="F26" s="4" t="s">
        <v>166</v>
      </c>
      <c r="G26" s="4" t="s">
        <v>20</v>
      </c>
      <c r="H26" s="4" t="s">
        <v>167</v>
      </c>
      <c r="I26" s="6" t="s">
        <v>37</v>
      </c>
      <c r="J26" s="6" t="s">
        <v>91</v>
      </c>
      <c r="K26" s="7" t="s">
        <v>168</v>
      </c>
      <c r="L26" s="8" t="s">
        <v>169</v>
      </c>
      <c r="M26" s="11" t="s">
        <v>257</v>
      </c>
    </row>
    <row r="27" spans="1:13" ht="33.75" customHeight="1" x14ac:dyDescent="0.25">
      <c r="A27" s="4">
        <f t="shared" si="0"/>
        <v>23</v>
      </c>
      <c r="B27" s="5">
        <v>46175.620844907404</v>
      </c>
      <c r="C27" s="4" t="s">
        <v>170</v>
      </c>
      <c r="D27" s="4"/>
      <c r="E27" s="11" t="s">
        <v>171</v>
      </c>
      <c r="F27" s="4" t="s">
        <v>172</v>
      </c>
      <c r="G27" s="4" t="s">
        <v>160</v>
      </c>
      <c r="H27" s="4" t="s">
        <v>173</v>
      </c>
      <c r="I27" s="6" t="s">
        <v>90</v>
      </c>
      <c r="J27" s="6" t="s">
        <v>23</v>
      </c>
      <c r="K27" s="7" t="s">
        <v>174</v>
      </c>
      <c r="L27" s="8" t="s">
        <v>175</v>
      </c>
      <c r="M27" s="11" t="s">
        <v>249</v>
      </c>
    </row>
    <row r="28" spans="1:13" ht="33.75" customHeight="1" x14ac:dyDescent="0.25">
      <c r="A28" s="4">
        <f t="shared" si="0"/>
        <v>24</v>
      </c>
      <c r="B28" s="5">
        <v>46175.630740740744</v>
      </c>
      <c r="C28" s="4" t="s">
        <v>176</v>
      </c>
      <c r="D28" s="4"/>
      <c r="E28" s="11" t="s">
        <v>177</v>
      </c>
      <c r="F28" s="4" t="s">
        <v>178</v>
      </c>
      <c r="G28" s="4" t="s">
        <v>20</v>
      </c>
      <c r="H28" s="4" t="s">
        <v>179</v>
      </c>
      <c r="I28" s="6" t="s">
        <v>180</v>
      </c>
      <c r="J28" s="6" t="s">
        <v>23</v>
      </c>
      <c r="K28" s="7" t="s">
        <v>181</v>
      </c>
      <c r="L28" s="8" t="s">
        <v>182</v>
      </c>
      <c r="M28" s="11" t="s">
        <v>249</v>
      </c>
    </row>
    <row r="29" spans="1:13" ht="33.75" customHeight="1" x14ac:dyDescent="0.25">
      <c r="A29" s="4">
        <f t="shared" si="0"/>
        <v>25</v>
      </c>
      <c r="B29" s="5">
        <v>46175.687395833331</v>
      </c>
      <c r="C29" s="4" t="s">
        <v>183</v>
      </c>
      <c r="D29" s="4"/>
      <c r="E29" s="11" t="s">
        <v>184</v>
      </c>
      <c r="F29" s="4" t="s">
        <v>185</v>
      </c>
      <c r="G29" s="4" t="s">
        <v>20</v>
      </c>
      <c r="H29" s="4" t="s">
        <v>186</v>
      </c>
      <c r="I29" s="6" t="s">
        <v>22</v>
      </c>
      <c r="J29" s="6" t="s">
        <v>23</v>
      </c>
      <c r="K29" s="7" t="s">
        <v>187</v>
      </c>
      <c r="L29" s="8" t="s">
        <v>188</v>
      </c>
      <c r="M29" s="11" t="s">
        <v>253</v>
      </c>
    </row>
    <row r="30" spans="1:13" ht="33.75" customHeight="1" x14ac:dyDescent="0.25">
      <c r="A30" s="4">
        <f t="shared" si="0"/>
        <v>26</v>
      </c>
      <c r="B30" s="5">
        <v>46175.522037037037</v>
      </c>
      <c r="C30" s="4" t="s">
        <v>189</v>
      </c>
      <c r="D30" s="4" t="s">
        <v>27</v>
      </c>
      <c r="E30" s="11" t="s">
        <v>190</v>
      </c>
      <c r="F30" s="4" t="s">
        <v>191</v>
      </c>
      <c r="G30" s="4" t="s">
        <v>20</v>
      </c>
      <c r="H30" s="4" t="s">
        <v>192</v>
      </c>
      <c r="I30" s="6" t="s">
        <v>180</v>
      </c>
      <c r="J30" s="6" t="s">
        <v>193</v>
      </c>
      <c r="K30" s="7" t="s">
        <v>194</v>
      </c>
      <c r="L30" s="8" t="s">
        <v>195</v>
      </c>
      <c r="M30" s="11" t="s">
        <v>260</v>
      </c>
    </row>
    <row r="31" spans="1:13" ht="33.75" customHeight="1" x14ac:dyDescent="0.25">
      <c r="A31" s="4">
        <f t="shared" si="0"/>
        <v>27</v>
      </c>
      <c r="B31" s="5">
        <v>46175.519976851851</v>
      </c>
      <c r="C31" s="4" t="s">
        <v>196</v>
      </c>
      <c r="D31" s="4" t="s">
        <v>27</v>
      </c>
      <c r="E31" s="11" t="s">
        <v>197</v>
      </c>
      <c r="F31" s="4" t="s">
        <v>191</v>
      </c>
      <c r="G31" s="4" t="s">
        <v>20</v>
      </c>
      <c r="H31" s="4" t="s">
        <v>198</v>
      </c>
      <c r="I31" s="6" t="s">
        <v>180</v>
      </c>
      <c r="J31" s="6" t="s">
        <v>193</v>
      </c>
      <c r="K31" s="7" t="s">
        <v>199</v>
      </c>
      <c r="L31" s="8" t="s">
        <v>195</v>
      </c>
      <c r="M31" s="11" t="s">
        <v>260</v>
      </c>
    </row>
    <row r="32" spans="1:13" ht="33.75" customHeight="1" x14ac:dyDescent="0.25">
      <c r="A32" s="4">
        <f t="shared" si="0"/>
        <v>28</v>
      </c>
      <c r="B32" s="5">
        <v>46174.30568287037</v>
      </c>
      <c r="C32" s="4" t="s">
        <v>200</v>
      </c>
      <c r="D32" s="4" t="s">
        <v>48</v>
      </c>
      <c r="E32" s="11" t="s">
        <v>201</v>
      </c>
      <c r="F32" s="4" t="s">
        <v>202</v>
      </c>
      <c r="G32" s="4" t="s">
        <v>74</v>
      </c>
      <c r="H32" s="4" t="s">
        <v>203</v>
      </c>
      <c r="I32" s="6" t="s">
        <v>204</v>
      </c>
      <c r="J32" s="6" t="s">
        <v>77</v>
      </c>
      <c r="K32" s="7" t="s">
        <v>205</v>
      </c>
      <c r="L32" s="8" t="s">
        <v>206</v>
      </c>
      <c r="M32" s="11" t="s">
        <v>255</v>
      </c>
    </row>
    <row r="33" spans="1:13" ht="33.75" customHeight="1" x14ac:dyDescent="0.25">
      <c r="A33" s="4">
        <f t="shared" si="0"/>
        <v>29</v>
      </c>
      <c r="B33" s="5">
        <v>46157.552314814813</v>
      </c>
      <c r="C33" s="4" t="s">
        <v>207</v>
      </c>
      <c r="D33" s="4" t="s">
        <v>27</v>
      </c>
      <c r="E33" s="11" t="s">
        <v>208</v>
      </c>
      <c r="F33" s="4" t="s">
        <v>209</v>
      </c>
      <c r="G33" s="4" t="s">
        <v>74</v>
      </c>
      <c r="H33" s="4" t="s">
        <v>210</v>
      </c>
      <c r="I33" s="6" t="s">
        <v>211</v>
      </c>
      <c r="J33" s="6" t="s">
        <v>212</v>
      </c>
      <c r="K33" s="7" t="s">
        <v>213</v>
      </c>
      <c r="L33" s="8" t="s">
        <v>214</v>
      </c>
      <c r="M33" s="11" t="s">
        <v>248</v>
      </c>
    </row>
    <row r="34" spans="1:13" ht="33.75" customHeight="1" x14ac:dyDescent="0.25">
      <c r="A34" s="17">
        <f t="shared" si="0"/>
        <v>30</v>
      </c>
      <c r="B34" s="18">
        <v>46172.386782407404</v>
      </c>
      <c r="C34" s="17" t="s">
        <v>215</v>
      </c>
      <c r="D34" s="17"/>
      <c r="E34" s="19" t="s">
        <v>216</v>
      </c>
      <c r="F34" s="17" t="s">
        <v>217</v>
      </c>
      <c r="G34" s="17" t="s">
        <v>20</v>
      </c>
      <c r="H34" s="17" t="s">
        <v>218</v>
      </c>
      <c r="I34" s="20" t="s">
        <v>22</v>
      </c>
      <c r="J34" s="20" t="s">
        <v>66</v>
      </c>
      <c r="K34" s="21" t="s">
        <v>219</v>
      </c>
      <c r="L34" s="22" t="s">
        <v>220</v>
      </c>
      <c r="M34" s="19" t="s">
        <v>259</v>
      </c>
    </row>
    <row r="35" spans="1:13" ht="33.75" customHeight="1" x14ac:dyDescent="0.25">
      <c r="A35" s="23">
        <f t="shared" si="0"/>
        <v>31</v>
      </c>
      <c r="B35" s="24">
        <v>46172.680532407408</v>
      </c>
      <c r="C35" s="23" t="s">
        <v>221</v>
      </c>
      <c r="D35" s="23" t="s">
        <v>27</v>
      </c>
      <c r="E35" s="25" t="s">
        <v>222</v>
      </c>
      <c r="F35" s="23" t="s">
        <v>223</v>
      </c>
      <c r="G35" s="23" t="s">
        <v>20</v>
      </c>
      <c r="H35" s="23" t="s">
        <v>224</v>
      </c>
      <c r="I35" s="26" t="s">
        <v>225</v>
      </c>
      <c r="J35" s="26" t="s">
        <v>226</v>
      </c>
      <c r="K35" s="23" t="s">
        <v>141</v>
      </c>
      <c r="L35" s="23" t="s">
        <v>142</v>
      </c>
      <c r="M35" s="25" t="s">
        <v>247</v>
      </c>
    </row>
    <row r="36" spans="1:13" ht="33.75" customHeight="1" x14ac:dyDescent="0.25">
      <c r="A36" s="23">
        <f t="shared" si="0"/>
        <v>32</v>
      </c>
      <c r="B36" s="24">
        <v>46175.610462962963</v>
      </c>
      <c r="C36" s="23" t="s">
        <v>227</v>
      </c>
      <c r="D36" s="23"/>
      <c r="E36" s="25" t="s">
        <v>228</v>
      </c>
      <c r="F36" s="23" t="s">
        <v>229</v>
      </c>
      <c r="G36" s="23" t="s">
        <v>20</v>
      </c>
      <c r="H36" s="23" t="s">
        <v>230</v>
      </c>
      <c r="I36" s="26" t="s">
        <v>22</v>
      </c>
      <c r="J36" s="26" t="s">
        <v>66</v>
      </c>
      <c r="K36" s="23" t="s">
        <v>231</v>
      </c>
      <c r="L36" s="23" t="s">
        <v>232</v>
      </c>
      <c r="M36" s="25" t="s">
        <v>256</v>
      </c>
    </row>
    <row r="37" spans="1:13" ht="33.75" customHeight="1" x14ac:dyDescent="0.25">
      <c r="A37" s="23">
        <f t="shared" si="0"/>
        <v>33</v>
      </c>
      <c r="B37" s="24">
        <v>46160.785312499997</v>
      </c>
      <c r="C37" s="23" t="s">
        <v>233</v>
      </c>
      <c r="D37" s="23" t="s">
        <v>48</v>
      </c>
      <c r="E37" s="25" t="s">
        <v>234</v>
      </c>
      <c r="F37" s="23" t="s">
        <v>235</v>
      </c>
      <c r="G37" s="23" t="s">
        <v>20</v>
      </c>
      <c r="H37" s="23" t="s">
        <v>236</v>
      </c>
      <c r="I37" s="26" t="s">
        <v>237</v>
      </c>
      <c r="J37" s="26" t="s">
        <v>238</v>
      </c>
      <c r="K37" s="23" t="s">
        <v>239</v>
      </c>
      <c r="L37" s="23" t="s">
        <v>240</v>
      </c>
      <c r="M37" s="25" t="s">
        <v>255</v>
      </c>
    </row>
    <row r="38" spans="1:13" ht="33.75" customHeight="1" x14ac:dyDescent="0.25">
      <c r="A38" s="23">
        <f t="shared" si="0"/>
        <v>34</v>
      </c>
      <c r="B38" s="24">
        <v>46171.742395833331</v>
      </c>
      <c r="C38" s="23" t="s">
        <v>241</v>
      </c>
      <c r="D38" s="23"/>
      <c r="E38" s="25" t="s">
        <v>242</v>
      </c>
      <c r="F38" s="23" t="s">
        <v>243</v>
      </c>
      <c r="G38" s="23" t="s">
        <v>20</v>
      </c>
      <c r="H38" s="23" t="s">
        <v>244</v>
      </c>
      <c r="I38" s="26" t="s">
        <v>22</v>
      </c>
      <c r="J38" s="26" t="s">
        <v>91</v>
      </c>
      <c r="K38" s="23" t="s">
        <v>245</v>
      </c>
      <c r="L38" s="23" t="s">
        <v>246</v>
      </c>
      <c r="M38" s="25" t="s">
        <v>248</v>
      </c>
    </row>
    <row r="39" spans="1:13" ht="60" x14ac:dyDescent="0.25">
      <c r="A39" s="23">
        <f t="shared" si="0"/>
        <v>35</v>
      </c>
      <c r="B39" s="27"/>
      <c r="C39" s="28">
        <v>309363</v>
      </c>
      <c r="D39" s="27"/>
      <c r="E39" s="28" t="s">
        <v>261</v>
      </c>
      <c r="F39" s="28" t="s">
        <v>266</v>
      </c>
      <c r="G39" s="23" t="s">
        <v>278</v>
      </c>
      <c r="H39" s="28" t="s">
        <v>268</v>
      </c>
      <c r="I39" s="28" t="s">
        <v>273</v>
      </c>
      <c r="J39" s="28" t="s">
        <v>275</v>
      </c>
      <c r="K39" s="27"/>
      <c r="L39" s="27"/>
      <c r="M39" s="29" t="s">
        <v>272</v>
      </c>
    </row>
    <row r="40" spans="1:13" ht="45" x14ac:dyDescent="0.25">
      <c r="A40" s="23">
        <f t="shared" si="0"/>
        <v>36</v>
      </c>
      <c r="B40" s="27"/>
      <c r="C40" s="28">
        <v>310253</v>
      </c>
      <c r="D40" s="27"/>
      <c r="E40" s="28" t="s">
        <v>262</v>
      </c>
      <c r="F40" s="28" t="s">
        <v>267</v>
      </c>
      <c r="G40" s="23" t="s">
        <v>278</v>
      </c>
      <c r="H40" s="28" t="s">
        <v>269</v>
      </c>
      <c r="I40" s="28" t="s">
        <v>273</v>
      </c>
      <c r="J40" s="28" t="s">
        <v>276</v>
      </c>
      <c r="K40" s="27"/>
      <c r="L40" s="27"/>
      <c r="M40" s="29" t="s">
        <v>249</v>
      </c>
    </row>
    <row r="41" spans="1:13" ht="45" x14ac:dyDescent="0.25">
      <c r="A41" s="23">
        <f t="shared" si="0"/>
        <v>37</v>
      </c>
      <c r="B41" s="27"/>
      <c r="C41" s="28">
        <v>310254</v>
      </c>
      <c r="D41" s="27"/>
      <c r="E41" s="28" t="s">
        <v>263</v>
      </c>
      <c r="F41" s="28" t="s">
        <v>267</v>
      </c>
      <c r="G41" s="23" t="s">
        <v>278</v>
      </c>
      <c r="H41" s="28" t="s">
        <v>270</v>
      </c>
      <c r="I41" s="28" t="s">
        <v>273</v>
      </c>
      <c r="J41" s="28" t="s">
        <v>276</v>
      </c>
      <c r="K41" s="27"/>
      <c r="L41" s="27"/>
      <c r="M41" s="29" t="s">
        <v>259</v>
      </c>
    </row>
    <row r="42" spans="1:13" ht="45" x14ac:dyDescent="0.25">
      <c r="A42" s="23">
        <f t="shared" si="0"/>
        <v>38</v>
      </c>
      <c r="B42" s="27"/>
      <c r="C42" s="28">
        <v>310255</v>
      </c>
      <c r="D42" s="27"/>
      <c r="E42" s="28" t="s">
        <v>264</v>
      </c>
      <c r="F42" s="28" t="s">
        <v>267</v>
      </c>
      <c r="G42" s="23" t="s">
        <v>278</v>
      </c>
      <c r="H42" s="28" t="s">
        <v>269</v>
      </c>
      <c r="I42" s="28" t="s">
        <v>274</v>
      </c>
      <c r="J42" s="28" t="s">
        <v>277</v>
      </c>
      <c r="K42" s="27"/>
      <c r="L42" s="27"/>
      <c r="M42" s="29" t="s">
        <v>247</v>
      </c>
    </row>
    <row r="43" spans="1:13" ht="75" x14ac:dyDescent="0.25">
      <c r="A43" s="23">
        <f t="shared" si="0"/>
        <v>39</v>
      </c>
      <c r="B43" s="27"/>
      <c r="C43" s="28">
        <v>310354</v>
      </c>
      <c r="D43" s="27"/>
      <c r="E43" s="28" t="s">
        <v>265</v>
      </c>
      <c r="F43" s="28" t="s">
        <v>267</v>
      </c>
      <c r="G43" s="23" t="s">
        <v>278</v>
      </c>
      <c r="H43" s="28" t="s">
        <v>271</v>
      </c>
      <c r="I43" s="28" t="s">
        <v>274</v>
      </c>
      <c r="J43" s="28" t="s">
        <v>276</v>
      </c>
      <c r="K43" s="27"/>
      <c r="L43" s="27"/>
      <c r="M43" s="29" t="s">
        <v>247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2026-06-02T12:40:39Z</dcterms:created>
  <dcterms:modified xsi:type="dcterms:W3CDTF">2026-06-02T13:28:22Z</dcterms:modified>
</cp:coreProperties>
</file>
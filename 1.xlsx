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NEXT DAY SHUTDOWN\"/>
    </mc:Choice>
  </mc:AlternateContent>
  <bookViews>
    <workbookView xWindow="-120" yWindow="-120" windowWidth="21840" windowHeight="13140"/>
  </bookViews>
  <sheets>
    <sheet name="Sheet0" sheetId="1" r:id="rId1"/>
  </sheets>
  <definedNames>
    <definedName name="__bookmark_1">Sheet0!$A$1:$M$34</definedName>
    <definedName name="_xlnm.Print_Area" localSheetId="0">Sheet0!$A$1:$M$34</definedName>
    <definedName name="_xlnm.Print_Titles" localSheetId="0">Sheet0!$4:$4</definedName>
  </definedNames>
  <calcPr calcId="162913"/>
</workbook>
</file>

<file path=xl/calcChain.xml><?xml version="1.0" encoding="utf-8"?>
<calcChain xmlns="http://schemas.openxmlformats.org/spreadsheetml/2006/main">
  <c r="A28" i="1" l="1"/>
  <c r="A29" i="1"/>
  <c r="A30" i="1" s="1"/>
  <c r="A31" i="1" s="1"/>
  <c r="A32" i="1" s="1"/>
  <c r="A33" i="1" s="1"/>
  <c r="A7" i="1" l="1"/>
  <c r="A8" i="1" s="1"/>
  <c r="A9" i="1" s="1"/>
  <c r="A10" i="1" s="1"/>
  <c r="A11" i="1" s="1"/>
  <c r="A12" i="1" s="1"/>
  <c r="A13" i="1" s="1"/>
  <c r="A14" i="1" s="1"/>
  <c r="A15" i="1" s="1"/>
  <c r="A16" i="1" s="1"/>
  <c r="A17" i="1" s="1"/>
  <c r="A18" i="1" s="1"/>
  <c r="A19" i="1" s="1"/>
  <c r="A20" i="1" s="1"/>
  <c r="A21" i="1" s="1"/>
  <c r="A22" i="1" s="1"/>
  <c r="A23" i="1" s="1"/>
  <c r="A24" i="1" s="1"/>
  <c r="A25" i="1" s="1"/>
  <c r="A26" i="1" s="1"/>
  <c r="A27" i="1" s="1"/>
  <c r="A6" i="1"/>
</calcChain>
</file>

<file path=xl/sharedStrings.xml><?xml version="1.0" encoding="utf-8"?>
<sst xmlns="http://schemas.openxmlformats.org/spreadsheetml/2006/main" count="305" uniqueCount="195">
  <si>
    <t>STATE LOAD DESPATCH CENTRE 
Madhya Pradesh Power Transmission Company Limited, Jabalpur</t>
  </si>
  <si>
    <t>From Date:</t>
  </si>
  <si>
    <t>Control Area :</t>
  </si>
  <si>
    <t>ALL</t>
  </si>
  <si>
    <t xml:space="preserve">Circle :  </t>
  </si>
  <si>
    <t>S.NO.</t>
  </si>
  <si>
    <t>APPLICATION DATE</t>
  </si>
  <si>
    <t>REQ_ID</t>
  </si>
  <si>
    <t>REQ TYPE</t>
  </si>
  <si>
    <t>ELEMENT</t>
  </si>
  <si>
    <t>SUBSTATION</t>
  </si>
  <si>
    <t>CATEGORY TYPE</t>
  </si>
  <si>
    <t>REASON FOR SHUT DOWN</t>
  </si>
  <si>
    <t>PROPOSED START DATE &amp; TIME</t>
  </si>
  <si>
    <t>PROPOSED STOP DATE &amp; TIME</t>
  </si>
  <si>
    <t>Availing Officer Name &amp; Mob. No.</t>
  </si>
  <si>
    <t>REMARK</t>
  </si>
  <si>
    <t>MR2602/0151</t>
  </si>
  <si>
    <t>Continuous</t>
  </si>
  <si>
    <t>220KV_MAIN BUS - 1 &amp; BUS TIE</t>
  </si>
  <si>
    <t>220KV_AMARKANTAK</t>
  </si>
  <si>
    <t>NON-OCCM-MP</t>
  </si>
  <si>
    <t>Dismantling activities of bay no. 2,5,7 and 10</t>
  </si>
  <si>
    <t>11-02-2026 09:00:00</t>
  </si>
  <si>
    <t>12-02-2026 08:00:00</t>
  </si>
  <si>
    <t>AJAY PARTETI</t>
  </si>
  <si>
    <t>9425808877</t>
  </si>
  <si>
    <t>MR2601/0380</t>
  </si>
  <si>
    <t>Daily</t>
  </si>
  <si>
    <t>220KV_220 kV Anuppur-Kotmikala Circuit I</t>
  </si>
  <si>
    <t>220KV_ANUPPUR</t>
  </si>
  <si>
    <t>For Conductor re-sagging &amp; other line maintenance</t>
  </si>
  <si>
    <t>01-02-2026 08:00:00</t>
  </si>
  <si>
    <t>20-02-2026 18:00:00</t>
  </si>
  <si>
    <t>Jitendra Tiwari</t>
  </si>
  <si>
    <t>9425805298</t>
  </si>
  <si>
    <t>MR2601/0381</t>
  </si>
  <si>
    <t>220KV_220 kV Anuppur-Kotmikala Circuit II</t>
  </si>
  <si>
    <t>MR2602/0159</t>
  </si>
  <si>
    <t>220KV_220KV Ashta-Mungaliyachhap feeder</t>
  </si>
  <si>
    <t>400KV_ASHTA4</t>
  </si>
  <si>
    <t>Installation of Main DPR-2</t>
  </si>
  <si>
    <t>12-02-2026 10:00:00</t>
  </si>
  <si>
    <t>12-02-2026 15:00:00</t>
  </si>
  <si>
    <t>Jitendra Lohana</t>
  </si>
  <si>
    <t>9425804978</t>
  </si>
  <si>
    <t>MR2602/0153</t>
  </si>
  <si>
    <t>400KV_400KV Badnawar-Pithampur Ckt-I Line</t>
  </si>
  <si>
    <t>400KV_BADNAWAR</t>
  </si>
  <si>
    <t>Line Maintenance work</t>
  </si>
  <si>
    <t>12-02-2026 09:00:00</t>
  </si>
  <si>
    <t>12-02-2026 18:00:00</t>
  </si>
  <si>
    <t>Kamal Solanki</t>
  </si>
  <si>
    <t>9425805262</t>
  </si>
  <si>
    <t>MR2601/0526</t>
  </si>
  <si>
    <t>400KV_400kv Badnawar-Pithampur ckt-1</t>
  </si>
  <si>
    <t>for bay maintenance and testing work</t>
  </si>
  <si>
    <t>ER.Abhishek verma</t>
  </si>
  <si>
    <t>9340855901</t>
  </si>
  <si>
    <t>MR2601/0461</t>
  </si>
  <si>
    <t>220KV_220 KV Bina Datia line</t>
  </si>
  <si>
    <t>400KV_BINA4</t>
  </si>
  <si>
    <t>Old and defected disc replacement work</t>
  </si>
  <si>
    <t>30-01-2026 08:00:00</t>
  </si>
  <si>
    <t>13-02-2026 18:00:00</t>
  </si>
  <si>
    <t>Satish Kumar Bhagat</t>
  </si>
  <si>
    <t>9425806916</t>
  </si>
  <si>
    <t>MR2602/0116</t>
  </si>
  <si>
    <t>132KV_132 kV Chhindwara-Borgaon feeder</t>
  </si>
  <si>
    <t>220KV_CHHINDWARA</t>
  </si>
  <si>
    <t>Conductor Resagging work</t>
  </si>
  <si>
    <t>10-02-2026 09:00:00</t>
  </si>
  <si>
    <t>A.M.Shende</t>
  </si>
  <si>
    <t>7587951136</t>
  </si>
  <si>
    <t>132KV_HATTA</t>
  </si>
  <si>
    <t>9425805067</t>
  </si>
  <si>
    <t>MR2601/0438</t>
  </si>
  <si>
    <t>132KV_132KV HATTA-BIJAWAR</t>
  </si>
  <si>
    <t>Replacement of ACSR Panther Conductor with HTLS</t>
  </si>
  <si>
    <t>29-01-2026 09:00:00</t>
  </si>
  <si>
    <t>25-04-2026 18:00:00</t>
  </si>
  <si>
    <t>M.M. Baig</t>
  </si>
  <si>
    <t>MR2602/0132</t>
  </si>
  <si>
    <t>132KV_132/33 KV  40 MVA BBL X-MER</t>
  </si>
  <si>
    <t>132KV_KATANGI_JBP</t>
  </si>
  <si>
    <t>40 MVA BBL X-MER for 33KV Incomming CT replacement</t>
  </si>
  <si>
    <t>Shri A.K. Pandey</t>
  </si>
  <si>
    <t>9424645081</t>
  </si>
  <si>
    <t>MR2602/0158</t>
  </si>
  <si>
    <t>132KV_33KV HALF MAIN BUS and 40 MVA BBL Transformer</t>
  </si>
  <si>
    <t>132KV_KATNI</t>
  </si>
  <si>
    <t>33KV Mainbus single zebra to twin zebra work</t>
  </si>
  <si>
    <t>12-02-2026 17:00:00</t>
  </si>
  <si>
    <t>Abhishek Mishra</t>
  </si>
  <si>
    <t>9425801440</t>
  </si>
  <si>
    <t>MR2602/0154</t>
  </si>
  <si>
    <t>132KV_132/33KV 63MVA X-MER BBL AND 33KV 50MVA BHEL I/C</t>
  </si>
  <si>
    <t>220KV_KOTAR</t>
  </si>
  <si>
    <t>OCCM-MP</t>
  </si>
  <si>
    <t>For 33KV MAIN BUS Y PHASE Damage Jumper Replacemen</t>
  </si>
  <si>
    <t>12-02-2026 11:00:00</t>
  </si>
  <si>
    <t>12-02-2026 13:00:00</t>
  </si>
  <si>
    <t>Arun Kumar kol</t>
  </si>
  <si>
    <t>8319677721</t>
  </si>
  <si>
    <t>MR2602/0155</t>
  </si>
  <si>
    <t>132KV_132 kV Maihar â¿¿ Kymore Ckt-I</t>
  </si>
  <si>
    <t>220KV_MAIHAR</t>
  </si>
  <si>
    <t>Line maintenance work</t>
  </si>
  <si>
    <t>Mr. R.K. Prajapati</t>
  </si>
  <si>
    <t>9407070182</t>
  </si>
  <si>
    <t>MR2602/0160</t>
  </si>
  <si>
    <t>220KV_220KV MUNGALIYACHHAP- BHOPAL LINE LOAD TRANSFER</t>
  </si>
  <si>
    <t>220KV_MUGALIYACHAAP</t>
  </si>
  <si>
    <t>LOAD TRANSFER TO 220KV BUS TRANSFER BREAKER</t>
  </si>
  <si>
    <t>ANIL ACHARKATE  (AE)</t>
  </si>
  <si>
    <t>7587951086</t>
  </si>
  <si>
    <t>MR2601/0246</t>
  </si>
  <si>
    <t>400KV_400KV Badnawar-Pithampur Ckt-II</t>
  </si>
  <si>
    <t>400KV_PITHAMPUR4</t>
  </si>
  <si>
    <t>For bay maintenance work</t>
  </si>
  <si>
    <t>Rajudas Bairagi</t>
  </si>
  <si>
    <t>9425801532</t>
  </si>
  <si>
    <t>MR2512/0335</t>
  </si>
  <si>
    <t>400KV_400KV Pithampur-PGCIL(Indore) Ckt-2</t>
  </si>
  <si>
    <t>For Pre Monsoon Maintenance Work</t>
  </si>
  <si>
    <t>MR2601/0512</t>
  </si>
  <si>
    <t>400KV_400KV SSTPH-Pithampur ckt-2</t>
  </si>
  <si>
    <t>Tower Restrengthening work on cross arm.</t>
  </si>
  <si>
    <t>14-02-2026 18:00:00</t>
  </si>
  <si>
    <t>Naresh Pandre</t>
  </si>
  <si>
    <t>9425806905</t>
  </si>
  <si>
    <t>MR2602/0156</t>
  </si>
  <si>
    <t>400KV_315MVA (CGL) ICT-I</t>
  </si>
  <si>
    <t>For Non Directional O/C &amp; E/F Relay Replacement</t>
  </si>
  <si>
    <t>12-02-2026 14:00:00</t>
  </si>
  <si>
    <t>Shree Rajudas Bairagi</t>
  </si>
  <si>
    <t>MR2601/0499</t>
  </si>
  <si>
    <t>400KV_400KV SSTPH-Pithampur ckt -1</t>
  </si>
  <si>
    <t>MR2602/0152</t>
  </si>
  <si>
    <t>220KV_220 KV 160 MVA BHEL X-MER</t>
  </si>
  <si>
    <t>220KV_REWA</t>
  </si>
  <si>
    <t>hot point attending work</t>
  </si>
  <si>
    <t>12-02-2026 12:00:00</t>
  </si>
  <si>
    <t>KANISHKA SINGH</t>
  </si>
  <si>
    <t>9425804656</t>
  </si>
  <si>
    <t>MR2602/0128</t>
  </si>
  <si>
    <t>220KV_220 kv Rewa-sidhi DCDS Line</t>
  </si>
  <si>
    <t>Modification &amp; Shifting of line</t>
  </si>
  <si>
    <t>21-02-2026 18:00:00</t>
  </si>
  <si>
    <t>Mr. Ajay Kumar Chaurasia</t>
  </si>
  <si>
    <t>9425805081</t>
  </si>
  <si>
    <t>MR2602/0127</t>
  </si>
  <si>
    <t>220KV_220 kv Rewa-Satna DCDS Line</t>
  </si>
  <si>
    <t>MR2602/0146</t>
  </si>
  <si>
    <t>132KV_132 KV SOUTHZONE -SATYASAI LINE</t>
  </si>
  <si>
    <t>132KV_SATYA SAI</t>
  </si>
  <si>
    <t>CONDUCTOR REPLACEMENT  WORK AND OTHER MAINTANANCE</t>
  </si>
  <si>
    <t>12-02-2026 07:00:00</t>
  </si>
  <si>
    <t>13-02-2026 17:30:00</t>
  </si>
  <si>
    <t>RAVINDRA PATIL</t>
  </si>
  <si>
    <t>9425801598</t>
  </si>
  <si>
    <t>MR2602/0056</t>
  </si>
  <si>
    <t>132KV_132kV Vidisha-Raisen Ckt-II</t>
  </si>
  <si>
    <t>220KV_VIDISHA</t>
  </si>
  <si>
    <t>For Modification/shifting work of line.</t>
  </si>
  <si>
    <t>05-02-2026 09:00:00</t>
  </si>
  <si>
    <t>25-02-2026 18:00:00</t>
  </si>
  <si>
    <t>Rajkumar Bhusare</t>
  </si>
  <si>
    <t>9425820042</t>
  </si>
  <si>
    <t>MR2602/0055</t>
  </si>
  <si>
    <t>132KV_132kV Vidisha-Gairatganj ckt</t>
  </si>
  <si>
    <t>For modification/shifing work of line.</t>
  </si>
  <si>
    <t>deferred</t>
  </si>
  <si>
    <t>ok, through sub ld</t>
  </si>
  <si>
    <t>ok</t>
  </si>
  <si>
    <t>o&amp;m consent required</t>
  </si>
  <si>
    <t>deferred, not in WR list</t>
  </si>
  <si>
    <t>real time</t>
  </si>
  <si>
    <t>shall be given after load management</t>
  </si>
  <si>
    <t>sub ld</t>
  </si>
  <si>
    <t>ok, through sub ld, line to be in service</t>
  </si>
  <si>
    <t>deferred due to s/d on 400KV SSTPH-Pithampur ckt -1, 2</t>
  </si>
  <si>
    <t>220KV-HOSHANGABAD-ITARSI-1</t>
  </si>
  <si>
    <t>220KV-MORENA-MORENA-MP-1</t>
  </si>
  <si>
    <t>220KV-SATNA-KOTAR-1</t>
  </si>
  <si>
    <t>FOR CT TAN DELTA MASUREMENT &amp; OTHER MAINTENANCE WORK</t>
  </si>
  <si>
    <t>FOR LINE MAINTENANCE WORK i.e. CLEANING OF DISC INSULATORS DURING LINE PATROLLING , REPLACEMENT OF FLASHOVERED DISC INSULATORS, TREE BRANCH CUTTING ETC AT VARIOUS TOWER LOCATIONS</t>
  </si>
  <si>
    <t>REAL TIME
All other lines from Hoshangabad to be in service. Load to be managed by SLDC MP. WR2 to be informed.</t>
  </si>
  <si>
    <t>REAL TIME
All other lines at Morena to be in service with AR enabled. No other element shall be effected. Morena to be informed. Load to be managed by SLDC MP</t>
  </si>
  <si>
    <t>REAL TIME
All other lines at 220KV Kotar to be in service. Load to be managed by SLDC MP.</t>
  </si>
  <si>
    <t>400KV/220KV SEONI-PG-ICT-1</t>
  </si>
  <si>
    <t>Outage could not be avalied on 03.02.2026 due to other major maintenace work at SS.</t>
  </si>
  <si>
    <t>SHALL BE REVIEWD IN REAL TIME AFTER 11.00 HRS,
EDSLDC MP consent to be taken. ICT-2,3 to be in service with complete dia. Load to be managed by SLDC MP in case of any contingency.</t>
  </si>
  <si>
    <t>12-02-2026 18:30:00</t>
  </si>
  <si>
    <t>WR-OCCM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</si>
</sst>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1010809]dd\-mm\-yyyy"/>
  </numFmts>
  <fonts count="8" x14ac:knownFonts="1">
    <font>
      <sz val="11"/>
      <color indexed="8"/>
      <name val="Calibri"/>
      <family val="2"/>
      <scheme val="minor"/>
    </font>
    <font>
      <b/>
      <sz val="10"/>
      <color rgb="FF000000"/>
      <name val="Arial"/>
      <family val="2"/>
    </font>
    <font>
      <b/>
      <sz val="12"/>
      <color rgb="FF000000"/>
      <name val="Arial"/>
      <family val="2"/>
    </font>
    <font>
      <sz val="11"/>
      <name val="Calibri"/>
      <family val="2"/>
    </font>
    <font>
      <sz val="10"/>
      <color rgb="FF000000"/>
      <name val="Arial"/>
      <family val="2"/>
    </font>
    <font>
      <b/>
      <sz val="18"/>
      <color rgb="FF000000"/>
      <name val="Arial"/>
      <family val="2"/>
    </font>
    <font>
      <sz val="11"/>
      <name val="Calibri"/>
      <family val="2"/>
      <scheme val="minor"/>
    </font>
    <font>
      <sz val="10"/>
      <name val="Calibri"/>
      <family val="2"/>
      <scheme val="minor"/>
    </font>
  </fonts>
  <fills count="4">
    <fill>
      <patternFill patternType="none"/>
    </fill>
    <fill>
      <patternFill patternType="gray125"/>
    </fill>
    <fill>
      <patternFill patternType="solid">
        <f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xf>
    <xf numFmtId="164" fontId="1" fillId="2" borderId="1" xfId="0" applyNumberFormat="1" applyFont="1" applyFill="1" applyBorder="1" applyAlignment="1">
      <alignment horizontal="center" vertical="center"/>
    </xf>
    <xf numFmtId="164" fontId="4"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0" fillId="0" borderId="0" xfId="0" applyAlignment="1">
      <alignment wrapText="1"/>
    </xf>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164" fontId="5" fillId="2" borderId="1" xfId="0" applyNumberFormat="1" applyFont="1" applyFill="1" applyBorder="1" applyAlignment="1">
      <alignment horizontal="center" vertical="center"/>
    </xf>
    <xf numFmtId="0" fontId="6" fillId="3" borderId="4"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6" fillId="3" borderId="4" xfId="0" applyFont="1" applyFill="1" applyBorder="1" applyAlignment="1">
      <alignment horizontal="left" vertical="center" wrapText="1"/>
    </xf>
    <xf numFmtId="0" fontId="1" fillId="2" borderId="1" xfId="0" quotePrefix="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195758</xdr:colOff>
      <xdr:row>1</xdr:row>
      <xdr:rowOff>3335</xdr:rowOff>
    </xdr:to>
    <xdr:pic>
      <xdr:nvPicPr>
        <xdr:cNvPr id="2" name="Picture 1"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605333" cy="55578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4"/>
  <sheetViews>
    <sheetView tabSelected="1" workbookViewId="0">
      <selection activeCell="H33" sqref="H33"/>
    </sheetView>
  </sheetViews>
  <sheetFormatPr defaultRowHeight="15" x14ac:dyDescent="0.25"/>
  <cols>
    <col min="1" max="1" width="6.140625" customWidth="1"/>
    <col min="2" max="2" width="11.140625" customWidth="1"/>
    <col min="3" max="3" width="7" customWidth="1"/>
    <col min="4" max="4" width="6.28515625" customWidth="1"/>
    <col min="5" max="5" width="31.85546875" style="5" customWidth="1"/>
    <col min="6" max="6" width="20" customWidth="1"/>
    <col min="7" max="7" width="9.85546875" customWidth="1"/>
    <col min="8" max="8" width="29.140625" customWidth="1"/>
    <col min="9" max="9" width="10.7109375" customWidth="1"/>
    <col min="10" max="10" width="10.42578125" customWidth="1"/>
    <col min="11" max="11" width="10" customWidth="1"/>
    <col min="12" max="12" width="6.140625" customWidth="1"/>
    <col min="13" max="13" width="46" style="5" customWidth="1"/>
  </cols>
  <sheetData>
    <row r="1" spans="1:13" ht="43.7" customHeight="1" x14ac:dyDescent="0.25">
      <c r="A1" s="1"/>
      <c r="B1" s="6" t="s">
        <v>0</v>
      </c>
      <c r="C1" s="7"/>
      <c r="D1" s="7"/>
      <c r="E1" s="7"/>
      <c r="F1" s="7"/>
      <c r="G1" s="7"/>
      <c r="H1" s="7"/>
      <c r="I1" s="7"/>
      <c r="J1" s="7"/>
      <c r="K1" s="7"/>
      <c r="L1" s="7"/>
      <c r="M1" s="8"/>
    </row>
    <row r="2" spans="1:13" ht="42" customHeight="1" x14ac:dyDescent="0.25">
      <c r="A2" s="4" t="s">
        <v>1</v>
      </c>
      <c r="B2" s="2">
        <v>46065</v>
      </c>
      <c r="C2" s="1"/>
      <c r="D2" s="1"/>
      <c r="E2" s="9">
        <v>46065</v>
      </c>
      <c r="F2" s="1"/>
      <c r="G2" s="1"/>
      <c r="H2" s="1"/>
      <c r="I2" s="1"/>
      <c r="J2" s="1"/>
      <c r="K2" s="1"/>
      <c r="L2" s="1"/>
      <c r="M2" s="4"/>
    </row>
    <row r="3" spans="1:13" ht="42" customHeight="1" x14ac:dyDescent="0.25">
      <c r="A3" s="4" t="s">
        <v>2</v>
      </c>
      <c r="B3" s="4" t="s">
        <v>3</v>
      </c>
      <c r="C3" s="4" t="s">
        <v>4</v>
      </c>
      <c r="D3" s="4" t="s">
        <v>3</v>
      </c>
      <c r="E3" s="4"/>
      <c r="F3" s="1"/>
      <c r="G3" s="1"/>
      <c r="H3" s="1"/>
      <c r="I3" s="1"/>
      <c r="J3" s="1"/>
      <c r="K3" s="1"/>
      <c r="L3" s="1"/>
      <c r="M3" s="4"/>
    </row>
    <row r="4" spans="1:13" ht="42" customHeight="1" x14ac:dyDescent="0.25">
      <c r="A4" s="4" t="s">
        <v>5</v>
      </c>
      <c r="B4" s="4" t="s">
        <v>6</v>
      </c>
      <c r="C4" s="4" t="s">
        <v>7</v>
      </c>
      <c r="D4" s="4" t="s">
        <v>8</v>
      </c>
      <c r="E4" s="4" t="s">
        <v>9</v>
      </c>
      <c r="F4" s="4" t="s">
        <v>10</v>
      </c>
      <c r="G4" s="4" t="s">
        <v>11</v>
      </c>
      <c r="H4" s="4" t="s">
        <v>12</v>
      </c>
      <c r="I4" s="4" t="s">
        <v>13</v>
      </c>
      <c r="J4" s="4" t="s">
        <v>14</v>
      </c>
      <c r="K4" s="4" t="s">
        <v>15</v>
      </c>
      <c r="L4" s="4"/>
      <c r="M4" s="4" t="s">
        <v>16</v>
      </c>
    </row>
    <row r="5" spans="1:13" ht="30.75" customHeight="1" x14ac:dyDescent="0.25">
      <c r="A5" s="4">
        <v>1</v>
      </c>
      <c r="B5" s="3">
        <v>46063.782581018517</v>
      </c>
      <c r="C5" s="4" t="s">
        <v>17</v>
      </c>
      <c r="D5" s="4" t="s">
        <v>18</v>
      </c>
      <c r="E5" s="4" t="s">
        <v>19</v>
      </c>
      <c r="F5" s="4" t="s">
        <v>20</v>
      </c>
      <c r="G5" s="4" t="s">
        <v>21</v>
      </c>
      <c r="H5" s="4" t="s">
        <v>22</v>
      </c>
      <c r="I5" s="4" t="s">
        <v>23</v>
      </c>
      <c r="J5" s="4" t="s">
        <v>24</v>
      </c>
      <c r="K5" s="4" t="s">
        <v>25</v>
      </c>
      <c r="L5" s="4" t="s">
        <v>26</v>
      </c>
      <c r="M5" s="4" t="s">
        <v>18</v>
      </c>
    </row>
    <row r="6" spans="1:13" ht="30.75" customHeight="1" x14ac:dyDescent="0.25">
      <c r="A6" s="4">
        <f>A5+1</f>
        <v>2</v>
      </c>
      <c r="B6" s="3">
        <v>46045.7030787037</v>
      </c>
      <c r="C6" s="4" t="s">
        <v>27</v>
      </c>
      <c r="D6" s="4" t="s">
        <v>28</v>
      </c>
      <c r="E6" s="4" t="s">
        <v>29</v>
      </c>
      <c r="F6" s="4" t="s">
        <v>30</v>
      </c>
      <c r="G6" s="4" t="s">
        <v>21</v>
      </c>
      <c r="H6" s="4" t="s">
        <v>31</v>
      </c>
      <c r="I6" s="4" t="s">
        <v>32</v>
      </c>
      <c r="J6" s="4" t="s">
        <v>33</v>
      </c>
      <c r="K6" s="4" t="s">
        <v>34</v>
      </c>
      <c r="L6" s="4" t="s">
        <v>35</v>
      </c>
      <c r="M6" s="4" t="s">
        <v>172</v>
      </c>
    </row>
    <row r="7" spans="1:13" ht="30.75" customHeight="1" x14ac:dyDescent="0.25">
      <c r="A7" s="4">
        <f t="shared" ref="A7:A28" si="0">A6+1</f>
        <v>3</v>
      </c>
      <c r="B7" s="3">
        <v>46045.703703703701</v>
      </c>
      <c r="C7" s="4" t="s">
        <v>36</v>
      </c>
      <c r="D7" s="4" t="s">
        <v>28</v>
      </c>
      <c r="E7" s="4" t="s">
        <v>37</v>
      </c>
      <c r="F7" s="4" t="s">
        <v>30</v>
      </c>
      <c r="G7" s="4" t="s">
        <v>21</v>
      </c>
      <c r="H7" s="4" t="s">
        <v>31</v>
      </c>
      <c r="I7" s="4" t="s">
        <v>32</v>
      </c>
      <c r="J7" s="4" t="s">
        <v>33</v>
      </c>
      <c r="K7" s="4" t="s">
        <v>34</v>
      </c>
      <c r="L7" s="4" t="s">
        <v>35</v>
      </c>
      <c r="M7" s="4" t="s">
        <v>172</v>
      </c>
    </row>
    <row r="8" spans="1:13" ht="30.75" customHeight="1" x14ac:dyDescent="0.25">
      <c r="A8" s="4">
        <f t="shared" si="0"/>
        <v>4</v>
      </c>
      <c r="B8" s="3">
        <v>46064.679050925923</v>
      </c>
      <c r="C8" s="4" t="s">
        <v>38</v>
      </c>
      <c r="D8" s="4"/>
      <c r="E8" s="4" t="s">
        <v>39</v>
      </c>
      <c r="F8" s="4" t="s">
        <v>40</v>
      </c>
      <c r="G8" s="4" t="s">
        <v>21</v>
      </c>
      <c r="H8" s="4" t="s">
        <v>41</v>
      </c>
      <c r="I8" s="4" t="s">
        <v>42</v>
      </c>
      <c r="J8" s="4" t="s">
        <v>43</v>
      </c>
      <c r="K8" s="4" t="s">
        <v>44</v>
      </c>
      <c r="L8" s="4" t="s">
        <v>45</v>
      </c>
      <c r="M8" s="4" t="s">
        <v>180</v>
      </c>
    </row>
    <row r="9" spans="1:13" ht="30.75" customHeight="1" x14ac:dyDescent="0.25">
      <c r="A9" s="4">
        <f t="shared" si="0"/>
        <v>5</v>
      </c>
      <c r="B9" s="3">
        <v>46064.560416666667</v>
      </c>
      <c r="C9" s="4" t="s">
        <v>46</v>
      </c>
      <c r="D9" s="4"/>
      <c r="E9" s="4" t="s">
        <v>47</v>
      </c>
      <c r="F9" s="4" t="s">
        <v>48</v>
      </c>
      <c r="G9" s="4" t="s">
        <v>21</v>
      </c>
      <c r="H9" s="4" t="s">
        <v>49</v>
      </c>
      <c r="I9" s="4" t="s">
        <v>50</v>
      </c>
      <c r="J9" s="4" t="s">
        <v>51</v>
      </c>
      <c r="K9" s="4" t="s">
        <v>52</v>
      </c>
      <c r="L9" s="4" t="s">
        <v>53</v>
      </c>
      <c r="M9" s="4" t="s">
        <v>181</v>
      </c>
    </row>
    <row r="10" spans="1:13" ht="30.75" customHeight="1" x14ac:dyDescent="0.25">
      <c r="A10" s="4">
        <f t="shared" si="0"/>
        <v>6</v>
      </c>
      <c r="B10" s="3">
        <v>46053.544224537036</v>
      </c>
      <c r="C10" s="4" t="s">
        <v>54</v>
      </c>
      <c r="D10" s="4"/>
      <c r="E10" s="4" t="s">
        <v>55</v>
      </c>
      <c r="F10" s="4" t="s">
        <v>48</v>
      </c>
      <c r="G10" s="4" t="s">
        <v>21</v>
      </c>
      <c r="H10" s="4" t="s">
        <v>56</v>
      </c>
      <c r="I10" s="4" t="s">
        <v>24</v>
      </c>
      <c r="J10" s="4" t="s">
        <v>51</v>
      </c>
      <c r="K10" s="4" t="s">
        <v>57</v>
      </c>
      <c r="L10" s="4" t="s">
        <v>58</v>
      </c>
      <c r="M10" s="4" t="s">
        <v>181</v>
      </c>
    </row>
    <row r="11" spans="1:13" ht="30.75" customHeight="1" x14ac:dyDescent="0.25">
      <c r="A11" s="4">
        <f t="shared" si="0"/>
        <v>7</v>
      </c>
      <c r="B11" s="3">
        <v>46051.550810185188</v>
      </c>
      <c r="C11" s="4" t="s">
        <v>59</v>
      </c>
      <c r="D11" s="4" t="s">
        <v>28</v>
      </c>
      <c r="E11" s="4" t="s">
        <v>60</v>
      </c>
      <c r="F11" s="4" t="s">
        <v>61</v>
      </c>
      <c r="G11" s="4" t="s">
        <v>21</v>
      </c>
      <c r="H11" s="4" t="s">
        <v>62</v>
      </c>
      <c r="I11" s="4" t="s">
        <v>63</v>
      </c>
      <c r="J11" s="4" t="s">
        <v>64</v>
      </c>
      <c r="K11" s="4" t="s">
        <v>65</v>
      </c>
      <c r="L11" s="4" t="s">
        <v>66</v>
      </c>
      <c r="M11" s="4" t="s">
        <v>173</v>
      </c>
    </row>
    <row r="12" spans="1:13" ht="30.75" customHeight="1" x14ac:dyDescent="0.25">
      <c r="A12" s="4">
        <f t="shared" si="0"/>
        <v>8</v>
      </c>
      <c r="B12" s="3">
        <v>46062.580393518518</v>
      </c>
      <c r="C12" s="4" t="s">
        <v>67</v>
      </c>
      <c r="D12" s="4" t="s">
        <v>28</v>
      </c>
      <c r="E12" s="4" t="s">
        <v>68</v>
      </c>
      <c r="F12" s="4" t="s">
        <v>69</v>
      </c>
      <c r="G12" s="4" t="s">
        <v>21</v>
      </c>
      <c r="H12" s="4" t="s">
        <v>70</v>
      </c>
      <c r="I12" s="4" t="s">
        <v>71</v>
      </c>
      <c r="J12" s="4" t="s">
        <v>64</v>
      </c>
      <c r="K12" s="4" t="s">
        <v>72</v>
      </c>
      <c r="L12" s="4" t="s">
        <v>73</v>
      </c>
      <c r="M12" s="4" t="s">
        <v>172</v>
      </c>
    </row>
    <row r="13" spans="1:13" ht="30.75" customHeight="1" x14ac:dyDescent="0.25">
      <c r="A13" s="4">
        <f t="shared" si="0"/>
        <v>9</v>
      </c>
      <c r="B13" s="3">
        <v>46050.577592592592</v>
      </c>
      <c r="C13" s="4" t="s">
        <v>76</v>
      </c>
      <c r="D13" s="4" t="s">
        <v>28</v>
      </c>
      <c r="E13" s="4" t="s">
        <v>77</v>
      </c>
      <c r="F13" s="4" t="s">
        <v>74</v>
      </c>
      <c r="G13" s="4" t="s">
        <v>21</v>
      </c>
      <c r="H13" s="4" t="s">
        <v>78</v>
      </c>
      <c r="I13" s="4" t="s">
        <v>79</v>
      </c>
      <c r="J13" s="4" t="s">
        <v>80</v>
      </c>
      <c r="K13" s="4" t="s">
        <v>81</v>
      </c>
      <c r="L13" s="4" t="s">
        <v>75</v>
      </c>
      <c r="M13" s="4" t="s">
        <v>174</v>
      </c>
    </row>
    <row r="14" spans="1:13" ht="30.75" customHeight="1" x14ac:dyDescent="0.25">
      <c r="A14" s="4">
        <f t="shared" si="0"/>
        <v>10</v>
      </c>
      <c r="B14" s="3">
        <v>46063.500092592592</v>
      </c>
      <c r="C14" s="4" t="s">
        <v>82</v>
      </c>
      <c r="D14" s="4"/>
      <c r="E14" s="4" t="s">
        <v>83</v>
      </c>
      <c r="F14" s="4" t="s">
        <v>84</v>
      </c>
      <c r="G14" s="4" t="s">
        <v>21</v>
      </c>
      <c r="H14" s="4" t="s">
        <v>85</v>
      </c>
      <c r="I14" s="4" t="s">
        <v>50</v>
      </c>
      <c r="J14" s="4" t="s">
        <v>51</v>
      </c>
      <c r="K14" s="4" t="s">
        <v>86</v>
      </c>
      <c r="L14" s="4" t="s">
        <v>87</v>
      </c>
      <c r="M14" s="4" t="s">
        <v>175</v>
      </c>
    </row>
    <row r="15" spans="1:13" ht="30.75" customHeight="1" x14ac:dyDescent="0.25">
      <c r="A15" s="4">
        <f t="shared" si="0"/>
        <v>11</v>
      </c>
      <c r="B15" s="3">
        <v>46064.634548611109</v>
      </c>
      <c r="C15" s="4" t="s">
        <v>88</v>
      </c>
      <c r="D15" s="4"/>
      <c r="E15" s="4" t="s">
        <v>89</v>
      </c>
      <c r="F15" s="4" t="s">
        <v>90</v>
      </c>
      <c r="G15" s="4" t="s">
        <v>21</v>
      </c>
      <c r="H15" s="4" t="s">
        <v>91</v>
      </c>
      <c r="I15" s="4" t="s">
        <v>24</v>
      </c>
      <c r="J15" s="4" t="s">
        <v>92</v>
      </c>
      <c r="K15" s="4" t="s">
        <v>93</v>
      </c>
      <c r="L15" s="4" t="s">
        <v>94</v>
      </c>
      <c r="M15" s="4" t="s">
        <v>175</v>
      </c>
    </row>
    <row r="16" spans="1:13" ht="30.75" customHeight="1" x14ac:dyDescent="0.25">
      <c r="A16" s="4">
        <f t="shared" si="0"/>
        <v>12</v>
      </c>
      <c r="B16" s="3">
        <v>46064.569386574076</v>
      </c>
      <c r="C16" s="4" t="s">
        <v>95</v>
      </c>
      <c r="D16" s="4"/>
      <c r="E16" s="4" t="s">
        <v>96</v>
      </c>
      <c r="F16" s="4" t="s">
        <v>97</v>
      </c>
      <c r="G16" s="4" t="s">
        <v>98</v>
      </c>
      <c r="H16" s="4" t="s">
        <v>99</v>
      </c>
      <c r="I16" s="4" t="s">
        <v>100</v>
      </c>
      <c r="J16" s="4" t="s">
        <v>101</v>
      </c>
      <c r="K16" s="4" t="s">
        <v>102</v>
      </c>
      <c r="L16" s="4" t="s">
        <v>103</v>
      </c>
      <c r="M16" s="4" t="s">
        <v>175</v>
      </c>
    </row>
    <row r="17" spans="1:13" ht="30.75" customHeight="1" x14ac:dyDescent="0.25">
      <c r="A17" s="4">
        <f t="shared" si="0"/>
        <v>13</v>
      </c>
      <c r="B17" s="3">
        <v>46064.598796296297</v>
      </c>
      <c r="C17" s="4" t="s">
        <v>104</v>
      </c>
      <c r="D17" s="4"/>
      <c r="E17" s="4" t="s">
        <v>105</v>
      </c>
      <c r="F17" s="4" t="s">
        <v>106</v>
      </c>
      <c r="G17" s="4" t="s">
        <v>21</v>
      </c>
      <c r="H17" s="4" t="s">
        <v>107</v>
      </c>
      <c r="I17" s="4" t="s">
        <v>100</v>
      </c>
      <c r="J17" s="4" t="s">
        <v>92</v>
      </c>
      <c r="K17" s="4" t="s">
        <v>108</v>
      </c>
      <c r="L17" s="4" t="s">
        <v>109</v>
      </c>
      <c r="M17" s="4" t="s">
        <v>174</v>
      </c>
    </row>
    <row r="18" spans="1:13" ht="30.75" customHeight="1" x14ac:dyDescent="0.25">
      <c r="A18" s="4">
        <f t="shared" si="0"/>
        <v>14</v>
      </c>
      <c r="B18" s="3">
        <v>46064.680023148147</v>
      </c>
      <c r="C18" s="4" t="s">
        <v>110</v>
      </c>
      <c r="D18" s="4"/>
      <c r="E18" s="4" t="s">
        <v>111</v>
      </c>
      <c r="F18" s="4" t="s">
        <v>112</v>
      </c>
      <c r="G18" s="4" t="s">
        <v>21</v>
      </c>
      <c r="H18" s="4" t="s">
        <v>113</v>
      </c>
      <c r="I18" s="4" t="s">
        <v>100</v>
      </c>
      <c r="J18" s="4" t="s">
        <v>92</v>
      </c>
      <c r="K18" s="4" t="s">
        <v>114</v>
      </c>
      <c r="L18" s="4" t="s">
        <v>115</v>
      </c>
      <c r="M18" s="4" t="s">
        <v>172</v>
      </c>
    </row>
    <row r="19" spans="1:13" ht="30.75" customHeight="1" x14ac:dyDescent="0.25">
      <c r="A19" s="4">
        <f t="shared" si="0"/>
        <v>15</v>
      </c>
      <c r="B19" s="3">
        <v>46037.647418981483</v>
      </c>
      <c r="C19" s="4" t="s">
        <v>116</v>
      </c>
      <c r="D19" s="4"/>
      <c r="E19" s="4" t="s">
        <v>117</v>
      </c>
      <c r="F19" s="4" t="s">
        <v>118</v>
      </c>
      <c r="G19" s="4" t="s">
        <v>98</v>
      </c>
      <c r="H19" s="4" t="s">
        <v>119</v>
      </c>
      <c r="I19" s="4" t="s">
        <v>42</v>
      </c>
      <c r="J19" s="4" t="s">
        <v>51</v>
      </c>
      <c r="K19" s="4" t="s">
        <v>120</v>
      </c>
      <c r="L19" s="4" t="s">
        <v>121</v>
      </c>
      <c r="M19" s="4" t="s">
        <v>181</v>
      </c>
    </row>
    <row r="20" spans="1:13" ht="30.75" customHeight="1" x14ac:dyDescent="0.25">
      <c r="A20" s="4">
        <f t="shared" si="0"/>
        <v>16</v>
      </c>
      <c r="B20" s="3">
        <v>46007.832037037035</v>
      </c>
      <c r="C20" s="4" t="s">
        <v>122</v>
      </c>
      <c r="D20" s="4"/>
      <c r="E20" s="4" t="s">
        <v>123</v>
      </c>
      <c r="F20" s="4" t="s">
        <v>118</v>
      </c>
      <c r="G20" s="4" t="s">
        <v>98</v>
      </c>
      <c r="H20" s="4" t="s">
        <v>124</v>
      </c>
      <c r="I20" s="4" t="s">
        <v>42</v>
      </c>
      <c r="J20" s="4" t="s">
        <v>51</v>
      </c>
      <c r="K20" s="4" t="s">
        <v>120</v>
      </c>
      <c r="L20" s="4" t="s">
        <v>121</v>
      </c>
      <c r="M20" s="4" t="s">
        <v>176</v>
      </c>
    </row>
    <row r="21" spans="1:13" ht="30.75" customHeight="1" x14ac:dyDescent="0.25">
      <c r="A21" s="4">
        <f t="shared" si="0"/>
        <v>17</v>
      </c>
      <c r="B21" s="3">
        <v>46052.838275462964</v>
      </c>
      <c r="C21" s="4" t="s">
        <v>125</v>
      </c>
      <c r="D21" s="4" t="s">
        <v>18</v>
      </c>
      <c r="E21" s="4" t="s">
        <v>126</v>
      </c>
      <c r="F21" s="4" t="s">
        <v>118</v>
      </c>
      <c r="G21" s="4" t="s">
        <v>21</v>
      </c>
      <c r="H21" s="4" t="s">
        <v>127</v>
      </c>
      <c r="I21" s="4" t="s">
        <v>32</v>
      </c>
      <c r="J21" s="4" t="s">
        <v>128</v>
      </c>
      <c r="K21" s="4" t="s">
        <v>129</v>
      </c>
      <c r="L21" s="4" t="s">
        <v>130</v>
      </c>
      <c r="M21" s="4" t="s">
        <v>18</v>
      </c>
    </row>
    <row r="22" spans="1:13" ht="30.75" customHeight="1" x14ac:dyDescent="0.25">
      <c r="A22" s="4">
        <f t="shared" si="0"/>
        <v>18</v>
      </c>
      <c r="B22" s="3">
        <v>46064.605370370373</v>
      </c>
      <c r="C22" s="4" t="s">
        <v>131</v>
      </c>
      <c r="D22" s="4"/>
      <c r="E22" s="4" t="s">
        <v>132</v>
      </c>
      <c r="F22" s="4" t="s">
        <v>118</v>
      </c>
      <c r="G22" s="4" t="s">
        <v>21</v>
      </c>
      <c r="H22" s="4" t="s">
        <v>133</v>
      </c>
      <c r="I22" s="4" t="s">
        <v>134</v>
      </c>
      <c r="J22" s="4" t="s">
        <v>92</v>
      </c>
      <c r="K22" s="4" t="s">
        <v>135</v>
      </c>
      <c r="L22" s="4" t="s">
        <v>121</v>
      </c>
      <c r="M22" s="4" t="s">
        <v>177</v>
      </c>
    </row>
    <row r="23" spans="1:13" ht="30.75" customHeight="1" x14ac:dyDescent="0.25">
      <c r="A23" s="4">
        <f t="shared" si="0"/>
        <v>19</v>
      </c>
      <c r="B23" s="3">
        <v>46052.636863425927</v>
      </c>
      <c r="C23" s="4" t="s">
        <v>136</v>
      </c>
      <c r="D23" s="4" t="s">
        <v>18</v>
      </c>
      <c r="E23" s="4" t="s">
        <v>137</v>
      </c>
      <c r="F23" s="4" t="s">
        <v>118</v>
      </c>
      <c r="G23" s="4" t="s">
        <v>21</v>
      </c>
      <c r="H23" s="4" t="s">
        <v>127</v>
      </c>
      <c r="I23" s="4" t="s">
        <v>32</v>
      </c>
      <c r="J23" s="4" t="s">
        <v>128</v>
      </c>
      <c r="K23" s="4" t="s">
        <v>129</v>
      </c>
      <c r="L23" s="4" t="s">
        <v>130</v>
      </c>
      <c r="M23" s="4" t="s">
        <v>18</v>
      </c>
    </row>
    <row r="24" spans="1:13" ht="30.75" customHeight="1" x14ac:dyDescent="0.25">
      <c r="A24" s="4">
        <f t="shared" si="0"/>
        <v>20</v>
      </c>
      <c r="B24" s="3">
        <v>46064.549421296295</v>
      </c>
      <c r="C24" s="4" t="s">
        <v>138</v>
      </c>
      <c r="D24" s="4"/>
      <c r="E24" s="4" t="s">
        <v>139</v>
      </c>
      <c r="F24" s="4" t="s">
        <v>140</v>
      </c>
      <c r="G24" s="4" t="s">
        <v>21</v>
      </c>
      <c r="H24" s="4" t="s">
        <v>141</v>
      </c>
      <c r="I24" s="4" t="s">
        <v>142</v>
      </c>
      <c r="J24" s="4" t="s">
        <v>43</v>
      </c>
      <c r="K24" s="4" t="s">
        <v>143</v>
      </c>
      <c r="L24" s="4" t="s">
        <v>144</v>
      </c>
      <c r="M24" s="4" t="s">
        <v>178</v>
      </c>
    </row>
    <row r="25" spans="1:13" ht="30.75" customHeight="1" x14ac:dyDescent="0.25">
      <c r="A25" s="4">
        <f t="shared" si="0"/>
        <v>21</v>
      </c>
      <c r="B25" s="3">
        <v>46062.740567129629</v>
      </c>
      <c r="C25" s="4" t="s">
        <v>145</v>
      </c>
      <c r="D25" s="4" t="s">
        <v>18</v>
      </c>
      <c r="E25" s="4" t="s">
        <v>146</v>
      </c>
      <c r="F25" s="4" t="s">
        <v>140</v>
      </c>
      <c r="G25" s="4" t="s">
        <v>21</v>
      </c>
      <c r="H25" s="4" t="s">
        <v>147</v>
      </c>
      <c r="I25" s="4" t="s">
        <v>23</v>
      </c>
      <c r="J25" s="4" t="s">
        <v>148</v>
      </c>
      <c r="K25" s="4" t="s">
        <v>149</v>
      </c>
      <c r="L25" s="4" t="s">
        <v>150</v>
      </c>
      <c r="M25" s="4" t="s">
        <v>18</v>
      </c>
    </row>
    <row r="26" spans="1:13" ht="30.75" customHeight="1" x14ac:dyDescent="0.25">
      <c r="A26" s="4">
        <f t="shared" si="0"/>
        <v>22</v>
      </c>
      <c r="B26" s="3">
        <v>46062.738796296297</v>
      </c>
      <c r="C26" s="4" t="s">
        <v>151</v>
      </c>
      <c r="D26" s="4" t="s">
        <v>18</v>
      </c>
      <c r="E26" s="4" t="s">
        <v>152</v>
      </c>
      <c r="F26" s="4" t="s">
        <v>140</v>
      </c>
      <c r="G26" s="4" t="s">
        <v>21</v>
      </c>
      <c r="H26" s="4" t="s">
        <v>147</v>
      </c>
      <c r="I26" s="4" t="s">
        <v>23</v>
      </c>
      <c r="J26" s="4" t="s">
        <v>148</v>
      </c>
      <c r="K26" s="4" t="s">
        <v>149</v>
      </c>
      <c r="L26" s="4" t="s">
        <v>150</v>
      </c>
      <c r="M26" s="4" t="s">
        <v>18</v>
      </c>
    </row>
    <row r="27" spans="1:13" ht="30.75" customHeight="1" x14ac:dyDescent="0.25">
      <c r="A27" s="4">
        <f t="shared" si="0"/>
        <v>23</v>
      </c>
      <c r="B27" s="3">
        <v>46063.628159722219</v>
      </c>
      <c r="C27" s="4" t="s">
        <v>153</v>
      </c>
      <c r="D27" s="4" t="s">
        <v>28</v>
      </c>
      <c r="E27" s="4" t="s">
        <v>154</v>
      </c>
      <c r="F27" s="4" t="s">
        <v>155</v>
      </c>
      <c r="G27" s="4" t="s">
        <v>21</v>
      </c>
      <c r="H27" s="4" t="s">
        <v>156</v>
      </c>
      <c r="I27" s="4" t="s">
        <v>157</v>
      </c>
      <c r="J27" s="4" t="s">
        <v>158</v>
      </c>
      <c r="K27" s="4" t="s">
        <v>159</v>
      </c>
      <c r="L27" s="4" t="s">
        <v>160</v>
      </c>
      <c r="M27" s="4" t="s">
        <v>179</v>
      </c>
    </row>
    <row r="28" spans="1:13" ht="30.75" customHeight="1" x14ac:dyDescent="0.25">
      <c r="A28" s="4">
        <f t="shared" ref="A28:A33" si="1">A27+1</f>
        <v>24</v>
      </c>
      <c r="B28" s="3">
        <v>46057.622071759259</v>
      </c>
      <c r="C28" s="4" t="s">
        <v>161</v>
      </c>
      <c r="D28" s="4" t="s">
        <v>18</v>
      </c>
      <c r="E28" s="4" t="s">
        <v>162</v>
      </c>
      <c r="F28" s="4" t="s">
        <v>163</v>
      </c>
      <c r="G28" s="4" t="s">
        <v>21</v>
      </c>
      <c r="H28" s="4" t="s">
        <v>164</v>
      </c>
      <c r="I28" s="4" t="s">
        <v>165</v>
      </c>
      <c r="J28" s="4" t="s">
        <v>166</v>
      </c>
      <c r="K28" s="4" t="s">
        <v>167</v>
      </c>
      <c r="L28" s="4" t="s">
        <v>168</v>
      </c>
      <c r="M28" s="4" t="s">
        <v>179</v>
      </c>
    </row>
    <row r="29" spans="1:13" ht="30.75" customHeight="1" x14ac:dyDescent="0.25">
      <c r="A29" s="4">
        <f t="shared" si="1"/>
        <v>25</v>
      </c>
      <c r="B29" s="3">
        <v>46057.618946759256</v>
      </c>
      <c r="C29" s="4" t="s">
        <v>169</v>
      </c>
      <c r="D29" s="4" t="s">
        <v>18</v>
      </c>
      <c r="E29" s="4" t="s">
        <v>170</v>
      </c>
      <c r="F29" s="4" t="s">
        <v>163</v>
      </c>
      <c r="G29" s="4" t="s">
        <v>21</v>
      </c>
      <c r="H29" s="4" t="s">
        <v>171</v>
      </c>
      <c r="I29" s="4" t="s">
        <v>165</v>
      </c>
      <c r="J29" s="4" t="s">
        <v>166</v>
      </c>
      <c r="K29" s="4" t="s">
        <v>167</v>
      </c>
      <c r="L29" s="4" t="s">
        <v>168</v>
      </c>
      <c r="M29" s="4" t="s">
        <v>179</v>
      </c>
    </row>
    <row r="30" spans="1:13" ht="50.25" customHeight="1" x14ac:dyDescent="0.25">
      <c r="A30" s="4">
        <f t="shared" si="1"/>
        <v>26</v>
      </c>
      <c r="B30" s="3"/>
      <c r="C30" s="10">
        <v>287098</v>
      </c>
      <c r="D30" s="4"/>
      <c r="E30" s="10" t="s">
        <v>182</v>
      </c>
      <c r="F30" s="4"/>
      <c r="G30" s="4" t="s">
        <v>194</v>
      </c>
      <c r="H30" s="11" t="s">
        <v>185</v>
      </c>
      <c r="I30" s="13" t="s">
        <v>42</v>
      </c>
      <c r="J30" s="4" t="s">
        <v>92</v>
      </c>
      <c r="K30" s="4"/>
      <c r="L30" s="4"/>
      <c r="M30" s="12" t="s">
        <v>187</v>
      </c>
    </row>
    <row r="31" spans="1:13" ht="77.25" customHeight="1" x14ac:dyDescent="0.25">
      <c r="A31" s="4">
        <f t="shared" si="1"/>
        <v>27</v>
      </c>
      <c r="B31" s="3"/>
      <c r="C31" s="10">
        <v>287099</v>
      </c>
      <c r="D31" s="4"/>
      <c r="E31" s="10" t="s">
        <v>183</v>
      </c>
      <c r="F31" s="4"/>
      <c r="G31" s="4" t="s">
        <v>194</v>
      </c>
      <c r="H31" s="11" t="s">
        <v>186</v>
      </c>
      <c r="I31" s="13" t="s">
        <v>50</v>
      </c>
      <c r="J31" s="4" t="s">
        <v>92</v>
      </c>
      <c r="K31" s="4"/>
      <c r="L31" s="4"/>
      <c r="M31" s="12" t="s">
        <v>188</v>
      </c>
    </row>
    <row r="32" spans="1:13" ht="66" customHeight="1" x14ac:dyDescent="0.25">
      <c r="A32" s="4">
        <f t="shared" si="1"/>
        <v>28</v>
      </c>
      <c r="B32" s="3"/>
      <c r="C32" s="10">
        <v>287100</v>
      </c>
      <c r="D32" s="4"/>
      <c r="E32" s="10" t="s">
        <v>184</v>
      </c>
      <c r="F32" s="4"/>
      <c r="G32" s="4" t="s">
        <v>194</v>
      </c>
      <c r="H32" s="11" t="s">
        <v>186</v>
      </c>
      <c r="I32" s="13" t="s">
        <v>42</v>
      </c>
      <c r="J32" s="4" t="s">
        <v>92</v>
      </c>
      <c r="K32" s="4"/>
      <c r="L32" s="4"/>
      <c r="M32" s="12" t="s">
        <v>189</v>
      </c>
    </row>
    <row r="33" spans="1:13" ht="67.5" customHeight="1" x14ac:dyDescent="0.25">
      <c r="A33" s="4">
        <f t="shared" si="1"/>
        <v>29</v>
      </c>
      <c r="B33" s="3"/>
      <c r="C33" s="10">
        <v>290527</v>
      </c>
      <c r="D33" s="4"/>
      <c r="E33" s="10" t="s">
        <v>190</v>
      </c>
      <c r="F33" s="4"/>
      <c r="G33" s="4" t="s">
        <v>194</v>
      </c>
      <c r="H33" s="11" t="s">
        <v>191</v>
      </c>
      <c r="I33" s="13" t="s">
        <v>24</v>
      </c>
      <c r="J33" s="13" t="s">
        <v>193</v>
      </c>
      <c r="K33" s="4"/>
      <c r="L33" s="4"/>
      <c r="M33" s="12" t="s">
        <v>192</v>
      </c>
    </row>
    <row r="34" spans="1:13" ht="20.25" customHeight="1" x14ac:dyDescent="0.25">
      <c r="A34" s="4"/>
      <c r="B34" s="3"/>
      <c r="C34" s="4"/>
      <c r="D34" s="4"/>
      <c r="E34" s="4"/>
      <c r="F34" s="4"/>
      <c r="G34" s="4"/>
      <c r="H34" s="4"/>
      <c r="I34" s="4"/>
      <c r="J34" s="4"/>
      <c r="K34" s="4"/>
      <c r="L34" s="4"/>
      <c r="M34" s="4"/>
    </row>
  </sheetData>
  <mergeCells count="1">
    <mergeCell ref="B1:M1"/>
  </mergeCells>
  <pageMargins left="3.937007874015748E-2" right="3.937007874015748E-2" top="3.937007874015748E-2" bottom="3.937007874015748E-2" header="3.937007874015748E-2" footer="3.937007874015748E-2"/>
  <pageSetup paperSize="9" scale="7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Sheet0</vt:lpstr>
      <vt:lpstr>__bookmark_1</vt:lpstr>
      <vt:lpstr>Sheet0!Print_Area</vt:lpstr>
      <vt:lpstr>Sheet0!Print_Titles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DELL</cp:lastModifiedBy>
  <cp:lastPrinted>2026-02-11T13:54:55Z</cp:lastPrinted>
  <dcterms:created xsi:type="dcterms:W3CDTF">2026-02-11T12:03:13Z</dcterms:created>
  <dcterms:modified xsi:type="dcterms:W3CDTF">2026-02-11T13:57:23Z</dcterms:modified>
</cp:coreProperties>
</file>
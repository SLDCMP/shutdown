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" i="1" l="1"/>
  <c r="A21" i="1"/>
  <c r="A22" i="1"/>
  <c r="A23" i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6" i="1"/>
</calcChain>
</file>

<file path=xl/sharedStrings.xml><?xml version="1.0" encoding="utf-8"?>
<sst xmlns="http://schemas.openxmlformats.org/spreadsheetml/2006/main" count="193" uniqueCount="134">
  <si>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</si>
  <si>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</si>
  <si>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</si>
  <si>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</si>
  <si>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</si>
  <si>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</si>
  <si>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</si>
  <si>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</si>
  <si>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</si>
  <si>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</si>
  <si>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</si>
  <si>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</si>
  <si>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</si>
  <si>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</si>
  <si>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</si>
  <si>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</si>
  <si>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</si>
  <si>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MR2601/0016</t>
  </si>
  <si>
    <t>132KV_132 kV Anuppur-Kotma Circuit II</t>
  </si>
  <si>
    <t>220KV_ANUPPUR</t>
  </si>
  <si>
    <t>NON-OCCM-MP</t>
  </si>
  <si>
    <t>For Jumper cone tightening &amp; other line maint.</t>
  </si>
  <si>
    <t>03-01-2026 10:00:00</t>
  </si>
  <si>
    <t>03-01-2026 17:00:00</t>
  </si>
  <si>
    <t>Jitendra Tiwari</t>
  </si>
  <si>
    <t>9425805298</t>
  </si>
  <si>
    <t>MR2512/0593</t>
  </si>
  <si>
    <t>Continuous</t>
  </si>
  <si>
    <t>400KV_400kV Bhopal Bina Ckt-II</t>
  </si>
  <si>
    <t>400KV_BHOPAL4</t>
  </si>
  <si>
    <t>For restoration work.</t>
  </si>
  <si>
    <t>02-01-2026 09:00:00</t>
  </si>
  <si>
    <t>03-01-2026 18:00:00</t>
  </si>
  <si>
    <t>Rajkumar bhusare</t>
  </si>
  <si>
    <t>9425820042</t>
  </si>
  <si>
    <t>MR2601/0017</t>
  </si>
  <si>
    <t>220KV_220kV Bhopal Vidisha Ckt</t>
  </si>
  <si>
    <t>For Modification/shifting work.</t>
  </si>
  <si>
    <t>03-01-2026 09:00:00</t>
  </si>
  <si>
    <t>04-01-2026 18:00:00</t>
  </si>
  <si>
    <t>Rajkumar Bhusare</t>
  </si>
  <si>
    <t>400KV_315MVA_400/220KV_EMCO_Xmer_I</t>
  </si>
  <si>
    <t>400KV_BINA4</t>
  </si>
  <si>
    <t>Xmer &amp; Bus-Reactor Tie panel relay Testing</t>
  </si>
  <si>
    <t>Permanand Namdeo</t>
  </si>
  <si>
    <t>7587951092</t>
  </si>
  <si>
    <t>MR2601/0011</t>
  </si>
  <si>
    <t>MR2601/0018</t>
  </si>
  <si>
    <t>132KV_132 KV ICHHAWAR WANEEP SOLAR PLANT</t>
  </si>
  <si>
    <t>132KV_ICHHAWAR</t>
  </si>
  <si>
    <t>BIRD GUARD PROVIDING WORK</t>
  </si>
  <si>
    <t>03-01-2026 15:00:00</t>
  </si>
  <si>
    <t>NITIN RESHWAL</t>
  </si>
  <si>
    <t>9425804890</t>
  </si>
  <si>
    <t>MR2601/0013</t>
  </si>
  <si>
    <t>Daily</t>
  </si>
  <si>
    <t>132KV_132 KV NORTHZONE (INDORE) - CHAMBAL CKT-2  LINE</t>
  </si>
  <si>
    <t>132KV_INDORE CHAMBAL</t>
  </si>
  <si>
    <t>CONDUCTOR REPLACEMENT AND OTHER MAINTANANCE WORK.</t>
  </si>
  <si>
    <t>02-01-2026 21:00:00</t>
  </si>
  <si>
    <t>03-01-2026 06:00:00</t>
  </si>
  <si>
    <t>RAVINDRA PATIL</t>
  </si>
  <si>
    <t>8305612190</t>
  </si>
  <si>
    <t>MR2601/0012</t>
  </si>
  <si>
    <t>132KV_132 KV NORTHZONE (INDORE) - CHAMBAL CKT-1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</si>
  <si>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</si>
  <si>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</si>
  <si>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</si>
  <si>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</si>
  <si>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</si>
  <si>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</si>
  <si>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</si>
  <si>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</si>
  <si>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</si>
  <si>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</si>
  <si>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22-01-2026 18:00:00</t>
  </si>
  <si>
    <t>pankaj yadav</t>
  </si>
  <si>
    <t>9406713326</t>
  </si>
  <si>
    <t>MR2510/0729</t>
  </si>
  <si>
    <t>29-12-2025 09:00:00</t>
  </si>
  <si>
    <t>MR2510/0738</t>
  </si>
  <si>
    <t>M.M.BAIG</t>
  </si>
  <si>
    <t>MR2512/0372</t>
  </si>
  <si>
    <t>220KV_220  kv Satna (PGCIL)  â¿¿  Kotar  line</t>
  </si>
  <si>
    <t>220KV_KOTAR</t>
  </si>
  <si>
    <t>OPGW work</t>
  </si>
  <si>
    <t>Mr. R.K.Prajapati</t>
  </si>
  <si>
    <t>9407070182</t>
  </si>
  <si>
    <t>MR2601/0014</t>
  </si>
  <si>
    <t>132KV_132 kv Mauganj â¿¿Katra DCSS line</t>
  </si>
  <si>
    <t>132KV_MAUGANJ</t>
  </si>
  <si>
    <t>flashover disc insulator string replacement</t>
  </si>
  <si>
    <t>Mr. Ajay Kumar Chaurasia</t>
  </si>
  <si>
    <t>9425805081</t>
  </si>
  <si>
    <t>MR2601/0015</t>
  </si>
  <si>
    <t>132KV_132kV Rampur Naikin - Beohari Ckt</t>
  </si>
  <si>
    <t>132KV_RAMPUR NAIKEN</t>
  </si>
  <si>
    <t>Tension Tower Disc String Replacement Work.</t>
  </si>
  <si>
    <t>G.L Sahu</t>
  </si>
  <si>
    <t>9425805102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</si>
  <si>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</si>
  <si>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</si>
  <si>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</si>
  <si>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</si>
  <si>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</si>
  <si>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</si>
  <si>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</si>
  <si>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</si>
  <si>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</si>
  <si>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</si>
  <si>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</si>
  <si>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</si>
  <si>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</si>
  <si>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</si>
  <si>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</si>
  <si>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MR2512/0233</t>
  </si>
  <si>
    <t>ok</t>
  </si>
  <si>
    <t>deferred, not approved by WRPC</t>
  </si>
  <si>
    <t>deferred due to s/d on 220kV Bhopal Vidisha Ckt</t>
  </si>
  <si>
    <t>sub ld</t>
  </si>
  <si>
    <t>deferred</t>
  </si>
  <si>
    <t>ok, line to be in service</t>
  </si>
  <si>
    <t>ok, after restoration of 220kv bus s/d at Bhopal,  EI approval required while restoration</t>
  </si>
  <si>
    <t>ITARSI - 220KV - BUS 2</t>
  </si>
  <si>
    <t>220KV-SATNA-KOTAR-1</t>
  </si>
  <si>
    <t>03-Jan-2026</t>
  </si>
  <si>
    <t>09:00</t>
  </si>
  <si>
    <t>18:00</t>
  </si>
  <si>
    <t>10:00</t>
  </si>
  <si>
    <t>17:00</t>
  </si>
  <si>
    <t>POWERGRID_WR2</t>
  </si>
  <si>
    <t>MP_SLDC</t>
  </si>
  <si>
    <t>Isolator 204-89B Arm Replacement &amp; Hot Spot attending works</t>
  </si>
  <si>
    <t>FOR LINE MAINTENANCE WORK i.e. CLEANING OF DISC INSULATORS DURING LINE PATROLLING , REPLACEMENT OF FLASHOVERED DISC INSULATORS, TREE BRANCH CUTTING ETC AT VARIOUS TOWER 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</si>
</sst>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2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L24" sqref="L24"/>
    </sheetView>
  </sheetViews>
  <sheetFormatPr defaultRowHeight="15.75"/>
  <cols>
    <col min="1" max="1" width="9.140625" style="6"/>
    <col min="2" max="2" width="11.140625" style="6" customWidth="1"/>
    <col min="3" max="3" width="13.42578125" style="6" customWidth="1"/>
    <col min="4" max="4" width="11" style="6" customWidth="1"/>
    <col min="5" max="5" width="51" style="30" customWidth="1"/>
    <col min="6" max="6" width="25.85546875" style="30" customWidth="1"/>
    <col min="7" max="7" width="11.7109375" style="6" customWidth="1"/>
    <col min="8" max="8" width="49.85546875" style="30" customWidth="1"/>
    <col min="9" max="9" width="10.85546875" style="6" customWidth="1"/>
    <col min="10" max="10" width="11" style="6" customWidth="1"/>
    <col min="11" max="11" width="13.140625" style="6" customWidth="1"/>
    <col min="12" max="12" width="6.42578125" style="6" customWidth="1"/>
    <col min="13" max="13" width="39.7109375" style="30" customWidth="1"/>
    <col min="14" max="16384" width="9.140625" style="6"/>
  </cols>
  <sheetData>
    <row r="1" spans="1:13" ht="43.7" customHeight="1">
      <c r="A1" s="3"/>
      <c r="B1" s="1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13" ht="42" customHeight="1">
      <c r="A2" s="3" t="s">
        <v>1</v>
      </c>
      <c r="B2" s="7">
        <v>46025</v>
      </c>
      <c r="C2" s="3"/>
      <c r="D2" s="3"/>
      <c r="E2" s="24"/>
      <c r="F2" s="24"/>
      <c r="G2" s="3"/>
      <c r="H2" s="24"/>
      <c r="I2" s="3"/>
      <c r="J2" s="3"/>
      <c r="K2" s="3"/>
      <c r="L2" s="3"/>
      <c r="M2" s="24"/>
    </row>
    <row r="3" spans="1:13" ht="42" customHeight="1">
      <c r="A3" s="8" t="s">
        <v>2</v>
      </c>
      <c r="B3" s="8" t="s">
        <v>3</v>
      </c>
      <c r="C3" s="8" t="s">
        <v>4</v>
      </c>
      <c r="D3" s="8" t="s">
        <v>3</v>
      </c>
      <c r="E3" s="24"/>
      <c r="F3" s="24"/>
      <c r="G3" s="3"/>
      <c r="H3" s="24"/>
      <c r="I3" s="3"/>
      <c r="J3" s="3"/>
      <c r="K3" s="3"/>
      <c r="L3" s="3"/>
      <c r="M3" s="24"/>
    </row>
    <row r="4" spans="1:13" ht="42" customHeight="1">
      <c r="A4" s="8" t="s">
        <v>5</v>
      </c>
      <c r="B4" s="8" t="s">
        <v>6</v>
      </c>
      <c r="C4" s="8" t="s">
        <v>7</v>
      </c>
      <c r="D4" s="8" t="s">
        <v>8</v>
      </c>
      <c r="E4" s="25" t="s">
        <v>9</v>
      </c>
      <c r="F4" s="25" t="s">
        <v>10</v>
      </c>
      <c r="G4" s="8" t="s">
        <v>11</v>
      </c>
      <c r="H4" s="25" t="s">
        <v>12</v>
      </c>
      <c r="I4" s="8" t="s">
        <v>13</v>
      </c>
      <c r="J4" s="8" t="s">
        <v>14</v>
      </c>
      <c r="K4" s="9" t="s">
        <v>15</v>
      </c>
      <c r="L4" s="5"/>
      <c r="M4" s="25" t="s">
        <v>16</v>
      </c>
    </row>
    <row r="5" spans="1:13" ht="31.5" customHeight="1">
      <c r="A5" s="10">
        <v>1</v>
      </c>
      <c r="B5" s="11">
        <v>46024.64744212963</v>
      </c>
      <c r="C5" s="10" t="s">
        <v>17</v>
      </c>
      <c r="D5" s="10"/>
      <c r="E5" s="25" t="s">
        <v>18</v>
      </c>
      <c r="F5" s="25" t="s">
        <v>19</v>
      </c>
      <c r="G5" s="10" t="s">
        <v>20</v>
      </c>
      <c r="H5" s="25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25" t="s">
        <v>116</v>
      </c>
    </row>
    <row r="6" spans="1:13" ht="31.5" customHeight="1">
      <c r="A6" s="10">
        <f>A5+1</f>
        <v>2</v>
      </c>
      <c r="B6" s="11">
        <v>46022.713645833333</v>
      </c>
      <c r="C6" s="10" t="s">
        <v>26</v>
      </c>
      <c r="D6" s="10" t="s">
        <v>27</v>
      </c>
      <c r="E6" s="25" t="s">
        <v>28</v>
      </c>
      <c r="F6" s="25" t="s">
        <v>29</v>
      </c>
      <c r="G6" s="10" t="s">
        <v>20</v>
      </c>
      <c r="H6" s="25" t="s">
        <v>30</v>
      </c>
      <c r="I6" s="12" t="s">
        <v>31</v>
      </c>
      <c r="J6" s="12" t="s">
        <v>32</v>
      </c>
      <c r="K6" s="13" t="s">
        <v>33</v>
      </c>
      <c r="L6" s="14" t="s">
        <v>34</v>
      </c>
      <c r="M6" s="25" t="s">
        <v>117</v>
      </c>
    </row>
    <row r="7" spans="1:13" ht="31.5" customHeight="1">
      <c r="A7" s="10">
        <f t="shared" ref="A7:A23" si="0">A6+1</f>
        <v>3</v>
      </c>
      <c r="B7" s="11">
        <v>46024.678946759261</v>
      </c>
      <c r="C7" s="10" t="s">
        <v>35</v>
      </c>
      <c r="D7" s="10" t="s">
        <v>27</v>
      </c>
      <c r="E7" s="25" t="s">
        <v>36</v>
      </c>
      <c r="F7" s="25" t="s">
        <v>29</v>
      </c>
      <c r="G7" s="10" t="s">
        <v>20</v>
      </c>
      <c r="H7" s="25" t="s">
        <v>37</v>
      </c>
      <c r="I7" s="12" t="s">
        <v>38</v>
      </c>
      <c r="J7" s="12" t="s">
        <v>39</v>
      </c>
      <c r="K7" s="13" t="s">
        <v>40</v>
      </c>
      <c r="L7" s="14" t="s">
        <v>34</v>
      </c>
      <c r="M7" s="25" t="s">
        <v>122</v>
      </c>
    </row>
    <row r="8" spans="1:13" ht="31.5" customHeight="1">
      <c r="A8" s="10">
        <f t="shared" si="0"/>
        <v>4</v>
      </c>
      <c r="B8" s="11">
        <v>46024.502858796295</v>
      </c>
      <c r="C8" s="10" t="s">
        <v>46</v>
      </c>
      <c r="D8" s="10"/>
      <c r="E8" s="25" t="s">
        <v>41</v>
      </c>
      <c r="F8" s="25" t="s">
        <v>42</v>
      </c>
      <c r="G8" s="10" t="s">
        <v>20</v>
      </c>
      <c r="H8" s="25" t="s">
        <v>43</v>
      </c>
      <c r="I8" s="12" t="s">
        <v>38</v>
      </c>
      <c r="J8" s="12" t="s">
        <v>23</v>
      </c>
      <c r="K8" s="13" t="s">
        <v>44</v>
      </c>
      <c r="L8" s="14" t="s">
        <v>45</v>
      </c>
      <c r="M8" s="25" t="s">
        <v>118</v>
      </c>
    </row>
    <row r="9" spans="1:13" ht="31.5" customHeight="1">
      <c r="A9" s="10">
        <f t="shared" si="0"/>
        <v>5</v>
      </c>
      <c r="B9" s="11">
        <v>46024.688842592594</v>
      </c>
      <c r="C9" s="10" t="s">
        <v>47</v>
      </c>
      <c r="D9" s="10"/>
      <c r="E9" s="25" t="s">
        <v>48</v>
      </c>
      <c r="F9" s="25" t="s">
        <v>49</v>
      </c>
      <c r="G9" s="10" t="s">
        <v>20</v>
      </c>
      <c r="H9" s="25" t="s">
        <v>50</v>
      </c>
      <c r="I9" s="12" t="s">
        <v>51</v>
      </c>
      <c r="J9" s="12" t="s">
        <v>32</v>
      </c>
      <c r="K9" s="13" t="s">
        <v>52</v>
      </c>
      <c r="L9" s="14" t="s">
        <v>53</v>
      </c>
      <c r="M9" s="25" t="s">
        <v>119</v>
      </c>
    </row>
    <row r="10" spans="1:13" ht="31.5" customHeight="1">
      <c r="A10" s="10">
        <f t="shared" si="0"/>
        <v>6</v>
      </c>
      <c r="B10" s="11">
        <v>46024.542812500003</v>
      </c>
      <c r="C10" s="10" t="s">
        <v>54</v>
      </c>
      <c r="D10" s="10" t="s">
        <v>55</v>
      </c>
      <c r="E10" s="25" t="s">
        <v>56</v>
      </c>
      <c r="F10" s="25" t="s">
        <v>57</v>
      </c>
      <c r="G10" s="10" t="s">
        <v>20</v>
      </c>
      <c r="H10" s="25" t="s">
        <v>58</v>
      </c>
      <c r="I10" s="12" t="s">
        <v>59</v>
      </c>
      <c r="J10" s="12" t="s">
        <v>60</v>
      </c>
      <c r="K10" s="13" t="s">
        <v>61</v>
      </c>
      <c r="L10" s="14" t="s">
        <v>62</v>
      </c>
      <c r="M10" s="25" t="s">
        <v>119</v>
      </c>
    </row>
    <row r="11" spans="1:13" ht="31.5" customHeight="1">
      <c r="A11" s="10">
        <f t="shared" si="0"/>
        <v>7</v>
      </c>
      <c r="B11" s="11">
        <v>46024.538518518515</v>
      </c>
      <c r="C11" s="10" t="s">
        <v>63</v>
      </c>
      <c r="D11" s="10" t="s">
        <v>55</v>
      </c>
      <c r="E11" s="25" t="s">
        <v>64</v>
      </c>
      <c r="F11" s="25" t="s">
        <v>57</v>
      </c>
      <c r="G11" s="10" t="s">
        <v>20</v>
      </c>
      <c r="H11" s="25" t="s">
        <v>58</v>
      </c>
      <c r="I11" s="12" t="s">
        <v>59</v>
      </c>
      <c r="J11" s="12" t="s">
        <v>60</v>
      </c>
      <c r="K11" s="13" t="s">
        <v>61</v>
      </c>
      <c r="L11" s="14" t="s">
        <v>62</v>
      </c>
      <c r="M11" s="25" t="s">
        <v>119</v>
      </c>
    </row>
    <row r="12" spans="1:13" ht="31.5" customHeight="1">
      <c r="A12" s="10">
        <f t="shared" si="0"/>
        <v>8</v>
      </c>
      <c r="B12" s="11">
        <v>46023.642534722225</v>
      </c>
      <c r="C12" s="10" t="s">
        <v>72</v>
      </c>
      <c r="D12" s="10" t="s">
        <v>27</v>
      </c>
      <c r="E12" s="25" t="s">
        <v>73</v>
      </c>
      <c r="F12" s="25" t="s">
        <v>66</v>
      </c>
      <c r="G12" s="10" t="s">
        <v>20</v>
      </c>
      <c r="H12" s="25" t="s">
        <v>74</v>
      </c>
      <c r="I12" s="12" t="s">
        <v>31</v>
      </c>
      <c r="J12" s="12" t="s">
        <v>75</v>
      </c>
      <c r="K12" s="13" t="s">
        <v>76</v>
      </c>
      <c r="L12" s="14" t="s">
        <v>77</v>
      </c>
      <c r="M12" s="25" t="s">
        <v>120</v>
      </c>
    </row>
    <row r="13" spans="1:13" ht="31.5" customHeight="1">
      <c r="A13" s="10">
        <f t="shared" si="0"/>
        <v>9</v>
      </c>
      <c r="B13" s="11">
        <v>45961.725763888891</v>
      </c>
      <c r="C13" s="10" t="s">
        <v>78</v>
      </c>
      <c r="D13" s="10" t="s">
        <v>27</v>
      </c>
      <c r="E13" s="25" t="s">
        <v>65</v>
      </c>
      <c r="F13" s="25" t="s">
        <v>66</v>
      </c>
      <c r="G13" s="10" t="s">
        <v>67</v>
      </c>
      <c r="H13" s="25" t="s">
        <v>68</v>
      </c>
      <c r="I13" s="12" t="s">
        <v>79</v>
      </c>
      <c r="J13" s="12" t="s">
        <v>32</v>
      </c>
      <c r="K13" s="13" t="s">
        <v>69</v>
      </c>
      <c r="L13" s="14" t="s">
        <v>70</v>
      </c>
      <c r="M13" s="25" t="s">
        <v>27</v>
      </c>
    </row>
    <row r="14" spans="1:13" ht="31.5" customHeight="1">
      <c r="A14" s="10">
        <f t="shared" si="0"/>
        <v>10</v>
      </c>
      <c r="B14" s="11">
        <v>45961.748831018522</v>
      </c>
      <c r="C14" s="10" t="s">
        <v>80</v>
      </c>
      <c r="D14" s="10" t="s">
        <v>27</v>
      </c>
      <c r="E14" s="25" t="s">
        <v>71</v>
      </c>
      <c r="F14" s="25" t="s">
        <v>66</v>
      </c>
      <c r="G14" s="10" t="s">
        <v>20</v>
      </c>
      <c r="H14" s="25" t="s">
        <v>68</v>
      </c>
      <c r="I14" s="12" t="s">
        <v>79</v>
      </c>
      <c r="J14" s="12" t="s">
        <v>32</v>
      </c>
      <c r="K14" s="13" t="s">
        <v>81</v>
      </c>
      <c r="L14" s="14" t="s">
        <v>70</v>
      </c>
      <c r="M14" s="25" t="s">
        <v>27</v>
      </c>
    </row>
    <row r="15" spans="1:13" ht="31.5" customHeight="1">
      <c r="A15" s="10">
        <f t="shared" si="0"/>
        <v>11</v>
      </c>
      <c r="B15" s="11">
        <v>46009.581747685188</v>
      </c>
      <c r="C15" s="10" t="s">
        <v>82</v>
      </c>
      <c r="D15" s="10"/>
      <c r="E15" s="25" t="s">
        <v>83</v>
      </c>
      <c r="F15" s="25" t="s">
        <v>84</v>
      </c>
      <c r="G15" s="10" t="s">
        <v>20</v>
      </c>
      <c r="H15" s="25" t="s">
        <v>85</v>
      </c>
      <c r="I15" s="12" t="s">
        <v>22</v>
      </c>
      <c r="J15" s="12" t="s">
        <v>51</v>
      </c>
      <c r="K15" s="13" t="s">
        <v>86</v>
      </c>
      <c r="L15" s="14" t="s">
        <v>87</v>
      </c>
      <c r="M15" s="25" t="s">
        <v>116</v>
      </c>
    </row>
    <row r="16" spans="1:13" ht="31.5" customHeight="1">
      <c r="A16" s="10">
        <f t="shared" si="0"/>
        <v>12</v>
      </c>
      <c r="B16" s="11">
        <v>46024.566851851851</v>
      </c>
      <c r="C16" s="10" t="s">
        <v>88</v>
      </c>
      <c r="D16" s="10"/>
      <c r="E16" s="25" t="s">
        <v>89</v>
      </c>
      <c r="F16" s="25" t="s">
        <v>90</v>
      </c>
      <c r="G16" s="10" t="s">
        <v>20</v>
      </c>
      <c r="H16" s="25" t="s">
        <v>91</v>
      </c>
      <c r="I16" s="12" t="s">
        <v>22</v>
      </c>
      <c r="J16" s="12" t="s">
        <v>23</v>
      </c>
      <c r="K16" s="13" t="s">
        <v>92</v>
      </c>
      <c r="L16" s="14" t="s">
        <v>93</v>
      </c>
      <c r="M16" s="25" t="s">
        <v>116</v>
      </c>
    </row>
    <row r="17" spans="1:13" ht="31.5" customHeight="1">
      <c r="A17" s="15">
        <f t="shared" si="0"/>
        <v>13</v>
      </c>
      <c r="B17" s="16">
        <v>46024.587083333332</v>
      </c>
      <c r="C17" s="15" t="s">
        <v>94</v>
      </c>
      <c r="D17" s="15"/>
      <c r="E17" s="26" t="s">
        <v>95</v>
      </c>
      <c r="F17" s="26" t="s">
        <v>96</v>
      </c>
      <c r="G17" s="15" t="s">
        <v>20</v>
      </c>
      <c r="H17" s="26" t="s">
        <v>97</v>
      </c>
      <c r="I17" s="17" t="s">
        <v>22</v>
      </c>
      <c r="J17" s="17" t="s">
        <v>23</v>
      </c>
      <c r="K17" s="18" t="s">
        <v>98</v>
      </c>
      <c r="L17" s="19" t="s">
        <v>99</v>
      </c>
      <c r="M17" s="26" t="s">
        <v>116</v>
      </c>
    </row>
    <row r="18" spans="1:13" ht="31.5" customHeight="1">
      <c r="A18" s="20">
        <f t="shared" si="0"/>
        <v>14</v>
      </c>
      <c r="B18" s="21">
        <v>46016.785428240742</v>
      </c>
      <c r="C18" s="20" t="s">
        <v>100</v>
      </c>
      <c r="D18" s="20" t="s">
        <v>55</v>
      </c>
      <c r="E18" s="27" t="s">
        <v>101</v>
      </c>
      <c r="F18" s="27" t="s">
        <v>102</v>
      </c>
      <c r="G18" s="20" t="s">
        <v>20</v>
      </c>
      <c r="H18" s="27" t="s">
        <v>103</v>
      </c>
      <c r="I18" s="22" t="s">
        <v>104</v>
      </c>
      <c r="J18" s="22" t="s">
        <v>105</v>
      </c>
      <c r="K18" s="20" t="s">
        <v>106</v>
      </c>
      <c r="L18" s="20" t="s">
        <v>107</v>
      </c>
      <c r="M18" s="27" t="s">
        <v>121</v>
      </c>
    </row>
    <row r="19" spans="1:13" ht="31.5" customHeight="1">
      <c r="A19" s="20">
        <f t="shared" si="0"/>
        <v>15</v>
      </c>
      <c r="B19" s="21">
        <v>46003.541168981479</v>
      </c>
      <c r="C19" s="20" t="s">
        <v>115</v>
      </c>
      <c r="D19" s="20" t="s">
        <v>27</v>
      </c>
      <c r="E19" s="27" t="s">
        <v>108</v>
      </c>
      <c r="F19" s="27" t="s">
        <v>109</v>
      </c>
      <c r="G19" s="20" t="s">
        <v>20</v>
      </c>
      <c r="H19" s="27" t="s">
        <v>110</v>
      </c>
      <c r="I19" s="22" t="s">
        <v>111</v>
      </c>
      <c r="J19" s="22" t="s">
        <v>112</v>
      </c>
      <c r="K19" s="20" t="s">
        <v>113</v>
      </c>
      <c r="L19" s="20" t="s">
        <v>114</v>
      </c>
      <c r="M19" s="27" t="s">
        <v>27</v>
      </c>
    </row>
    <row r="20" spans="1:13" ht="31.5">
      <c r="A20" s="20">
        <f t="shared" si="0"/>
        <v>16</v>
      </c>
      <c r="B20" s="23"/>
      <c r="C20" s="2">
        <v>281445</v>
      </c>
      <c r="D20" s="23"/>
      <c r="E20" s="28" t="s">
        <v>123</v>
      </c>
      <c r="F20" s="28">
        <v>220</v>
      </c>
      <c r="G20" s="2" t="s">
        <v>130</v>
      </c>
      <c r="H20" s="28" t="s">
        <v>132</v>
      </c>
      <c r="I20" s="2" t="s">
        <v>125</v>
      </c>
      <c r="J20" s="2" t="s">
        <v>126</v>
      </c>
      <c r="K20" s="2" t="s">
        <v>125</v>
      </c>
      <c r="L20" s="2" t="s">
        <v>127</v>
      </c>
      <c r="M20" s="31" t="s">
        <v>116</v>
      </c>
    </row>
    <row r="21" spans="1:13" ht="78.75">
      <c r="A21" s="20">
        <f t="shared" si="0"/>
        <v>17</v>
      </c>
      <c r="B21" s="23"/>
      <c r="C21" s="2">
        <v>281047</v>
      </c>
      <c r="D21" s="23"/>
      <c r="E21" s="28" t="s">
        <v>124</v>
      </c>
      <c r="F21" s="28">
        <v>220</v>
      </c>
      <c r="G21" s="2" t="s">
        <v>131</v>
      </c>
      <c r="H21" s="28" t="s">
        <v>133</v>
      </c>
      <c r="I21" s="2" t="s">
        <v>125</v>
      </c>
      <c r="J21" s="2" t="s">
        <v>128</v>
      </c>
      <c r="K21" s="2" t="s">
        <v>125</v>
      </c>
      <c r="L21" s="2" t="s">
        <v>129</v>
      </c>
      <c r="M21" s="31" t="s">
        <v>116</v>
      </c>
    </row>
    <row r="22" spans="1:13">
      <c r="A22" s="20">
        <f t="shared" si="0"/>
        <v>18</v>
      </c>
      <c r="B22" s="23"/>
      <c r="C22" s="23"/>
      <c r="D22" s="23"/>
      <c r="E22" s="29"/>
      <c r="F22" s="29"/>
      <c r="G22" s="23"/>
      <c r="H22" s="29"/>
      <c r="I22" s="23"/>
      <c r="J22" s="23"/>
      <c r="K22" s="23"/>
      <c r="L22" s="23"/>
      <c r="M22" s="29"/>
    </row>
    <row r="23" spans="1:13">
      <c r="A23" s="20">
        <f t="shared" si="0"/>
        <v>19</v>
      </c>
      <c r="B23" s="23"/>
      <c r="C23" s="23"/>
      <c r="D23" s="23"/>
      <c r="E23" s="29"/>
      <c r="F23" s="29"/>
      <c r="G23" s="23"/>
      <c r="H23" s="29"/>
      <c r="I23" s="23"/>
      <c r="J23" s="23"/>
      <c r="K23" s="23"/>
      <c r="L23" s="23"/>
      <c r="M23" s="29"/>
    </row>
    <row r="24" spans="1:13">
      <c r="A24" s="23"/>
      <c r="B24" s="23"/>
      <c r="C24" s="23"/>
      <c r="D24" s="23"/>
      <c r="E24" s="29"/>
      <c r="F24" s="29"/>
      <c r="G24" s="23"/>
      <c r="H24" s="29"/>
      <c r="I24" s="23"/>
      <c r="J24" s="23"/>
      <c r="K24" s="23"/>
      <c r="L24" s="23"/>
      <c r="M24" s="29"/>
    </row>
    <row r="25" spans="1:13">
      <c r="A25" s="23"/>
      <c r="B25" s="23"/>
      <c r="C25" s="23"/>
      <c r="D25" s="23"/>
      <c r="E25" s="29"/>
      <c r="F25" s="29"/>
      <c r="G25" s="23"/>
      <c r="H25" s="29"/>
      <c r="I25" s="23"/>
      <c r="J25" s="23"/>
      <c r="K25" s="23"/>
      <c r="L25" s="23"/>
      <c r="M25" s="29"/>
    </row>
    <row r="26" spans="1:13">
      <c r="A26" s="23"/>
      <c r="B26" s="23"/>
      <c r="C26" s="23"/>
      <c r="D26" s="23"/>
      <c r="E26" s="29"/>
      <c r="F26" s="29"/>
      <c r="G26" s="23"/>
      <c r="H26" s="29"/>
      <c r="I26" s="23"/>
      <c r="J26" s="23"/>
      <c r="K26" s="23"/>
      <c r="L26" s="23"/>
      <c r="M26" s="29"/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2026-01-02T13:42:24Z</dcterms:created>
  <dcterms:modified xsi:type="dcterms:W3CDTF">2026-01-02T14:33:19Z</dcterms:modified>
</cp:coreProperties>
</file>
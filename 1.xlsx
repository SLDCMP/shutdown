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Sheet0!$A$1:$M$26</definedName>
  </definedNames>
  <calcPr calcId="162913"/>
</workbook>
</file>

<file path=xl/calcChain.xml><?xml version="1.0" encoding="utf-8"?>
<calcChain xmlns="http://schemas.openxmlformats.org/spreadsheetml/2006/main">
  <c r="A26" i="1" l="1"/>
  <c r="A27" i="1"/>
  <c r="A28" i="1" s="1"/>
  <c r="A29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<sst xmlns="http://schemas.openxmlformats.org/spreadsheetml/2006/main" count="255" uniqueCount="172">
  <si>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</si>
  <si>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</si>
  <si>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</si>
  <si>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</si>
  <si>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</si>
  <si>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</si>
  <si>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</si>
  <si>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</si>
  <si>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</si>
  <si>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</si>
  <si>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</si>
  <si>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</si>
  <si>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</si>
  <si>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</si>
  <si>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</si>
  <si>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</si>
  <si>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</si>
  <si>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MR2610/0449</t>
  </si>
  <si>
    <t>132KV_132KV Badnagar-Goutampura Ckt-I Line</t>
  </si>
  <si>
    <t>220KV_BADNAGAR</t>
  </si>
  <si>
    <t>NON-OCCM-MP</t>
  </si>
  <si>
    <t>Defective disc insulator replacement work</t>
  </si>
  <si>
    <t>17-10-2026 09:00:00</t>
  </si>
  <si>
    <t>17-10-2026 18:00:00</t>
  </si>
  <si>
    <t>Kumar Vishal</t>
  </si>
  <si>
    <t>9425805018</t>
  </si>
  <si>
    <t>MR2610/0463</t>
  </si>
  <si>
    <t>132KV_132 KV Chhindwara Chand line</t>
  </si>
  <si>
    <t>220KV_CHHINDWARA</t>
  </si>
  <si>
    <t>Bay Shifting work</t>
  </si>
  <si>
    <t>Er. Dinesh Pawar</t>
  </si>
  <si>
    <t>7587951131</t>
  </si>
  <si>
    <t>MR2610/0464</t>
  </si>
  <si>
    <t>132KV_CHHINDWARA-SALIVAHAN_Ckt</t>
  </si>
  <si>
    <t>For Bay Shifting work at Chhindwara 220 KV Sub-Sta</t>
  </si>
  <si>
    <t>MR2610/0452</t>
  </si>
  <si>
    <t>132KV_132KV ANUPPUR-DONGRITAL CKT</t>
  </si>
  <si>
    <t>132KV_DONGRITAL</t>
  </si>
  <si>
    <t>V.D PROVIDED WORK</t>
  </si>
  <si>
    <t>17-10-2026 17:00:00</t>
  </si>
  <si>
    <t>G.L SAHU</t>
  </si>
  <si>
    <t>9425805102</t>
  </si>
  <si>
    <t>MR2610/0367</t>
  </si>
  <si>
    <t>Daily</t>
  </si>
  <si>
    <t>220KV_220 kV Gorabazar- Amarkantak</t>
  </si>
  <si>
    <t>220KV_GORABAZAR</t>
  </si>
  <si>
    <t>Jumper tightening by Contract basis</t>
  </si>
  <si>
    <t>14-10-2026 08:00:00</t>
  </si>
  <si>
    <t>19-10-2026 18:00:00</t>
  </si>
  <si>
    <t>Jitendra Tiwari</t>
  </si>
  <si>
    <t>9425805298</t>
  </si>
  <si>
    <t>MR2610/0459</t>
  </si>
  <si>
    <t>132KV_132/33KV 40MVA XMER EMCO</t>
  </si>
  <si>
    <t>132KV_GUDGAON</t>
  </si>
  <si>
    <t>Post monsoon maintenance and testing work.</t>
  </si>
  <si>
    <t>17-10-2026 10:00:00</t>
  </si>
  <si>
    <t>Er.Sanjay kumar pawar</t>
  </si>
  <si>
    <t>9425802293</t>
  </si>
  <si>
    <t>MR2610/0462</t>
  </si>
  <si>
    <t>132KV_132kV Guna GAIL Line</t>
  </si>
  <si>
    <t>220KV_GUNA</t>
  </si>
  <si>
    <t>Opportunity shutdown for line maintenance</t>
  </si>
  <si>
    <t>17-10-2026 11:00:00</t>
  </si>
  <si>
    <t>17-10-2026 16:00:00</t>
  </si>
  <si>
    <t>Akhilesh Singh</t>
  </si>
  <si>
    <t>8586865656</t>
  </si>
  <si>
    <t>MR2610/0454</t>
  </si>
  <si>
    <t>132KV_63 MVA Vijay X-Mer</t>
  </si>
  <si>
    <t>220KV_JABALPUR</t>
  </si>
  <si>
    <t>Post Monsoon Maintenence</t>
  </si>
  <si>
    <t>Sunil Shukla</t>
  </si>
  <si>
    <t>7648817157</t>
  </si>
  <si>
    <t>Continuous</t>
  </si>
  <si>
    <t>400KV_JP BINA</t>
  </si>
  <si>
    <t>NON-OCCM-WR</t>
  </si>
  <si>
    <t>7987976012</t>
  </si>
  <si>
    <t>MR2609/0608</t>
  </si>
  <si>
    <t>400KV_400KV_400KV BUS-1(BUS-A)</t>
  </si>
  <si>
    <t>PM of BUS-1 (BUS-A, BAY-1 &amp; BAY-5)</t>
  </si>
  <si>
    <t>12-10-2026 09:00:00</t>
  </si>
  <si>
    <t>KRISHNA SINGH THAKUR</t>
  </si>
  <si>
    <t>MR2609/0644</t>
  </si>
  <si>
    <t>400KV_400 KV/6.6 KV, 40/20/20 MVA Station Transformer-2</t>
  </si>
  <si>
    <t>PM of 40/20/20 MVA Station Transformer-2</t>
  </si>
  <si>
    <t>MR2610/0455</t>
  </si>
  <si>
    <t>132KV_132 KV karera Madikheda</t>
  </si>
  <si>
    <t>132KV_KARERA</t>
  </si>
  <si>
    <t>Flash over disc replacement work and other line ma</t>
  </si>
  <si>
    <t>Satish Kumar Bhagat</t>
  </si>
  <si>
    <t>9425806916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</si>
  <si>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</si>
  <si>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</si>
  <si>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</si>
  <si>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</si>
  <si>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</si>
  <si>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</si>
  <si>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</si>
  <si>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</si>
  <si>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MR2610/0457</t>
  </si>
  <si>
    <t>132KV_132kV Mandla-Bichhiya ckt -II Line</t>
  </si>
  <si>
    <t>132KV_MANDLA</t>
  </si>
  <si>
    <t>Emergency Side Tree Cutting Work &amp; Other Line Main</t>
  </si>
  <si>
    <t>S.K. BHALADHARE</t>
  </si>
  <si>
    <t>9425807264</t>
  </si>
  <si>
    <t>MR2610/0456</t>
  </si>
  <si>
    <t>220KV_220KV UJJAIN NAGDA CKT 2</t>
  </si>
  <si>
    <t>400KV_NAGDA4</t>
  </si>
  <si>
    <t>DISC REPLACEMENT</t>
  </si>
  <si>
    <t>K SACHINDRA</t>
  </si>
  <si>
    <t>9425805295</t>
  </si>
  <si>
    <t>MR2610/0304</t>
  </si>
  <si>
    <t>132KV_132kV Nainpur-Ghansour Line</t>
  </si>
  <si>
    <t>132KV_NAINPUR</t>
  </si>
  <si>
    <t>OPGW stringing work</t>
  </si>
  <si>
    <t>14-10-2026 07:00:00</t>
  </si>
  <si>
    <t>25-10-2026 19:00:00</t>
  </si>
  <si>
    <t>Amol Shende</t>
  </si>
  <si>
    <t>7587951136</t>
  </si>
  <si>
    <t>MR2609/0636</t>
  </si>
  <si>
    <t>220KV_220KV Omkareshwar Khandwa PGCIl line</t>
  </si>
  <si>
    <t>220KV_OMKARESHWAR</t>
  </si>
  <si>
    <t>OCCM-MP</t>
  </si>
  <si>
    <t>For modification/shifting work</t>
  </si>
  <si>
    <t>03-10-2026 08:00:00</t>
  </si>
  <si>
    <t>20-10-2026 18:00:00</t>
  </si>
  <si>
    <t>Kamal solanki</t>
  </si>
  <si>
    <t>9425805262</t>
  </si>
  <si>
    <t>220KV_220KV Omk to chhegaon line</t>
  </si>
  <si>
    <t>06-10-2026 08:00:00</t>
  </si>
  <si>
    <t>20-10-2026 20:00:00</t>
  </si>
  <si>
    <t>MR2610/0095</t>
  </si>
  <si>
    <t>220KV_220KV OMK- Julwania line</t>
  </si>
  <si>
    <t>MR2609/0639</t>
  </si>
  <si>
    <t>MR2610/0450</t>
  </si>
  <si>
    <t>220KV_220/132KV 160MVA BHEL-II X-mer</t>
  </si>
  <si>
    <t>220KV_RATANGARH</t>
  </si>
  <si>
    <t>Post monsoon maintenance work</t>
  </si>
  <si>
    <t>S.H. Mansuri</t>
  </si>
  <si>
    <t>7587951068</t>
  </si>
  <si>
    <t>MR2610/0461</t>
  </si>
  <si>
    <t>132KV_132kv Sabalgarh Vijaypur Ckt-1</t>
  </si>
  <si>
    <t>220KV_SABALGARH</t>
  </si>
  <si>
    <t>Line Maintenance work</t>
  </si>
  <si>
    <t>Suraj Pawar</t>
  </si>
  <si>
    <t>9425814079</t>
  </si>
  <si>
    <t>MR2610/0451</t>
  </si>
  <si>
    <t>132KV_50 MVA BHEL -2</t>
  </si>
  <si>
    <t>220KV_SEONI</t>
  </si>
  <si>
    <t>POST MONSOON MAINT.</t>
  </si>
  <si>
    <t>17-10-2026 08:00:00</t>
  </si>
  <si>
    <t>ARSHAD QURESHI</t>
  </si>
  <si>
    <t>7000771014</t>
  </si>
  <si>
    <t>MR2610/0458</t>
  </si>
  <si>
    <t>132KV_132 KV  Shahpura â¿¿ Shrinagar DP Line</t>
  </si>
  <si>
    <t>132KV_SHAHPURA</t>
  </si>
  <si>
    <t>Flashover disc replacement work at Location .No.12</t>
  </si>
  <si>
    <t>Ashish Kumar</t>
  </si>
  <si>
    <t>9425805935</t>
  </si>
  <si>
    <t>sub ld</t>
  </si>
  <si>
    <t>ok</t>
  </si>
  <si>
    <t>ok, through sub ld, allowed from 10-15hrs</t>
  </si>
  <si>
    <t>ok, line to be in service</t>
  </si>
  <si>
    <t>ok, through sub ld</t>
  </si>
  <si>
    <t>ok, o&amp;m shall be informed</t>
  </si>
  <si>
    <t>132KV-VSTPS-WAIDHAN-2</t>
  </si>
  <si>
    <t>17-Oct-2026</t>
  </si>
  <si>
    <t>08:00</t>
  </si>
  <si>
    <t>18:00</t>
  </si>
  <si>
    <t>FOR REPLACEMENT OF EXISTING CONDUCTOR TO HTLS CONDUCTOR WORK</t>
  </si>
  <si>
    <t>deferred by site</t>
  </si>
  <si>
    <t>MP_SLDC</t>
  </si>
  <si>
    <t>MADHYA PRADESH,NTPC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</si>
</sst>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41435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selection activeCell="H9" sqref="H9"/>
    </sheetView>
  </sheetViews>
  <sheetFormatPr defaultRowHeight="40.5" customHeight="1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7.5703125" style="26" customWidth="1"/>
    <col min="6" max="6" width="36.5703125" style="26" customWidth="1"/>
    <col min="7" max="7" width="9.5703125" style="5" customWidth="1"/>
    <col min="8" max="8" width="48.140625" style="26" customWidth="1"/>
    <col min="9" max="9" width="10.85546875" style="5" customWidth="1"/>
    <col min="10" max="10" width="11.28515625" style="5" customWidth="1"/>
    <col min="11" max="11" width="14.42578125" style="5" customWidth="1"/>
    <col min="12" max="12" width="6.28515625" style="5" customWidth="1"/>
    <col min="13" max="13" width="30.7109375" style="26" customWidth="1"/>
    <col min="14" max="16384" width="9.140625" style="5"/>
  </cols>
  <sheetData>
    <row r="1" spans="1:13" ht="40.5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40.5" customHeight="1" x14ac:dyDescent="0.25">
      <c r="A2" s="2" t="s">
        <v>1</v>
      </c>
      <c r="B2" s="9">
        <v>46312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40.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40.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22" t="s">
        <v>9</v>
      </c>
      <c r="F4" s="22" t="s">
        <v>10</v>
      </c>
      <c r="G4" s="3" t="s">
        <v>11</v>
      </c>
      <c r="H4" s="22" t="s">
        <v>12</v>
      </c>
      <c r="I4" s="3" t="s">
        <v>13</v>
      </c>
      <c r="J4" s="3" t="s">
        <v>14</v>
      </c>
      <c r="K4" s="10" t="s">
        <v>15</v>
      </c>
      <c r="L4" s="8"/>
      <c r="M4" s="22" t="s">
        <v>16</v>
      </c>
    </row>
    <row r="5" spans="1:13" ht="40.5" customHeight="1" x14ac:dyDescent="0.25">
      <c r="A5" s="4">
        <v>1</v>
      </c>
      <c r="B5" s="11">
        <v>46311.52065972222</v>
      </c>
      <c r="C5" s="4" t="s">
        <v>17</v>
      </c>
      <c r="D5" s="4"/>
      <c r="E5" s="22" t="s">
        <v>18</v>
      </c>
      <c r="F5" s="22" t="s">
        <v>19</v>
      </c>
      <c r="G5" s="4" t="s">
        <v>20</v>
      </c>
      <c r="H5" s="22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22" t="s">
        <v>158</v>
      </c>
    </row>
    <row r="6" spans="1:13" ht="40.5" customHeight="1" x14ac:dyDescent="0.25">
      <c r="A6" s="4">
        <f>A5+1</f>
        <v>2</v>
      </c>
      <c r="B6" s="11">
        <v>46311.68378472222</v>
      </c>
      <c r="C6" s="4" t="s">
        <v>26</v>
      </c>
      <c r="D6" s="4"/>
      <c r="E6" s="22" t="s">
        <v>27</v>
      </c>
      <c r="F6" s="22" t="s">
        <v>28</v>
      </c>
      <c r="G6" s="4" t="s">
        <v>20</v>
      </c>
      <c r="H6" s="22" t="s">
        <v>29</v>
      </c>
      <c r="I6" s="12" t="s">
        <v>22</v>
      </c>
      <c r="J6" s="12" t="s">
        <v>23</v>
      </c>
      <c r="K6" s="13" t="s">
        <v>30</v>
      </c>
      <c r="L6" s="14" t="s">
        <v>31</v>
      </c>
      <c r="M6" s="22" t="s">
        <v>159</v>
      </c>
    </row>
    <row r="7" spans="1:13" ht="40.5" customHeight="1" x14ac:dyDescent="0.25">
      <c r="A7" s="4">
        <f t="shared" ref="A7:A29" si="0">A6+1</f>
        <v>3</v>
      </c>
      <c r="B7" s="11">
        <v>46311.703750000001</v>
      </c>
      <c r="C7" s="4" t="s">
        <v>32</v>
      </c>
      <c r="D7" s="4"/>
      <c r="E7" s="22" t="s">
        <v>33</v>
      </c>
      <c r="F7" s="22" t="s">
        <v>28</v>
      </c>
      <c r="G7" s="4" t="s">
        <v>20</v>
      </c>
      <c r="H7" s="22" t="s">
        <v>34</v>
      </c>
      <c r="I7" s="12" t="s">
        <v>22</v>
      </c>
      <c r="J7" s="12" t="s">
        <v>23</v>
      </c>
      <c r="K7" s="13" t="s">
        <v>30</v>
      </c>
      <c r="L7" s="14" t="s">
        <v>31</v>
      </c>
      <c r="M7" s="22" t="s">
        <v>159</v>
      </c>
    </row>
    <row r="8" spans="1:13" ht="40.5" customHeight="1" x14ac:dyDescent="0.25">
      <c r="A8" s="4">
        <f t="shared" si="0"/>
        <v>4</v>
      </c>
      <c r="B8" s="11">
        <v>46311.537916666668</v>
      </c>
      <c r="C8" s="4" t="s">
        <v>35</v>
      </c>
      <c r="D8" s="4"/>
      <c r="E8" s="22" t="s">
        <v>36</v>
      </c>
      <c r="F8" s="22" t="s">
        <v>37</v>
      </c>
      <c r="G8" s="4" t="s">
        <v>20</v>
      </c>
      <c r="H8" s="22" t="s">
        <v>38</v>
      </c>
      <c r="I8" s="12" t="s">
        <v>22</v>
      </c>
      <c r="J8" s="12" t="s">
        <v>39</v>
      </c>
      <c r="K8" s="13" t="s">
        <v>40</v>
      </c>
      <c r="L8" s="14" t="s">
        <v>41</v>
      </c>
      <c r="M8" s="22" t="s">
        <v>159</v>
      </c>
    </row>
    <row r="9" spans="1:13" ht="40.5" customHeight="1" x14ac:dyDescent="0.25">
      <c r="A9" s="4">
        <f t="shared" si="0"/>
        <v>5</v>
      </c>
      <c r="B9" s="11">
        <v>46308.63554398148</v>
      </c>
      <c r="C9" s="4" t="s">
        <v>42</v>
      </c>
      <c r="D9" s="4" t="s">
        <v>43</v>
      </c>
      <c r="E9" s="22" t="s">
        <v>44</v>
      </c>
      <c r="F9" s="22" t="s">
        <v>45</v>
      </c>
      <c r="G9" s="4" t="s">
        <v>20</v>
      </c>
      <c r="H9" s="22" t="s">
        <v>46</v>
      </c>
      <c r="I9" s="12" t="s">
        <v>47</v>
      </c>
      <c r="J9" s="12" t="s">
        <v>48</v>
      </c>
      <c r="K9" s="13" t="s">
        <v>49</v>
      </c>
      <c r="L9" s="14" t="s">
        <v>50</v>
      </c>
      <c r="M9" s="22" t="s">
        <v>159</v>
      </c>
    </row>
    <row r="10" spans="1:13" ht="40.5" customHeight="1" x14ac:dyDescent="0.25">
      <c r="A10" s="4">
        <f t="shared" si="0"/>
        <v>6</v>
      </c>
      <c r="B10" s="11">
        <v>46311.646979166668</v>
      </c>
      <c r="C10" s="4" t="s">
        <v>51</v>
      </c>
      <c r="D10" s="4"/>
      <c r="E10" s="22" t="s">
        <v>52</v>
      </c>
      <c r="F10" s="22" t="s">
        <v>53</v>
      </c>
      <c r="G10" s="4" t="s">
        <v>20</v>
      </c>
      <c r="H10" s="22" t="s">
        <v>54</v>
      </c>
      <c r="I10" s="12" t="s">
        <v>55</v>
      </c>
      <c r="J10" s="12" t="s">
        <v>39</v>
      </c>
      <c r="K10" s="13" t="s">
        <v>56</v>
      </c>
      <c r="L10" s="14" t="s">
        <v>57</v>
      </c>
      <c r="M10" s="22" t="s">
        <v>158</v>
      </c>
    </row>
    <row r="11" spans="1:13" ht="40.5" customHeight="1" x14ac:dyDescent="0.25">
      <c r="A11" s="4">
        <f t="shared" si="0"/>
        <v>7</v>
      </c>
      <c r="B11" s="11">
        <v>46311.679965277777</v>
      </c>
      <c r="C11" s="4" t="s">
        <v>58</v>
      </c>
      <c r="D11" s="4"/>
      <c r="E11" s="22" t="s">
        <v>59</v>
      </c>
      <c r="F11" s="22" t="s">
        <v>60</v>
      </c>
      <c r="G11" s="4" t="s">
        <v>20</v>
      </c>
      <c r="H11" s="22" t="s">
        <v>61</v>
      </c>
      <c r="I11" s="12" t="s">
        <v>62</v>
      </c>
      <c r="J11" s="12" t="s">
        <v>63</v>
      </c>
      <c r="K11" s="13" t="s">
        <v>64</v>
      </c>
      <c r="L11" s="14" t="s">
        <v>65</v>
      </c>
      <c r="M11" s="22" t="s">
        <v>158</v>
      </c>
    </row>
    <row r="12" spans="1:13" ht="40.5" customHeight="1" x14ac:dyDescent="0.25">
      <c r="A12" s="4">
        <f t="shared" si="0"/>
        <v>8</v>
      </c>
      <c r="B12" s="11">
        <v>46311.552719907406</v>
      </c>
      <c r="C12" s="4" t="s">
        <v>66</v>
      </c>
      <c r="D12" s="4"/>
      <c r="E12" s="22" t="s">
        <v>67</v>
      </c>
      <c r="F12" s="22" t="s">
        <v>68</v>
      </c>
      <c r="G12" s="4" t="s">
        <v>20</v>
      </c>
      <c r="H12" s="22" t="s">
        <v>69</v>
      </c>
      <c r="I12" s="12" t="s">
        <v>22</v>
      </c>
      <c r="J12" s="12" t="s">
        <v>39</v>
      </c>
      <c r="K12" s="13" t="s">
        <v>70</v>
      </c>
      <c r="L12" s="14" t="s">
        <v>71</v>
      </c>
      <c r="M12" s="22" t="s">
        <v>159</v>
      </c>
    </row>
    <row r="13" spans="1:13" ht="40.5" customHeight="1" x14ac:dyDescent="0.25">
      <c r="A13" s="4">
        <f t="shared" si="0"/>
        <v>9</v>
      </c>
      <c r="B13" s="11">
        <v>46294.883750000001</v>
      </c>
      <c r="C13" s="4" t="s">
        <v>76</v>
      </c>
      <c r="D13" s="4" t="s">
        <v>72</v>
      </c>
      <c r="E13" s="22" t="s">
        <v>77</v>
      </c>
      <c r="F13" s="22" t="s">
        <v>73</v>
      </c>
      <c r="G13" s="4" t="s">
        <v>74</v>
      </c>
      <c r="H13" s="22" t="s">
        <v>78</v>
      </c>
      <c r="I13" s="12" t="s">
        <v>79</v>
      </c>
      <c r="J13" s="12" t="s">
        <v>48</v>
      </c>
      <c r="K13" s="13" t="s">
        <v>80</v>
      </c>
      <c r="L13" s="14" t="s">
        <v>75</v>
      </c>
      <c r="M13" s="22" t="s">
        <v>72</v>
      </c>
    </row>
    <row r="14" spans="1:13" ht="40.5" customHeight="1" x14ac:dyDescent="0.25">
      <c r="A14" s="4">
        <f t="shared" si="0"/>
        <v>10</v>
      </c>
      <c r="B14" s="11">
        <v>46295.891030092593</v>
      </c>
      <c r="C14" s="4" t="s">
        <v>81</v>
      </c>
      <c r="D14" s="4" t="s">
        <v>72</v>
      </c>
      <c r="E14" s="22" t="s">
        <v>82</v>
      </c>
      <c r="F14" s="22" t="s">
        <v>73</v>
      </c>
      <c r="G14" s="4" t="s">
        <v>74</v>
      </c>
      <c r="H14" s="22" t="s">
        <v>83</v>
      </c>
      <c r="I14" s="12" t="s">
        <v>79</v>
      </c>
      <c r="J14" s="12" t="s">
        <v>23</v>
      </c>
      <c r="K14" s="13" t="s">
        <v>80</v>
      </c>
      <c r="L14" s="14" t="s">
        <v>75</v>
      </c>
      <c r="M14" s="22" t="s">
        <v>72</v>
      </c>
    </row>
    <row r="15" spans="1:13" ht="40.5" customHeight="1" x14ac:dyDescent="0.25">
      <c r="A15" s="4">
        <f t="shared" si="0"/>
        <v>11</v>
      </c>
      <c r="B15" s="11">
        <v>46311.577546296299</v>
      </c>
      <c r="C15" s="4" t="s">
        <v>84</v>
      </c>
      <c r="D15" s="4"/>
      <c r="E15" s="22" t="s">
        <v>85</v>
      </c>
      <c r="F15" s="22" t="s">
        <v>86</v>
      </c>
      <c r="G15" s="4" t="s">
        <v>20</v>
      </c>
      <c r="H15" s="22" t="s">
        <v>87</v>
      </c>
      <c r="I15" s="12" t="s">
        <v>55</v>
      </c>
      <c r="J15" s="12" t="s">
        <v>39</v>
      </c>
      <c r="K15" s="13" t="s">
        <v>88</v>
      </c>
      <c r="L15" s="14" t="s">
        <v>89</v>
      </c>
      <c r="M15" s="22" t="s">
        <v>160</v>
      </c>
    </row>
    <row r="16" spans="1:13" ht="40.5" customHeight="1" x14ac:dyDescent="0.25">
      <c r="A16" s="4">
        <f t="shared" si="0"/>
        <v>12</v>
      </c>
      <c r="B16" s="11">
        <v>46295.47079861111</v>
      </c>
      <c r="C16" s="4" t="s">
        <v>90</v>
      </c>
      <c r="D16" s="4" t="s">
        <v>43</v>
      </c>
      <c r="E16" s="22" t="s">
        <v>91</v>
      </c>
      <c r="F16" s="22" t="s">
        <v>92</v>
      </c>
      <c r="G16" s="4" t="s">
        <v>20</v>
      </c>
      <c r="H16" s="22" t="s">
        <v>93</v>
      </c>
      <c r="I16" s="12" t="s">
        <v>94</v>
      </c>
      <c r="J16" s="12" t="s">
        <v>95</v>
      </c>
      <c r="K16" s="13" t="s">
        <v>96</v>
      </c>
      <c r="L16" s="14" t="s">
        <v>97</v>
      </c>
      <c r="M16" s="22" t="s">
        <v>158</v>
      </c>
    </row>
    <row r="17" spans="1:13" ht="40.5" customHeight="1" x14ac:dyDescent="0.25">
      <c r="A17" s="4">
        <f t="shared" si="0"/>
        <v>13</v>
      </c>
      <c r="B17" s="11">
        <v>46311.626180555555</v>
      </c>
      <c r="C17" s="4" t="s">
        <v>98</v>
      </c>
      <c r="D17" s="4"/>
      <c r="E17" s="22" t="s">
        <v>99</v>
      </c>
      <c r="F17" s="22" t="s">
        <v>100</v>
      </c>
      <c r="G17" s="4" t="s">
        <v>20</v>
      </c>
      <c r="H17" s="22" t="s">
        <v>101</v>
      </c>
      <c r="I17" s="12" t="s">
        <v>22</v>
      </c>
      <c r="J17" s="12" t="s">
        <v>23</v>
      </c>
      <c r="K17" s="13" t="s">
        <v>102</v>
      </c>
      <c r="L17" s="14" t="s">
        <v>103</v>
      </c>
      <c r="M17" s="22" t="s">
        <v>163</v>
      </c>
    </row>
    <row r="18" spans="1:13" ht="40.5" customHeight="1" x14ac:dyDescent="0.25">
      <c r="A18" s="4">
        <f t="shared" si="0"/>
        <v>14</v>
      </c>
      <c r="B18" s="11">
        <v>46311.607187499998</v>
      </c>
      <c r="C18" s="4" t="s">
        <v>104</v>
      </c>
      <c r="D18" s="4"/>
      <c r="E18" s="22" t="s">
        <v>105</v>
      </c>
      <c r="F18" s="22" t="s">
        <v>106</v>
      </c>
      <c r="G18" s="4" t="s">
        <v>20</v>
      </c>
      <c r="H18" s="22" t="s">
        <v>107</v>
      </c>
      <c r="I18" s="12" t="s">
        <v>22</v>
      </c>
      <c r="J18" s="12" t="s">
        <v>39</v>
      </c>
      <c r="K18" s="13" t="s">
        <v>108</v>
      </c>
      <c r="L18" s="14" t="s">
        <v>109</v>
      </c>
      <c r="M18" s="22" t="s">
        <v>162</v>
      </c>
    </row>
    <row r="19" spans="1:13" ht="40.5" customHeight="1" x14ac:dyDescent="0.25">
      <c r="A19" s="4">
        <f t="shared" si="0"/>
        <v>15</v>
      </c>
      <c r="B19" s="11">
        <v>46307.565358796295</v>
      </c>
      <c r="C19" s="4" t="s">
        <v>110</v>
      </c>
      <c r="D19" s="4" t="s">
        <v>43</v>
      </c>
      <c r="E19" s="22" t="s">
        <v>111</v>
      </c>
      <c r="F19" s="22" t="s">
        <v>112</v>
      </c>
      <c r="G19" s="4" t="s">
        <v>20</v>
      </c>
      <c r="H19" s="22" t="s">
        <v>113</v>
      </c>
      <c r="I19" s="12" t="s">
        <v>114</v>
      </c>
      <c r="J19" s="12" t="s">
        <v>115</v>
      </c>
      <c r="K19" s="13" t="s">
        <v>116</v>
      </c>
      <c r="L19" s="14" t="s">
        <v>117</v>
      </c>
      <c r="M19" s="22" t="s">
        <v>161</v>
      </c>
    </row>
    <row r="20" spans="1:13" ht="40.5" customHeight="1" x14ac:dyDescent="0.25">
      <c r="A20" s="4">
        <f t="shared" si="0"/>
        <v>16</v>
      </c>
      <c r="B20" s="11">
        <v>46295.685486111113</v>
      </c>
      <c r="C20" s="4" t="s">
        <v>118</v>
      </c>
      <c r="D20" s="4" t="s">
        <v>72</v>
      </c>
      <c r="E20" s="22" t="s">
        <v>119</v>
      </c>
      <c r="F20" s="22" t="s">
        <v>120</v>
      </c>
      <c r="G20" s="4" t="s">
        <v>121</v>
      </c>
      <c r="H20" s="22" t="s">
        <v>122</v>
      </c>
      <c r="I20" s="12" t="s">
        <v>123</v>
      </c>
      <c r="J20" s="12" t="s">
        <v>124</v>
      </c>
      <c r="K20" s="13" t="s">
        <v>125</v>
      </c>
      <c r="L20" s="14" t="s">
        <v>126</v>
      </c>
      <c r="M20" s="22" t="s">
        <v>72</v>
      </c>
    </row>
    <row r="21" spans="1:13" ht="40.5" customHeight="1" x14ac:dyDescent="0.25">
      <c r="A21" s="4">
        <f t="shared" si="0"/>
        <v>17</v>
      </c>
      <c r="B21" s="11">
        <v>46300.707997685182</v>
      </c>
      <c r="C21" s="4" t="s">
        <v>130</v>
      </c>
      <c r="D21" s="4" t="s">
        <v>72</v>
      </c>
      <c r="E21" s="22" t="s">
        <v>131</v>
      </c>
      <c r="F21" s="22" t="s">
        <v>120</v>
      </c>
      <c r="G21" s="4" t="s">
        <v>20</v>
      </c>
      <c r="H21" s="22" t="s">
        <v>122</v>
      </c>
      <c r="I21" s="12" t="s">
        <v>128</v>
      </c>
      <c r="J21" s="12" t="s">
        <v>129</v>
      </c>
      <c r="K21" s="13" t="s">
        <v>125</v>
      </c>
      <c r="L21" s="14" t="s">
        <v>126</v>
      </c>
      <c r="M21" s="22" t="s">
        <v>72</v>
      </c>
    </row>
    <row r="22" spans="1:13" ht="40.5" customHeight="1" x14ac:dyDescent="0.25">
      <c r="A22" s="4">
        <f t="shared" si="0"/>
        <v>18</v>
      </c>
      <c r="B22" s="11">
        <v>46295.691458333335</v>
      </c>
      <c r="C22" s="4" t="s">
        <v>132</v>
      </c>
      <c r="D22" s="4" t="s">
        <v>72</v>
      </c>
      <c r="E22" s="22" t="s">
        <v>127</v>
      </c>
      <c r="F22" s="22" t="s">
        <v>120</v>
      </c>
      <c r="G22" s="4" t="s">
        <v>20</v>
      </c>
      <c r="H22" s="22" t="s">
        <v>122</v>
      </c>
      <c r="I22" s="12" t="s">
        <v>128</v>
      </c>
      <c r="J22" s="12" t="s">
        <v>124</v>
      </c>
      <c r="K22" s="13" t="s">
        <v>125</v>
      </c>
      <c r="L22" s="14" t="s">
        <v>126</v>
      </c>
      <c r="M22" s="22" t="s">
        <v>72</v>
      </c>
    </row>
    <row r="23" spans="1:13" ht="40.5" customHeight="1" x14ac:dyDescent="0.25">
      <c r="A23" s="4">
        <f t="shared" si="0"/>
        <v>19</v>
      </c>
      <c r="B23" s="11">
        <v>46311.522650462961</v>
      </c>
      <c r="C23" s="4" t="s">
        <v>133</v>
      </c>
      <c r="D23" s="4"/>
      <c r="E23" s="22" t="s">
        <v>134</v>
      </c>
      <c r="F23" s="22" t="s">
        <v>135</v>
      </c>
      <c r="G23" s="4" t="s">
        <v>74</v>
      </c>
      <c r="H23" s="22" t="s">
        <v>136</v>
      </c>
      <c r="I23" s="12" t="s">
        <v>55</v>
      </c>
      <c r="J23" s="12" t="s">
        <v>39</v>
      </c>
      <c r="K23" s="13" t="s">
        <v>137</v>
      </c>
      <c r="L23" s="14" t="s">
        <v>138</v>
      </c>
      <c r="M23" s="22" t="s">
        <v>162</v>
      </c>
    </row>
    <row r="24" spans="1:13" ht="40.5" customHeight="1" x14ac:dyDescent="0.25">
      <c r="A24" s="4">
        <f t="shared" si="0"/>
        <v>20</v>
      </c>
      <c r="B24" s="11">
        <v>46311.655335648145</v>
      </c>
      <c r="C24" s="4" t="s">
        <v>139</v>
      </c>
      <c r="D24" s="4"/>
      <c r="E24" s="27" t="s">
        <v>140</v>
      </c>
      <c r="F24" s="22" t="s">
        <v>141</v>
      </c>
      <c r="G24" s="4" t="s">
        <v>20</v>
      </c>
      <c r="H24" s="22" t="s">
        <v>142</v>
      </c>
      <c r="I24" s="12" t="s">
        <v>55</v>
      </c>
      <c r="J24" s="12" t="s">
        <v>23</v>
      </c>
      <c r="K24" s="13" t="s">
        <v>143</v>
      </c>
      <c r="L24" s="14" t="s">
        <v>144</v>
      </c>
      <c r="M24" s="22" t="s">
        <v>158</v>
      </c>
    </row>
    <row r="25" spans="1:13" ht="40.5" customHeight="1" x14ac:dyDescent="0.25">
      <c r="A25" s="4">
        <f t="shared" si="0"/>
        <v>21</v>
      </c>
      <c r="B25" s="11">
        <v>46311.531944444447</v>
      </c>
      <c r="C25" s="4" t="s">
        <v>145</v>
      </c>
      <c r="D25" s="4"/>
      <c r="E25" s="22" t="s">
        <v>146</v>
      </c>
      <c r="F25" s="22" t="s">
        <v>147</v>
      </c>
      <c r="G25" s="4" t="s">
        <v>20</v>
      </c>
      <c r="H25" s="22" t="s">
        <v>148</v>
      </c>
      <c r="I25" s="12" t="s">
        <v>149</v>
      </c>
      <c r="J25" s="12" t="s">
        <v>39</v>
      </c>
      <c r="K25" s="13" t="s">
        <v>150</v>
      </c>
      <c r="L25" s="14" t="s">
        <v>151</v>
      </c>
      <c r="M25" s="22" t="s">
        <v>159</v>
      </c>
    </row>
    <row r="26" spans="1:13" ht="40.5" customHeight="1" x14ac:dyDescent="0.25">
      <c r="A26" s="4">
        <f t="shared" si="0"/>
        <v>22</v>
      </c>
      <c r="B26" s="17">
        <v>46311.643136574072</v>
      </c>
      <c r="C26" s="16" t="s">
        <v>152</v>
      </c>
      <c r="D26" s="16"/>
      <c r="E26" s="23" t="s">
        <v>153</v>
      </c>
      <c r="F26" s="23" t="s">
        <v>154</v>
      </c>
      <c r="G26" s="16" t="s">
        <v>20</v>
      </c>
      <c r="H26" s="23" t="s">
        <v>155</v>
      </c>
      <c r="I26" s="18" t="s">
        <v>55</v>
      </c>
      <c r="J26" s="18" t="s">
        <v>23</v>
      </c>
      <c r="K26" s="19" t="s">
        <v>156</v>
      </c>
      <c r="L26" s="20" t="s">
        <v>157</v>
      </c>
      <c r="M26" s="23" t="s">
        <v>159</v>
      </c>
    </row>
    <row r="27" spans="1:13" ht="40.5" customHeight="1" x14ac:dyDescent="0.25">
      <c r="A27" s="4">
        <f t="shared" si="0"/>
        <v>23</v>
      </c>
      <c r="B27" s="21"/>
      <c r="C27" s="15">
        <v>327605</v>
      </c>
      <c r="D27" s="15" t="s">
        <v>171</v>
      </c>
      <c r="E27" s="24" t="s">
        <v>164</v>
      </c>
      <c r="F27" s="24">
        <v>132</v>
      </c>
      <c r="G27" s="15" t="s">
        <v>170</v>
      </c>
      <c r="H27" s="24" t="s">
        <v>168</v>
      </c>
      <c r="I27" s="15" t="s">
        <v>165</v>
      </c>
      <c r="J27" s="15" t="s">
        <v>166</v>
      </c>
      <c r="K27" s="15" t="s">
        <v>165</v>
      </c>
      <c r="L27" s="15" t="s">
        <v>167</v>
      </c>
      <c r="M27" s="28" t="s">
        <v>169</v>
      </c>
    </row>
    <row r="28" spans="1:13" ht="40.5" customHeight="1" x14ac:dyDescent="0.25">
      <c r="A28" s="4">
        <f t="shared" si="0"/>
        <v>24</v>
      </c>
      <c r="B28" s="21"/>
      <c r="C28" s="21"/>
      <c r="D28" s="21"/>
      <c r="E28" s="25"/>
      <c r="F28" s="25"/>
      <c r="G28" s="21"/>
      <c r="H28" s="25"/>
      <c r="I28" s="21"/>
      <c r="J28" s="21"/>
      <c r="K28" s="21"/>
      <c r="L28" s="21"/>
      <c r="M28" s="25"/>
    </row>
    <row r="29" spans="1:13" ht="40.5" customHeight="1" x14ac:dyDescent="0.25">
      <c r="A29" s="4">
        <f t="shared" si="0"/>
        <v>25</v>
      </c>
      <c r="B29" s="21"/>
      <c r="C29" s="21"/>
      <c r="D29" s="21"/>
      <c r="E29" s="25"/>
      <c r="F29" s="25"/>
      <c r="G29" s="21"/>
      <c r="H29" s="25"/>
      <c r="I29" s="21"/>
      <c r="J29" s="21"/>
      <c r="K29" s="21"/>
      <c r="L29" s="21"/>
      <c r="M29" s="25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2026-10-16T11:26:54Z</dcterms:created>
  <dcterms:modified xsi:type="dcterms:W3CDTF">2026-10-16T13:12:44Z</dcterms:modified>
</cp:coreProperties>
</file>
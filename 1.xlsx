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Sheet0!$A$1:$M$22</definedName>
  </definedNames>
  <calcPr calcId="162913"/>
</workbook>
</file>

<file path=xl/calcChain.xml><?xml version="1.0" encoding="utf-8"?>
<calcChain xmlns="http://schemas.openxmlformats.org/spreadsheetml/2006/main">
  <c r="A23" i="1" l="1"/>
  <c r="A24" i="1" s="1"/>
  <c r="A25" i="1" s="1"/>
  <c r="A26" i="1" s="1"/>
  <c r="A27" i="1" s="1"/>
  <c r="A28" i="1" s="1"/>
  <c r="A29" i="1" s="1"/>
  <c r="A7" i="1" l="1"/>
  <c r="A8" i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6" i="1"/>
</calcChain>
</file>

<file path=xl/sharedStrings.xml><?xml version="1.0" encoding="utf-8"?>
<sst xmlns="http://schemas.openxmlformats.org/spreadsheetml/2006/main" count="233" uniqueCount="157">
  <si>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</si>
  <si>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</si>
  <si>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</si>
  <si>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</si>
  <si>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</si>
  <si>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</si>
  <si>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</si>
  <si>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</si>
  <si>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</si>
  <si>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</si>
  <si>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</si>
  <si>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</si>
  <si>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</si>
  <si>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</si>
  <si>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</si>
  <si>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</si>
  <si>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</si>
  <si>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MR2608/0271</t>
  </si>
  <si>
    <t>63MVA_132/33KV_BBL_Xmer_1</t>
  </si>
  <si>
    <t>132KV_AMARWARA</t>
  </si>
  <si>
    <t>NON-OCCM-MP</t>
  </si>
  <si>
    <t>Y Phase CT clamp hot point attending work.</t>
  </si>
  <si>
    <t>25-08-2026 11:00:00</t>
  </si>
  <si>
    <t>25-08-2026 15:00:00</t>
  </si>
  <si>
    <t>S.K.Okte</t>
  </si>
  <si>
    <t>7587951132</t>
  </si>
  <si>
    <t>MR2608/0279</t>
  </si>
  <si>
    <t>132KV_132K Anuppur-Janakpur ckt</t>
  </si>
  <si>
    <t>220KV_ANUPPUR</t>
  </si>
  <si>
    <t>for Flash over disc replacement &amp; other line work</t>
  </si>
  <si>
    <t>25-08-2026 10:00:00</t>
  </si>
  <si>
    <t>25-08-2026 18:00:00</t>
  </si>
  <si>
    <t>Jagdish Prasad Ashati</t>
  </si>
  <si>
    <t>9424445533</t>
  </si>
  <si>
    <t>MR2608/0284</t>
  </si>
  <si>
    <t>132KV_132 KV Gadarwara-Barman Line</t>
  </si>
  <si>
    <t>132KV_BARMAN</t>
  </si>
  <si>
    <t>Flashover Disc replacement work at Loc. No.53/B-01</t>
  </si>
  <si>
    <t>Ashish Kumar</t>
  </si>
  <si>
    <t>9425805935</t>
  </si>
  <si>
    <t>MR2608/0277</t>
  </si>
  <si>
    <t>220KV_220 KV Ajaygarh - Chhatarpur (TBCB) Ckt. 1st line</t>
  </si>
  <si>
    <t>220KV_CHATARPUR</t>
  </si>
  <si>
    <t>installation of ERS</t>
  </si>
  <si>
    <t>25-08-2026 07:00:00</t>
  </si>
  <si>
    <t>Pankaj yadav</t>
  </si>
  <si>
    <t>9406713326</t>
  </si>
  <si>
    <t>MR2608/0272</t>
  </si>
  <si>
    <t>220KV_JAITPURA ASHTA CKT-2 LINE.</t>
  </si>
  <si>
    <t>220KV_INDORE-II (JETPURA)</t>
  </si>
  <si>
    <t>JUMPER CONE TIGHTING OTHER MAINTENANCE WORK.</t>
  </si>
  <si>
    <t>RAVINDRA PATIL</t>
  </si>
  <si>
    <t>8305612190</t>
  </si>
  <si>
    <t>MR2608/0270</t>
  </si>
  <si>
    <t>220KV_220KV Julwania - Kukshi Ckt-1st line</t>
  </si>
  <si>
    <t>400KV_JULWANIYA4</t>
  </si>
  <si>
    <t>Flashover polymer insulator replacement and other</t>
  </si>
  <si>
    <t>25-08-2026 17:00:00</t>
  </si>
  <si>
    <t>Dinesh More</t>
  </si>
  <si>
    <t>9425806860</t>
  </si>
  <si>
    <t>MR2608/0283</t>
  </si>
  <si>
    <t>220KV_220 KV KATNI - SATNA LINE</t>
  </si>
  <si>
    <t>400KV_KATNI4</t>
  </si>
  <si>
    <t>F/o Disc Replacement  and Other Line Maintenance</t>
  </si>
  <si>
    <t>MANOJ KUMAR TIWARI</t>
  </si>
  <si>
    <t>9425804993</t>
  </si>
  <si>
    <t>MR2608/0063</t>
  </si>
  <si>
    <t>Daily</t>
  </si>
  <si>
    <t>220KV_220kV Mahalgaon - Datia &amp; 220kV Mahalgaon - PGCIL ckt -III</t>
  </si>
  <si>
    <t>220KV_MAHALGAON</t>
  </si>
  <si>
    <t>Erection/Dismentalling of tower &amp; making cut point</t>
  </si>
  <si>
    <t>06-08-2026 10:00:00</t>
  </si>
  <si>
    <t>26-08-2026 18:00:00</t>
  </si>
  <si>
    <t>Pankaj Kumar</t>
  </si>
  <si>
    <t>9425805317</t>
  </si>
  <si>
    <t>MR2608/0278</t>
  </si>
  <si>
    <t>132KV_132/33 kV 50 MVA TAL X-mer</t>
  </si>
  <si>
    <t>220KV_MAIHAR</t>
  </si>
  <si>
    <t>For replacement of single to twin zebra conductor</t>
  </si>
  <si>
    <t>25-08-2026 13:00:00</t>
  </si>
  <si>
    <t>Arun Kumar Kol</t>
  </si>
  <si>
    <t>8319677721</t>
  </si>
  <si>
    <t>MR2608/0285</t>
  </si>
  <si>
    <t>220KV_220KV Malanpur Auraiya line</t>
  </si>
  <si>
    <t>220KV_MALANPUR</t>
  </si>
  <si>
    <t>OCCM-MP</t>
  </si>
  <si>
    <t>Insulator Replacement &amp; Other Maintenanace wprk</t>
  </si>
  <si>
    <t>25-08-2026 09:00:00</t>
  </si>
  <si>
    <t>Baidyanath Kumar</t>
  </si>
  <si>
    <t>6265588473</t>
  </si>
  <si>
    <t>MR2608/0207</t>
  </si>
  <si>
    <t>132KV_132kV Mandla-Bichhiya Line</t>
  </si>
  <si>
    <t>132KV_MANDLA</t>
  </si>
  <si>
    <t>OPGW Stringing On Hot Line Work &amp; Other Line Maint</t>
  </si>
  <si>
    <t>22-08-2026 07:00:00</t>
  </si>
  <si>
    <t>31-08-2026 19:00:00</t>
  </si>
  <si>
    <t>S.K. BHALADHARE</t>
  </si>
  <si>
    <t>9425807264</t>
  </si>
  <si>
    <t>MR2608/0280</t>
  </si>
  <si>
    <t>132KV_132</t>
  </si>
  <si>
    <t>132KV_MANDSOUR</t>
  </si>
  <si>
    <t>For Line Maintenance work</t>
  </si>
  <si>
    <t>Gaurav Goyal</t>
  </si>
  <si>
    <t>9425805120</t>
  </si>
  <si>
    <t>MR2608/0273</t>
  </si>
  <si>
    <t>220KV_Nagra- Ratlam-II</t>
  </si>
  <si>
    <t>220KV_NAGRA</t>
  </si>
  <si>
    <t>TCS relay replacement work.</t>
  </si>
  <si>
    <t>25-08-2026 10:30:00</t>
  </si>
  <si>
    <t>25-08-2026 12:00:00</t>
  </si>
  <si>
    <t>Er. Shailandra bourasi</t>
  </si>
  <si>
    <t>9907246485</t>
  </si>
  <si>
    <t>MR2608/0274</t>
  </si>
  <si>
    <t>220KV_Nagra- Jaora</t>
  </si>
  <si>
    <t>25-08-2026 14:00:00</t>
  </si>
  <si>
    <t>Er. Shailandra Bourasi</t>
  </si>
  <si>
    <t>MR2608/0275</t>
  </si>
  <si>
    <t>220KV_Nagra- Nagda-I</t>
  </si>
  <si>
    <t>25-08-2026 16:00:00</t>
  </si>
  <si>
    <t>MR2608/0276</t>
  </si>
  <si>
    <t>220KV_Nagra- Nagda-II</t>
  </si>
  <si>
    <t>25-08-2026 17:30:00</t>
  </si>
  <si>
    <t>Er. Shailandra Boursi</t>
  </si>
  <si>
    <t>MR2608/0210</t>
  </si>
  <si>
    <t>132KV_132 KV PANAGAR - DHEEMARKHEDA LINE</t>
  </si>
  <si>
    <t>220KV_PANAGAR</t>
  </si>
  <si>
    <t>OPGW LIVE LINE INSTALLATION WORK</t>
  </si>
  <si>
    <t>19-08-2026 07:00:00</t>
  </si>
  <si>
    <t>25-08-2026 19:00:00</t>
  </si>
  <si>
    <t>MR2608/0281</t>
  </si>
  <si>
    <t>220KV_220KV MAIN-BUS</t>
  </si>
  <si>
    <t>220KV_SARNI</t>
  </si>
  <si>
    <t>For replacement of R &amp; Y Jumper of Main Bus.</t>
  </si>
  <si>
    <t>Er. Anup Kumar Dange</t>
  </si>
  <si>
    <t>9425814073</t>
  </si>
  <si>
    <t>ok</t>
  </si>
  <si>
    <t>ok, through sub ld</t>
  </si>
  <si>
    <t>ok, line to be in service</t>
  </si>
  <si>
    <t>sub ld</t>
  </si>
  <si>
    <t>continous</t>
  </si>
  <si>
    <t>o&amp;m consent required</t>
  </si>
  <si>
    <t>220kv Betul PG-Sarni not approved in WR list, send separate proposal if there is any emergency</t>
  </si>
  <si>
    <t>GWALIOR - 220KV - BUS 2</t>
  </si>
  <si>
    <t>220KV-MALANPUR-AURIYA-1</t>
  </si>
  <si>
    <t>220KV-SHUJALPUR-RAJGARH-MP-2</t>
  </si>
  <si>
    <t>132KV-VSTPS-WAIDHAN-1</t>
  </si>
  <si>
    <t>AMP WORKS</t>
  </si>
  <si>
    <t xml:space="preserve">FOR REPLACEMENT OF DEFECTIVE DICS INSULATOR STRING AT VARIOUS LOCATIONS </t>
  </si>
  <si>
    <t>FOR LINE MAINTENANCE WORK I.E. CLEANING OF DISC INSULATORS DURING LINE PATROLLING, REPLACEMENT OF FLASHOVERED DISC INSULATORS, TREE BRANCH CUTTING ETC AT VARIOUS TOWER LOCATIONS</t>
  </si>
  <si>
    <t>POWERGRID_WR2</t>
  </si>
  <si>
    <t>MP_SLDC</t>
  </si>
  <si>
    <t>25-Aug-2026</t>
  </si>
  <si>
    <t>09:00</t>
  </si>
  <si>
    <t>18:00</t>
  </si>
  <si>
    <t>17:00</t>
  </si>
  <si>
    <t>08:00</t>
  </si>
  <si>
    <t>real 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</si>
</sst>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9">
    <font>
      <sz val="11"/>
      <color indexed="8"/>
      <name val="Calibri"/>
      <family val="2"/>
      <scheme val="minor"/>
    </font>
    <font>
      <b/>
      <sz val="10"/>
      <color rgb="FF000000"/>
      <name val="Arial"/>
    </font>
    <font>
      <b/>
      <sz val="12"/>
      <color rgb="FF000000"/>
      <name val="Arial"/>
    </font>
    <font>
      <sz val="11"/>
      <name val="Calibri"/>
    </font>
    <font>
      <sz val="10"/>
      <color rgb="FF000000"/>
      <name val="Arial"/>
    </font>
    <font>
      <sz val="11"/>
      <name val="Calibri"/>
      <family val="2"/>
      <scheme val="minor"/>
    </font>
    <font>
      <b/>
      <sz val="12"/>
      <color rgb="FF000000"/>
      <name val="Arial"/>
      <family val="2"/>
    </font>
    <font>
      <b/>
      <sz val="12"/>
      <color indexed="8"/>
      <name val="Calibri"/>
      <family val="2"/>
      <scheme val="minor"/>
    </font>
    <font>
      <b/>
      <sz val="1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0" fontId="3" fillId="0" borderId="3" xfId="0" applyFont="1" applyBorder="1" applyAlignment="1">
      <alignment wrapText="1"/>
    </xf>
    <xf numFmtId="164" fontId="1" fillId="2" borderId="1" xfId="0" applyNumberFormat="1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 wrapText="1"/>
    </xf>
    <xf numFmtId="165" fontId="4" fillId="0" borderId="1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164" fontId="4" fillId="0" borderId="6" xfId="0" applyNumberFormat="1" applyFont="1" applyBorder="1" applyAlignment="1">
      <alignment horizontal="center" vertical="center" wrapText="1"/>
    </xf>
    <xf numFmtId="165" fontId="4" fillId="0" borderId="6" xfId="0" applyNumberFormat="1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0" fillId="0" borderId="5" xfId="0" applyBorder="1" applyAlignment="1">
      <alignment wrapText="1"/>
    </xf>
    <xf numFmtId="0" fontId="5" fillId="3" borderId="5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/>
    </xf>
    <xf numFmtId="0" fontId="7" fillId="0" borderId="5" xfId="0" applyFont="1" applyBorder="1" applyAlignment="1">
      <alignment wrapText="1"/>
    </xf>
    <xf numFmtId="0" fontId="7" fillId="0" borderId="0" xfId="0" applyFont="1" applyAlignment="1">
      <alignment wrapText="1"/>
    </xf>
    <xf numFmtId="0" fontId="8" fillId="3" borderId="5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0</xdr:row>
      <xdr:rowOff>555785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29"/>
  <sheetViews>
    <sheetView tabSelected="1" topLeftCell="B1" zoomScaleNormal="100" workbookViewId="0">
      <selection activeCell="B1" sqref="A1:XFD1048576"/>
    </sheetView>
  </sheetViews>
  <sheetFormatPr defaultRowHeight="62.25" customHeight="1"/>
  <cols>
    <col min="1" max="1" width="9.140625" style="4"/>
    <col min="2" max="2" width="11.140625" style="4" customWidth="1"/>
    <col min="3" max="3" width="8.28515625" style="4" customWidth="1"/>
    <col min="4" max="4" width="9.140625" style="4"/>
    <col min="5" max="5" width="49.42578125" style="27" customWidth="1"/>
    <col min="6" max="6" width="29.140625" style="27" customWidth="1"/>
    <col min="7" max="7" width="9" style="4" customWidth="1"/>
    <col min="8" max="8" width="48.85546875" style="27" customWidth="1"/>
    <col min="9" max="9" width="12" style="4" customWidth="1"/>
    <col min="10" max="10" width="11.5703125" style="4" customWidth="1"/>
    <col min="11" max="11" width="12" style="4" customWidth="1"/>
    <col min="12" max="12" width="6.140625" style="4" customWidth="1"/>
    <col min="13" max="13" width="37.5703125" style="27" customWidth="1"/>
    <col min="14" max="16384" width="9.140625" style="4"/>
  </cols>
  <sheetData>
    <row r="1" spans="1:13" ht="62.25" customHeight="1">
      <c r="A1" s="1"/>
      <c r="B1" s="5" t="s">
        <v>0</v>
      </c>
      <c r="C1" s="6"/>
      <c r="D1" s="6"/>
      <c r="E1" s="6"/>
      <c r="F1" s="6"/>
      <c r="G1" s="6"/>
      <c r="H1" s="6"/>
      <c r="I1" s="6"/>
      <c r="J1" s="6"/>
      <c r="K1" s="6"/>
      <c r="L1" s="6"/>
      <c r="M1" s="7"/>
    </row>
    <row r="2" spans="1:13" ht="62.25" customHeight="1">
      <c r="A2" s="1" t="s">
        <v>1</v>
      </c>
      <c r="B2" s="8">
        <v>46259</v>
      </c>
      <c r="C2" s="1"/>
      <c r="D2" s="1"/>
      <c r="E2" s="22"/>
      <c r="F2" s="22"/>
      <c r="G2" s="1"/>
      <c r="H2" s="22"/>
      <c r="I2" s="1"/>
      <c r="J2" s="1"/>
      <c r="K2" s="1"/>
      <c r="L2" s="1"/>
      <c r="M2" s="22"/>
    </row>
    <row r="3" spans="1:13" ht="62.25" customHeight="1">
      <c r="A3" s="2" t="s">
        <v>2</v>
      </c>
      <c r="B3" s="2" t="s">
        <v>3</v>
      </c>
      <c r="C3" s="2" t="s">
        <v>4</v>
      </c>
      <c r="D3" s="2" t="s">
        <v>3</v>
      </c>
      <c r="E3" s="22"/>
      <c r="F3" s="22"/>
      <c r="G3" s="1"/>
      <c r="H3" s="22"/>
      <c r="I3" s="1"/>
      <c r="J3" s="1"/>
      <c r="K3" s="1"/>
      <c r="L3" s="1"/>
      <c r="M3" s="22"/>
    </row>
    <row r="4" spans="1:13" ht="62.25" customHeight="1">
      <c r="A4" s="2" t="s">
        <v>5</v>
      </c>
      <c r="B4" s="2" t="s">
        <v>6</v>
      </c>
      <c r="C4" s="2" t="s">
        <v>7</v>
      </c>
      <c r="D4" s="2" t="s">
        <v>8</v>
      </c>
      <c r="E4" s="23" t="s">
        <v>9</v>
      </c>
      <c r="F4" s="23" t="s">
        <v>10</v>
      </c>
      <c r="G4" s="2" t="s">
        <v>11</v>
      </c>
      <c r="H4" s="23" t="s">
        <v>12</v>
      </c>
      <c r="I4" s="2" t="s">
        <v>13</v>
      </c>
      <c r="J4" s="2" t="s">
        <v>14</v>
      </c>
      <c r="K4" s="9" t="s">
        <v>15</v>
      </c>
      <c r="L4" s="7"/>
      <c r="M4" s="23" t="s">
        <v>16</v>
      </c>
    </row>
    <row r="5" spans="1:13" ht="62.25" customHeight="1">
      <c r="A5" s="3">
        <v>1</v>
      </c>
      <c r="B5" s="10">
        <v>46258.487881944442</v>
      </c>
      <c r="C5" s="3" t="s">
        <v>17</v>
      </c>
      <c r="D5" s="3"/>
      <c r="E5" s="23" t="s">
        <v>18</v>
      </c>
      <c r="F5" s="23" t="s">
        <v>19</v>
      </c>
      <c r="G5" s="3" t="s">
        <v>20</v>
      </c>
      <c r="H5" s="23" t="s">
        <v>21</v>
      </c>
      <c r="I5" s="11" t="s">
        <v>22</v>
      </c>
      <c r="J5" s="11" t="s">
        <v>23</v>
      </c>
      <c r="K5" s="12" t="s">
        <v>24</v>
      </c>
      <c r="L5" s="13" t="s">
        <v>25</v>
      </c>
      <c r="M5" s="23" t="s">
        <v>140</v>
      </c>
    </row>
    <row r="6" spans="1:13" ht="62.25" customHeight="1">
      <c r="A6" s="3">
        <f>A5+1</f>
        <v>2</v>
      </c>
      <c r="B6" s="10">
        <v>46258.637442129628</v>
      </c>
      <c r="C6" s="3" t="s">
        <v>26</v>
      </c>
      <c r="D6" s="3"/>
      <c r="E6" s="23" t="s">
        <v>27</v>
      </c>
      <c r="F6" s="23" t="s">
        <v>28</v>
      </c>
      <c r="G6" s="3" t="s">
        <v>20</v>
      </c>
      <c r="H6" s="23" t="s">
        <v>29</v>
      </c>
      <c r="I6" s="11" t="s">
        <v>30</v>
      </c>
      <c r="J6" s="11" t="s">
        <v>31</v>
      </c>
      <c r="K6" s="12" t="s">
        <v>32</v>
      </c>
      <c r="L6" s="13" t="s">
        <v>33</v>
      </c>
      <c r="M6" s="23" t="s">
        <v>135</v>
      </c>
    </row>
    <row r="7" spans="1:13" ht="62.25" customHeight="1">
      <c r="A7" s="3">
        <f t="shared" ref="A7:A29" si="0">A6+1</f>
        <v>3</v>
      </c>
      <c r="B7" s="10">
        <v>46258.674189814818</v>
      </c>
      <c r="C7" s="3" t="s">
        <v>34</v>
      </c>
      <c r="D7" s="3"/>
      <c r="E7" s="23" t="s">
        <v>35</v>
      </c>
      <c r="F7" s="23" t="s">
        <v>36</v>
      </c>
      <c r="G7" s="3" t="s">
        <v>20</v>
      </c>
      <c r="H7" s="23" t="s">
        <v>37</v>
      </c>
      <c r="I7" s="11" t="s">
        <v>30</v>
      </c>
      <c r="J7" s="11" t="s">
        <v>31</v>
      </c>
      <c r="K7" s="12" t="s">
        <v>38</v>
      </c>
      <c r="L7" s="13" t="s">
        <v>39</v>
      </c>
      <c r="M7" s="23" t="s">
        <v>135</v>
      </c>
    </row>
    <row r="8" spans="1:13" ht="62.25" customHeight="1">
      <c r="A8" s="3">
        <f t="shared" si="0"/>
        <v>4</v>
      </c>
      <c r="B8" s="10">
        <v>46258.602858796294</v>
      </c>
      <c r="C8" s="3" t="s">
        <v>40</v>
      </c>
      <c r="D8" s="3"/>
      <c r="E8" s="23" t="s">
        <v>41</v>
      </c>
      <c r="F8" s="23" t="s">
        <v>42</v>
      </c>
      <c r="G8" s="3" t="s">
        <v>20</v>
      </c>
      <c r="H8" s="23" t="s">
        <v>43</v>
      </c>
      <c r="I8" s="11" t="s">
        <v>44</v>
      </c>
      <c r="J8" s="11" t="s">
        <v>31</v>
      </c>
      <c r="K8" s="12" t="s">
        <v>45</v>
      </c>
      <c r="L8" s="13" t="s">
        <v>46</v>
      </c>
      <c r="M8" s="23" t="s">
        <v>135</v>
      </c>
    </row>
    <row r="9" spans="1:13" ht="62.25" customHeight="1">
      <c r="A9" s="3">
        <f t="shared" si="0"/>
        <v>5</v>
      </c>
      <c r="B9" s="10">
        <v>46258.555949074071</v>
      </c>
      <c r="C9" s="3" t="s">
        <v>47</v>
      </c>
      <c r="D9" s="3"/>
      <c r="E9" s="23" t="s">
        <v>48</v>
      </c>
      <c r="F9" s="23" t="s">
        <v>49</v>
      </c>
      <c r="G9" s="3" t="s">
        <v>20</v>
      </c>
      <c r="H9" s="23" t="s">
        <v>50</v>
      </c>
      <c r="I9" s="11" t="s">
        <v>30</v>
      </c>
      <c r="J9" s="11" t="s">
        <v>31</v>
      </c>
      <c r="K9" s="12" t="s">
        <v>51</v>
      </c>
      <c r="L9" s="13" t="s">
        <v>52</v>
      </c>
      <c r="M9" s="23" t="s">
        <v>136</v>
      </c>
    </row>
    <row r="10" spans="1:13" ht="62.25" customHeight="1">
      <c r="A10" s="3">
        <f t="shared" si="0"/>
        <v>6</v>
      </c>
      <c r="B10" s="10">
        <v>46258.464120370372</v>
      </c>
      <c r="C10" s="3" t="s">
        <v>53</v>
      </c>
      <c r="D10" s="3"/>
      <c r="E10" s="23" t="s">
        <v>54</v>
      </c>
      <c r="F10" s="23" t="s">
        <v>55</v>
      </c>
      <c r="G10" s="3" t="s">
        <v>20</v>
      </c>
      <c r="H10" s="23" t="s">
        <v>56</v>
      </c>
      <c r="I10" s="11" t="s">
        <v>30</v>
      </c>
      <c r="J10" s="11" t="s">
        <v>57</v>
      </c>
      <c r="K10" s="12" t="s">
        <v>58</v>
      </c>
      <c r="L10" s="13" t="s">
        <v>59</v>
      </c>
      <c r="M10" s="23" t="s">
        <v>136</v>
      </c>
    </row>
    <row r="11" spans="1:13" ht="62.25" customHeight="1">
      <c r="A11" s="3">
        <f t="shared" si="0"/>
        <v>7</v>
      </c>
      <c r="B11" s="10">
        <v>46258.670844907407</v>
      </c>
      <c r="C11" s="3" t="s">
        <v>60</v>
      </c>
      <c r="D11" s="3"/>
      <c r="E11" s="23" t="s">
        <v>61</v>
      </c>
      <c r="F11" s="23" t="s">
        <v>62</v>
      </c>
      <c r="G11" s="3" t="s">
        <v>20</v>
      </c>
      <c r="H11" s="23" t="s">
        <v>63</v>
      </c>
      <c r="I11" s="11" t="s">
        <v>30</v>
      </c>
      <c r="J11" s="11" t="s">
        <v>31</v>
      </c>
      <c r="K11" s="12" t="s">
        <v>64</v>
      </c>
      <c r="L11" s="13" t="s">
        <v>65</v>
      </c>
      <c r="M11" s="23" t="s">
        <v>135</v>
      </c>
    </row>
    <row r="12" spans="1:13" ht="62.25" customHeight="1">
      <c r="A12" s="3">
        <f t="shared" si="0"/>
        <v>8</v>
      </c>
      <c r="B12" s="10">
        <v>46239.682071759256</v>
      </c>
      <c r="C12" s="3" t="s">
        <v>66</v>
      </c>
      <c r="D12" s="3" t="s">
        <v>67</v>
      </c>
      <c r="E12" s="23" t="s">
        <v>68</v>
      </c>
      <c r="F12" s="23" t="s">
        <v>69</v>
      </c>
      <c r="G12" s="3" t="s">
        <v>20</v>
      </c>
      <c r="H12" s="23" t="s">
        <v>70</v>
      </c>
      <c r="I12" s="11" t="s">
        <v>71</v>
      </c>
      <c r="J12" s="11" t="s">
        <v>72</v>
      </c>
      <c r="K12" s="12" t="s">
        <v>73</v>
      </c>
      <c r="L12" s="13" t="s">
        <v>74</v>
      </c>
      <c r="M12" s="23" t="s">
        <v>139</v>
      </c>
    </row>
    <row r="13" spans="1:13" ht="62.25" customHeight="1">
      <c r="A13" s="3">
        <f t="shared" si="0"/>
        <v>9</v>
      </c>
      <c r="B13" s="10">
        <v>46258.636574074073</v>
      </c>
      <c r="C13" s="3" t="s">
        <v>75</v>
      </c>
      <c r="D13" s="3"/>
      <c r="E13" s="23" t="s">
        <v>76</v>
      </c>
      <c r="F13" s="23" t="s">
        <v>77</v>
      </c>
      <c r="G13" s="3" t="s">
        <v>20</v>
      </c>
      <c r="H13" s="23" t="s">
        <v>78</v>
      </c>
      <c r="I13" s="11" t="s">
        <v>30</v>
      </c>
      <c r="J13" s="11" t="s">
        <v>79</v>
      </c>
      <c r="K13" s="12" t="s">
        <v>80</v>
      </c>
      <c r="L13" s="13" t="s">
        <v>81</v>
      </c>
      <c r="M13" s="23" t="s">
        <v>135</v>
      </c>
    </row>
    <row r="14" spans="1:13" ht="62.25" customHeight="1">
      <c r="A14" s="3">
        <f t="shared" si="0"/>
        <v>10</v>
      </c>
      <c r="B14" s="10">
        <v>46258.719085648147</v>
      </c>
      <c r="C14" s="3" t="s">
        <v>82</v>
      </c>
      <c r="D14" s="3"/>
      <c r="E14" s="23" t="s">
        <v>83</v>
      </c>
      <c r="F14" s="23" t="s">
        <v>84</v>
      </c>
      <c r="G14" s="3" t="s">
        <v>85</v>
      </c>
      <c r="H14" s="23" t="s">
        <v>86</v>
      </c>
      <c r="I14" s="11" t="s">
        <v>87</v>
      </c>
      <c r="J14" s="11" t="s">
        <v>31</v>
      </c>
      <c r="K14" s="12" t="s">
        <v>88</v>
      </c>
      <c r="L14" s="13" t="s">
        <v>89</v>
      </c>
      <c r="M14" s="23" t="s">
        <v>136</v>
      </c>
    </row>
    <row r="15" spans="1:13" ht="62.25" customHeight="1">
      <c r="A15" s="3">
        <f t="shared" si="0"/>
        <v>11</v>
      </c>
      <c r="B15" s="10">
        <v>46252.611527777779</v>
      </c>
      <c r="C15" s="3" t="s">
        <v>90</v>
      </c>
      <c r="D15" s="3" t="s">
        <v>67</v>
      </c>
      <c r="E15" s="23" t="s">
        <v>91</v>
      </c>
      <c r="F15" s="23" t="s">
        <v>92</v>
      </c>
      <c r="G15" s="3" t="s">
        <v>20</v>
      </c>
      <c r="H15" s="23" t="s">
        <v>93</v>
      </c>
      <c r="I15" s="11" t="s">
        <v>94</v>
      </c>
      <c r="J15" s="11" t="s">
        <v>95</v>
      </c>
      <c r="K15" s="12" t="s">
        <v>96</v>
      </c>
      <c r="L15" s="13" t="s">
        <v>97</v>
      </c>
      <c r="M15" s="23" t="s">
        <v>137</v>
      </c>
    </row>
    <row r="16" spans="1:13" ht="62.25" customHeight="1">
      <c r="A16" s="3">
        <f t="shared" si="0"/>
        <v>12</v>
      </c>
      <c r="B16" s="10">
        <v>46258.655034722222</v>
      </c>
      <c r="C16" s="3" t="s">
        <v>98</v>
      </c>
      <c r="D16" s="3"/>
      <c r="E16" s="23" t="s">
        <v>99</v>
      </c>
      <c r="F16" s="23" t="s">
        <v>100</v>
      </c>
      <c r="G16" s="3" t="s">
        <v>20</v>
      </c>
      <c r="H16" s="23" t="s">
        <v>101</v>
      </c>
      <c r="I16" s="11" t="s">
        <v>30</v>
      </c>
      <c r="J16" s="11" t="s">
        <v>31</v>
      </c>
      <c r="K16" s="12" t="s">
        <v>102</v>
      </c>
      <c r="L16" s="13" t="s">
        <v>103</v>
      </c>
      <c r="M16" s="23" t="s">
        <v>138</v>
      </c>
    </row>
    <row r="17" spans="1:13" ht="62.25" customHeight="1">
      <c r="A17" s="3">
        <f t="shared" si="0"/>
        <v>13</v>
      </c>
      <c r="B17" s="10">
        <v>46258.557453703703</v>
      </c>
      <c r="C17" s="3" t="s">
        <v>104</v>
      </c>
      <c r="D17" s="3"/>
      <c r="E17" s="23" t="s">
        <v>105</v>
      </c>
      <c r="F17" s="23" t="s">
        <v>106</v>
      </c>
      <c r="G17" s="3" t="s">
        <v>20</v>
      </c>
      <c r="H17" s="23" t="s">
        <v>107</v>
      </c>
      <c r="I17" s="11" t="s">
        <v>108</v>
      </c>
      <c r="J17" s="11" t="s">
        <v>109</v>
      </c>
      <c r="K17" s="12" t="s">
        <v>110</v>
      </c>
      <c r="L17" s="13" t="s">
        <v>111</v>
      </c>
      <c r="M17" s="23" t="s">
        <v>136</v>
      </c>
    </row>
    <row r="18" spans="1:13" ht="62.25" customHeight="1">
      <c r="A18" s="3">
        <f t="shared" si="0"/>
        <v>14</v>
      </c>
      <c r="B18" s="10">
        <v>46258.558819444443</v>
      </c>
      <c r="C18" s="3" t="s">
        <v>112</v>
      </c>
      <c r="D18" s="3"/>
      <c r="E18" s="23" t="s">
        <v>113</v>
      </c>
      <c r="F18" s="23" t="s">
        <v>106</v>
      </c>
      <c r="G18" s="3" t="s">
        <v>20</v>
      </c>
      <c r="H18" s="23" t="s">
        <v>107</v>
      </c>
      <c r="I18" s="11" t="s">
        <v>109</v>
      </c>
      <c r="J18" s="11" t="s">
        <v>114</v>
      </c>
      <c r="K18" s="12" t="s">
        <v>115</v>
      </c>
      <c r="L18" s="13" t="s">
        <v>111</v>
      </c>
      <c r="M18" s="23" t="s">
        <v>136</v>
      </c>
    </row>
    <row r="19" spans="1:13" ht="62.25" customHeight="1">
      <c r="A19" s="3">
        <f t="shared" si="0"/>
        <v>15</v>
      </c>
      <c r="B19" s="10">
        <v>46258.560671296298</v>
      </c>
      <c r="C19" s="3" t="s">
        <v>116</v>
      </c>
      <c r="D19" s="3"/>
      <c r="E19" s="23" t="s">
        <v>117</v>
      </c>
      <c r="F19" s="23" t="s">
        <v>106</v>
      </c>
      <c r="G19" s="3" t="s">
        <v>20</v>
      </c>
      <c r="H19" s="23" t="s">
        <v>107</v>
      </c>
      <c r="I19" s="11" t="s">
        <v>114</v>
      </c>
      <c r="J19" s="11" t="s">
        <v>118</v>
      </c>
      <c r="K19" s="12" t="s">
        <v>115</v>
      </c>
      <c r="L19" s="13" t="s">
        <v>111</v>
      </c>
      <c r="M19" s="23" t="s">
        <v>136</v>
      </c>
    </row>
    <row r="20" spans="1:13" ht="62.25" customHeight="1">
      <c r="A20" s="3">
        <f t="shared" si="0"/>
        <v>16</v>
      </c>
      <c r="B20" s="10">
        <v>46258.562581018516</v>
      </c>
      <c r="C20" s="3" t="s">
        <v>119</v>
      </c>
      <c r="D20" s="3"/>
      <c r="E20" s="23" t="s">
        <v>120</v>
      </c>
      <c r="F20" s="23" t="s">
        <v>106</v>
      </c>
      <c r="G20" s="3" t="s">
        <v>20</v>
      </c>
      <c r="H20" s="23" t="s">
        <v>107</v>
      </c>
      <c r="I20" s="11" t="s">
        <v>118</v>
      </c>
      <c r="J20" s="11" t="s">
        <v>121</v>
      </c>
      <c r="K20" s="12" t="s">
        <v>122</v>
      </c>
      <c r="L20" s="13" t="s">
        <v>111</v>
      </c>
      <c r="M20" s="23" t="s">
        <v>136</v>
      </c>
    </row>
    <row r="21" spans="1:13" ht="62.25" customHeight="1">
      <c r="A21" s="3">
        <f t="shared" si="0"/>
        <v>17</v>
      </c>
      <c r="B21" s="10">
        <v>46253.337245370371</v>
      </c>
      <c r="C21" s="3" t="s">
        <v>123</v>
      </c>
      <c r="D21" s="3" t="s">
        <v>67</v>
      </c>
      <c r="E21" s="23" t="s">
        <v>124</v>
      </c>
      <c r="F21" s="23" t="s">
        <v>125</v>
      </c>
      <c r="G21" s="3" t="s">
        <v>20</v>
      </c>
      <c r="H21" s="23" t="s">
        <v>126</v>
      </c>
      <c r="I21" s="11" t="s">
        <v>127</v>
      </c>
      <c r="J21" s="11" t="s">
        <v>128</v>
      </c>
      <c r="K21" s="12" t="s">
        <v>64</v>
      </c>
      <c r="L21" s="13" t="s">
        <v>65</v>
      </c>
      <c r="M21" s="23" t="s">
        <v>137</v>
      </c>
    </row>
    <row r="22" spans="1:13" ht="62.25" customHeight="1">
      <c r="A22" s="14">
        <f t="shared" si="0"/>
        <v>18</v>
      </c>
      <c r="B22" s="15">
        <v>46258.656307870369</v>
      </c>
      <c r="C22" s="14" t="s">
        <v>129</v>
      </c>
      <c r="D22" s="14"/>
      <c r="E22" s="24" t="s">
        <v>130</v>
      </c>
      <c r="F22" s="24" t="s">
        <v>131</v>
      </c>
      <c r="G22" s="14" t="s">
        <v>20</v>
      </c>
      <c r="H22" s="24" t="s">
        <v>132</v>
      </c>
      <c r="I22" s="16" t="s">
        <v>109</v>
      </c>
      <c r="J22" s="16" t="s">
        <v>118</v>
      </c>
      <c r="K22" s="17" t="s">
        <v>133</v>
      </c>
      <c r="L22" s="18" t="s">
        <v>134</v>
      </c>
      <c r="M22" s="24" t="s">
        <v>141</v>
      </c>
    </row>
    <row r="23" spans="1:13" ht="62.25" customHeight="1">
      <c r="A23" s="19">
        <f t="shared" si="0"/>
        <v>19</v>
      </c>
      <c r="B23" s="20"/>
      <c r="C23" s="21">
        <v>318409</v>
      </c>
      <c r="D23" s="20"/>
      <c r="E23" s="28" t="s">
        <v>142</v>
      </c>
      <c r="F23" s="28">
        <v>220</v>
      </c>
      <c r="G23" s="21" t="s">
        <v>149</v>
      </c>
      <c r="H23" s="28" t="s">
        <v>146</v>
      </c>
      <c r="I23" s="21" t="s">
        <v>151</v>
      </c>
      <c r="J23" s="21" t="s">
        <v>152</v>
      </c>
      <c r="K23" s="21" t="s">
        <v>151</v>
      </c>
      <c r="L23" s="21" t="s">
        <v>153</v>
      </c>
      <c r="M23" s="25" t="s">
        <v>135</v>
      </c>
    </row>
    <row r="24" spans="1:13" ht="62.25" customHeight="1">
      <c r="A24" s="19">
        <f t="shared" si="0"/>
        <v>20</v>
      </c>
      <c r="B24" s="20"/>
      <c r="C24" s="21">
        <v>316053</v>
      </c>
      <c r="D24" s="20"/>
      <c r="E24" s="28" t="s">
        <v>143</v>
      </c>
      <c r="F24" s="28">
        <v>220</v>
      </c>
      <c r="G24" s="21" t="s">
        <v>150</v>
      </c>
      <c r="H24" s="28" t="s">
        <v>147</v>
      </c>
      <c r="I24" s="21" t="s">
        <v>151</v>
      </c>
      <c r="J24" s="21" t="s">
        <v>152</v>
      </c>
      <c r="K24" s="21" t="s">
        <v>151</v>
      </c>
      <c r="L24" s="21" t="s">
        <v>154</v>
      </c>
      <c r="M24" s="25" t="s">
        <v>136</v>
      </c>
    </row>
    <row r="25" spans="1:13" ht="82.5" customHeight="1">
      <c r="A25" s="19">
        <f t="shared" si="0"/>
        <v>21</v>
      </c>
      <c r="B25" s="20"/>
      <c r="C25" s="21">
        <v>316054</v>
      </c>
      <c r="D25" s="20"/>
      <c r="E25" s="28" t="s">
        <v>144</v>
      </c>
      <c r="F25" s="28">
        <v>220</v>
      </c>
      <c r="G25" s="21" t="s">
        <v>150</v>
      </c>
      <c r="H25" s="28" t="s">
        <v>148</v>
      </c>
      <c r="I25" s="21" t="s">
        <v>151</v>
      </c>
      <c r="J25" s="21" t="s">
        <v>155</v>
      </c>
      <c r="K25" s="21" t="s">
        <v>151</v>
      </c>
      <c r="L25" s="21" t="s">
        <v>153</v>
      </c>
      <c r="M25" s="25" t="s">
        <v>156</v>
      </c>
    </row>
    <row r="26" spans="1:13" ht="85.5" customHeight="1">
      <c r="A26" s="19">
        <f t="shared" si="0"/>
        <v>22</v>
      </c>
      <c r="B26" s="20"/>
      <c r="C26" s="21">
        <v>316064</v>
      </c>
      <c r="D26" s="20"/>
      <c r="E26" s="28" t="s">
        <v>145</v>
      </c>
      <c r="F26" s="28">
        <v>132</v>
      </c>
      <c r="G26" s="21" t="s">
        <v>150</v>
      </c>
      <c r="H26" s="28" t="s">
        <v>148</v>
      </c>
      <c r="I26" s="21" t="s">
        <v>151</v>
      </c>
      <c r="J26" s="21" t="s">
        <v>155</v>
      </c>
      <c r="K26" s="21" t="s">
        <v>151</v>
      </c>
      <c r="L26" s="21" t="s">
        <v>154</v>
      </c>
      <c r="M26" s="25" t="s">
        <v>156</v>
      </c>
    </row>
    <row r="27" spans="1:13" ht="62.25" customHeight="1">
      <c r="A27" s="19">
        <f t="shared" si="0"/>
        <v>23</v>
      </c>
      <c r="B27" s="20"/>
      <c r="C27" s="20"/>
      <c r="D27" s="20"/>
      <c r="E27" s="26"/>
      <c r="F27" s="26"/>
      <c r="G27" s="20"/>
      <c r="H27" s="26"/>
      <c r="I27" s="20"/>
      <c r="J27" s="20"/>
      <c r="K27" s="20"/>
      <c r="L27" s="20"/>
      <c r="M27" s="26"/>
    </row>
    <row r="28" spans="1:13" ht="62.25" customHeight="1">
      <c r="A28" s="19">
        <f t="shared" si="0"/>
        <v>24</v>
      </c>
      <c r="B28" s="20"/>
      <c r="C28" s="20"/>
      <c r="D28" s="20"/>
      <c r="E28" s="26"/>
      <c r="F28" s="26"/>
      <c r="G28" s="20"/>
      <c r="H28" s="26"/>
      <c r="I28" s="20"/>
      <c r="J28" s="20"/>
      <c r="K28" s="20"/>
      <c r="L28" s="20"/>
      <c r="M28" s="26"/>
    </row>
    <row r="29" spans="1:13" ht="62.25" customHeight="1">
      <c r="A29" s="19">
        <f t="shared" si="0"/>
        <v>25</v>
      </c>
      <c r="B29" s="20"/>
      <c r="C29" s="20"/>
      <c r="D29" s="20"/>
      <c r="E29" s="26"/>
      <c r="F29" s="26"/>
      <c r="G29" s="20"/>
      <c r="H29" s="26"/>
      <c r="I29" s="20"/>
      <c r="J29" s="20"/>
      <c r="K29" s="20"/>
      <c r="L29" s="20"/>
      <c r="M29" s="26"/>
    </row>
  </sheetData>
  <mergeCells count="2">
    <mergeCell ref="B1:M1"/>
    <mergeCell ref="K4:L4"/>
  </mergeCells>
  <pageMargins left="0" right="0" top="0" bottom="0" header="0.51181102362204722" footer="0.51181102362204722"/>
  <pageSetup paperSize="9" scale="57" fitToHeight="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cp:lastPrinted>2026-08-24T13:22:55Z</cp:lastPrinted>
  <dcterms:created xsi:type="dcterms:W3CDTF">2026-08-24T12:05:02Z</dcterms:created>
  <dcterms:modified xsi:type="dcterms:W3CDTF">2026-08-24T13:28:05Z</dcterms:modified>
</cp:coreProperties>
</file>
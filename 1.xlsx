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27" i="1" l="1"/>
  <c r="A28" i="1"/>
  <c r="A18" i="1" l="1"/>
  <c r="A19" i="1"/>
  <c r="A20" i="1" s="1"/>
  <c r="A21" i="1" s="1"/>
  <c r="A22" i="1" s="1"/>
  <c r="A23" i="1" s="1"/>
  <c r="A24" i="1" s="1"/>
  <c r="A25" i="1" s="1"/>
  <c r="A26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<sst xmlns="http://schemas.openxmlformats.org/spreadsheetml/2006/main" count="263" uniqueCount="183">
  <si>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</si>
  <si>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</si>
  <si>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</si>
  <si>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</si>
  <si>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</si>
  <si>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</si>
  <si>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</si>
  <si>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</si>
  <si>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</si>
  <si>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</si>
  <si>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</si>
  <si>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</si>
  <si>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</si>
  <si>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</si>
  <si>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</si>
  <si>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</si>
  <si>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</si>
  <si>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MR2512/0567</t>
  </si>
  <si>
    <t>Continuous</t>
  </si>
  <si>
    <t>220KV_220 kV Bus 2</t>
  </si>
  <si>
    <t>220KV_BHOPAL</t>
  </si>
  <si>
    <t>NON-OCCM-MP</t>
  </si>
  <si>
    <t>Bus extension work &amp; shifting of PTs</t>
  </si>
  <si>
    <t>31-12-2025 08:00:00</t>
  </si>
  <si>
    <t>01-01-2026 17:00:00</t>
  </si>
  <si>
    <t>A K Jain</t>
  </si>
  <si>
    <t>9425806899</t>
  </si>
  <si>
    <t>MR2512/0579</t>
  </si>
  <si>
    <t>220KV_220kV Bhopal Ganjbasoda ckt</t>
  </si>
  <si>
    <t>400KV_BHOPAL4</t>
  </si>
  <si>
    <t>For old disc insulator replacement work.</t>
  </si>
  <si>
    <t>31-12-2025 09:00:00</t>
  </si>
  <si>
    <t>31-12-2025 18:00:00</t>
  </si>
  <si>
    <t>Rajkumar Bhusare</t>
  </si>
  <si>
    <t>9425820042</t>
  </si>
  <si>
    <t>TOWER STRENGTHENING WORK</t>
  </si>
  <si>
    <t>29-12-2025 09:00:00</t>
  </si>
  <si>
    <t>M.M. BAIG</t>
  </si>
  <si>
    <t>9425805067</t>
  </si>
  <si>
    <t>MR2512/0573</t>
  </si>
  <si>
    <t>132KV_132kV Guna- Eshagarh Ckt.</t>
  </si>
  <si>
    <t>220KV_GUNA</t>
  </si>
  <si>
    <t>For DF/O replacement &amp; Other Line Maint. work</t>
  </si>
  <si>
    <t>31-12-2025 10:00:00</t>
  </si>
  <si>
    <t>31-12-2025 17:00:00</t>
  </si>
  <si>
    <t>Akhilesh Singh</t>
  </si>
  <si>
    <t>8586865656</t>
  </si>
  <si>
    <t>MR2512/0471</t>
  </si>
  <si>
    <t>Daily</t>
  </si>
  <si>
    <t>132KV_132 KV NORTHZONE (INDORE) - CHAMBAL CKT-1</t>
  </si>
  <si>
    <t>220KV_INDORE-NZ</t>
  </si>
  <si>
    <t>CONDUCTOR REPLACEMENT AND OTHER MAINTANANCE WORK.</t>
  </si>
  <si>
    <t>24-12-2025 07:00:00</t>
  </si>
  <si>
    <t>02-01-2026 19:00:00</t>
  </si>
  <si>
    <t>RAVINDRA PATIL</t>
  </si>
  <si>
    <t>8305612190</t>
  </si>
  <si>
    <t>MR2512/0473</t>
  </si>
  <si>
    <t>132KV_132 KV NORTHZONE (INDORE) - CHAMBAL CKT-2  LINE</t>
  </si>
  <si>
    <t>MR2512/0477</t>
  </si>
  <si>
    <t>132KV_132 KV ITARSI-PIPARIYA</t>
  </si>
  <si>
    <t>220KV_ITARSI</t>
  </si>
  <si>
    <t>Defective Disc replacement work</t>
  </si>
  <si>
    <t>26-12-2025 09:00:00</t>
  </si>
  <si>
    <t>Ashutosh Rai</t>
  </si>
  <si>
    <t>9425806902</t>
  </si>
  <si>
    <t>MR2512/0576</t>
  </si>
  <si>
    <t>132KV_132 kV Tikamgarh - Jatara line</t>
  </si>
  <si>
    <t>132KV_JATARA</t>
  </si>
  <si>
    <t>JCT &amp; other line maintenance work</t>
  </si>
  <si>
    <t>Manoj Kumar Tiwari</t>
  </si>
  <si>
    <t>9425804993</t>
  </si>
  <si>
    <t>MR2512/0571</t>
  </si>
  <si>
    <t>132KV_132KV Waraseoni Bay</t>
  </si>
  <si>
    <t>132KV_KATANGI</t>
  </si>
  <si>
    <t>to attend SF6 gas leakage problem</t>
  </si>
  <si>
    <t>Seema Dongre</t>
  </si>
  <si>
    <t>9425807247</t>
  </si>
  <si>
    <t>400KV_400KV KATNI - DAMOH LINE</t>
  </si>
  <si>
    <t>400KV_KATNI4</t>
  </si>
  <si>
    <t>OCCM-MP</t>
  </si>
  <si>
    <t>220KV_220KV KATNI - DAMOH LINE</t>
  </si>
  <si>
    <t>MR2510/0729</t>
  </si>
  <si>
    <t>03-01-2026 18:00:00</t>
  </si>
  <si>
    <t>MR2510/0738</t>
  </si>
  <si>
    <t>M.M.BAIG</t>
  </si>
  <si>
    <t>MR2512/0254</t>
  </si>
  <si>
    <t>220KV_220  kv Satna (PGCIL)  â¿¿  Maihar line</t>
  </si>
  <si>
    <t>220KV_MAIHAR</t>
  </si>
  <si>
    <t>Double  fitting work</t>
  </si>
  <si>
    <t>24-12-2025 09:00:00</t>
  </si>
  <si>
    <t>Mr. R.K.Prajapati</t>
  </si>
  <si>
    <t>9407070182</t>
  </si>
  <si>
    <t>MR2512/0519</t>
  </si>
  <si>
    <t>132KV_132KV MORWA-ANPARA CKT</t>
  </si>
  <si>
    <t>132KV_MORWA</t>
  </si>
  <si>
    <t>Conductor repair</t>
  </si>
  <si>
    <t>31-12-2025 15:00:00</t>
  </si>
  <si>
    <t>G.L SAHU</t>
  </si>
  <si>
    <t>9425805102</t>
  </si>
  <si>
    <t>MR2512/0570</t>
  </si>
  <si>
    <t>132KV_132 kv satna no 1st Feeder</t>
  </si>
  <si>
    <t>132KV_NAGOD</t>
  </si>
  <si>
    <t>due to Red Hot Point at YPh line isolater jaw</t>
  </si>
  <si>
    <t>31-12-2025 13:00:00</t>
  </si>
  <si>
    <t>ARUN KOL</t>
  </si>
  <si>
    <t>8319677721</t>
  </si>
  <si>
    <t>220KV_NARSINGHPUR</t>
  </si>
  <si>
    <t>For OGPW rectification/replacement work between To</t>
  </si>
  <si>
    <t>Ashish Kumar</t>
  </si>
  <si>
    <t>9425805935</t>
  </si>
  <si>
    <t>MR2512/0572</t>
  </si>
  <si>
    <t>220KV_220 Narsinghpur-Chichli-Pipariya</t>
  </si>
  <si>
    <t>400KV_PITHAMPUR4</t>
  </si>
  <si>
    <t>9425801532</t>
  </si>
  <si>
    <t>MR2512/0569</t>
  </si>
  <si>
    <t>220KV_220KV TBC(Transfer Bus Coupler)</t>
  </si>
  <si>
    <t>Second DPR Relay commissioning work</t>
  </si>
  <si>
    <t>Rajudas Bairagi</t>
  </si>
  <si>
    <t>MR2512/0530</t>
  </si>
  <si>
    <t>400KV_400KV Pithampur-SSTPS Ckt-III</t>
  </si>
  <si>
    <t>Post monsoon maintenance work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</si>
  <si>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</si>
  <si>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</si>
  <si>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</si>
  <si>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</si>
  <si>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</si>
  <si>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</si>
  <si>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</si>
  <si>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MR2512/0578</t>
  </si>
  <si>
    <t>132KV_132kv Rewa-Jhinna circuit</t>
  </si>
  <si>
    <t>220KV_REWA</t>
  </si>
  <si>
    <t>line maintenance work</t>
  </si>
  <si>
    <t>G.L.Sahu</t>
  </si>
  <si>
    <t>MR2512/0574</t>
  </si>
  <si>
    <t>flashover disc insulator string replacement</t>
  </si>
  <si>
    <t>Mr. Ajay Kumar Chaurasia</t>
  </si>
  <si>
    <t>9425805081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</si>
  <si>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</si>
  <si>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</si>
  <si>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</si>
  <si>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</si>
  <si>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</si>
  <si>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</si>
  <si>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</si>
  <si>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</si>
  <si>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</si>
  <si>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</si>
  <si>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</si>
  <si>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</si>
  <si>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</si>
  <si>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</si>
  <si>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</si>
  <si>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</si>
  <si>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MR2512/0564</t>
  </si>
  <si>
    <t>220KV_160 MVA X-MER NGEF</t>
  </si>
  <si>
    <t>220KV_UJJAIN</t>
  </si>
  <si>
    <t>Test Charging Permission required</t>
  </si>
  <si>
    <t>31-12-2025 12:30:00</t>
  </si>
  <si>
    <t>B.C JOSHI</t>
  </si>
  <si>
    <t>7587951137</t>
  </si>
  <si>
    <t>sub ld</t>
  </si>
  <si>
    <t>deferred</t>
  </si>
  <si>
    <t>ok</t>
  </si>
  <si>
    <t>ok, line to be in service</t>
  </si>
  <si>
    <t xml:space="preserve">real time, as per load management </t>
  </si>
  <si>
    <t>ok, lines to be in service</t>
  </si>
  <si>
    <t>ok, through sub ld</t>
  </si>
  <si>
    <t>220KV_220 kv Rewa-Tons line</t>
  </si>
  <si>
    <t>ok, for test charging of bays, through sub ld</t>
  </si>
  <si>
    <t>deferred not approved by WRPC</t>
  </si>
  <si>
    <t>ok, o&amp;m to be informed</t>
  </si>
  <si>
    <t>BINA - 765KV B/R 2</t>
  </si>
  <si>
    <t>400KV-DAMOH-KATNI-1</t>
  </si>
  <si>
    <t>31-Dec-2025</t>
  </si>
  <si>
    <t>09:00</t>
  </si>
  <si>
    <t>09:30</t>
  </si>
  <si>
    <t>29-Dec-2025</t>
  </si>
  <si>
    <t>08:00</t>
  </si>
  <si>
    <t>01-Jan-2026</t>
  </si>
  <si>
    <t>00:00</t>
  </si>
  <si>
    <t>for taking S/D of BR#1. BR#2 will be charged after opening of BR#1 isolators as both bus reactors are in same dia( 710,711), Dia to be kept open</t>
  </si>
  <si>
    <t>POWERGRID_WR2</t>
  </si>
  <si>
    <t>MP_SLDC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</si>
</sst>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wrapText="1"/>
    </xf>
    <xf numFmtId="0" fontId="0" fillId="0" borderId="5" xfId="0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workbookViewId="0">
      <selection activeCell="E4" sqref="E4"/>
    </sheetView>
  </sheetViews>
  <sheetFormatPr defaultRowHeight="15.75" x14ac:dyDescent="0.25"/>
  <cols>
    <col min="1" max="1" width="9.140625" style="7"/>
    <col min="2" max="2" width="11.140625" style="7" customWidth="1"/>
    <col min="3" max="3" width="8.5703125" style="7" customWidth="1"/>
    <col min="4" max="4" width="8.7109375" style="7" customWidth="1"/>
    <col min="5" max="5" width="60.7109375" style="33" customWidth="1"/>
    <col min="6" max="6" width="34.85546875" style="33" customWidth="1"/>
    <col min="7" max="7" width="11.5703125" style="7" customWidth="1"/>
    <col min="8" max="8" width="68.7109375" style="33" customWidth="1"/>
    <col min="9" max="10" width="11.42578125" style="7" customWidth="1"/>
    <col min="11" max="11" width="10.42578125" style="7" customWidth="1"/>
    <col min="12" max="12" width="12" style="7" customWidth="1"/>
    <col min="13" max="13" width="42.7109375" style="33" customWidth="1"/>
    <col min="14" max="16384" width="9.140625" style="7"/>
  </cols>
  <sheetData>
    <row r="1" spans="1:13" ht="43.7" customHeight="1" x14ac:dyDescent="0.25">
      <c r="A1" s="4"/>
      <c r="B1" s="2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13" ht="42" customHeight="1" x14ac:dyDescent="0.25">
      <c r="A2" s="4" t="s">
        <v>1</v>
      </c>
      <c r="B2" s="8">
        <v>46022</v>
      </c>
      <c r="C2" s="4"/>
      <c r="D2" s="4"/>
      <c r="E2" s="1"/>
      <c r="F2" s="1"/>
      <c r="G2" s="4"/>
      <c r="H2" s="1"/>
      <c r="I2" s="4"/>
      <c r="J2" s="4"/>
      <c r="K2" s="4"/>
      <c r="L2" s="4"/>
      <c r="M2" s="1"/>
    </row>
    <row r="3" spans="1:13" ht="42" customHeight="1" x14ac:dyDescent="0.25">
      <c r="A3" s="9" t="s">
        <v>2</v>
      </c>
      <c r="B3" s="9" t="s">
        <v>3</v>
      </c>
      <c r="C3" s="9" t="s">
        <v>4</v>
      </c>
      <c r="D3" s="9" t="s">
        <v>3</v>
      </c>
      <c r="E3" s="1"/>
      <c r="F3" s="1"/>
      <c r="G3" s="4"/>
      <c r="H3" s="1"/>
      <c r="I3" s="4"/>
      <c r="J3" s="4"/>
      <c r="K3" s="4"/>
      <c r="L3" s="4"/>
      <c r="M3" s="1"/>
    </row>
    <row r="4" spans="1:13" ht="42" customHeight="1" x14ac:dyDescent="0.25">
      <c r="A4" s="9" t="s">
        <v>5</v>
      </c>
      <c r="B4" s="9" t="s">
        <v>6</v>
      </c>
      <c r="C4" s="9" t="s">
        <v>7</v>
      </c>
      <c r="D4" s="9" t="s">
        <v>8</v>
      </c>
      <c r="E4" s="27" t="s">
        <v>9</v>
      </c>
      <c r="F4" s="27" t="s">
        <v>10</v>
      </c>
      <c r="G4" s="9" t="s">
        <v>11</v>
      </c>
      <c r="H4" s="27" t="s">
        <v>12</v>
      </c>
      <c r="I4" s="9" t="s">
        <v>13</v>
      </c>
      <c r="J4" s="9" t="s">
        <v>14</v>
      </c>
      <c r="K4" s="10" t="s">
        <v>15</v>
      </c>
      <c r="L4" s="6"/>
      <c r="M4" s="27" t="s">
        <v>16</v>
      </c>
    </row>
    <row r="5" spans="1:13" ht="39.75" customHeight="1" x14ac:dyDescent="0.25">
      <c r="A5" s="11">
        <v>1</v>
      </c>
      <c r="B5" s="12">
        <v>46021.520185185182</v>
      </c>
      <c r="C5" s="11" t="s">
        <v>17</v>
      </c>
      <c r="D5" s="11" t="s">
        <v>18</v>
      </c>
      <c r="E5" s="28" t="s">
        <v>19</v>
      </c>
      <c r="F5" s="27" t="s">
        <v>20</v>
      </c>
      <c r="G5" s="11" t="s">
        <v>21</v>
      </c>
      <c r="H5" s="27" t="s">
        <v>22</v>
      </c>
      <c r="I5" s="13" t="s">
        <v>23</v>
      </c>
      <c r="J5" s="13" t="s">
        <v>24</v>
      </c>
      <c r="K5" s="14" t="s">
        <v>25</v>
      </c>
      <c r="L5" s="15" t="s">
        <v>26</v>
      </c>
      <c r="M5" s="27" t="s">
        <v>166</v>
      </c>
    </row>
    <row r="6" spans="1:13" ht="39.75" customHeight="1" x14ac:dyDescent="0.25">
      <c r="A6" s="11">
        <f>A5+1</f>
        <v>2</v>
      </c>
      <c r="B6" s="12">
        <v>46021.675081018519</v>
      </c>
      <c r="C6" s="11" t="s">
        <v>27</v>
      </c>
      <c r="D6" s="11"/>
      <c r="E6" s="28" t="s">
        <v>28</v>
      </c>
      <c r="F6" s="27" t="s">
        <v>29</v>
      </c>
      <c r="G6" s="11" t="s">
        <v>21</v>
      </c>
      <c r="H6" s="27" t="s">
        <v>30</v>
      </c>
      <c r="I6" s="13" t="s">
        <v>31</v>
      </c>
      <c r="J6" s="13" t="s">
        <v>32</v>
      </c>
      <c r="K6" s="14" t="s">
        <v>33</v>
      </c>
      <c r="L6" s="15" t="s">
        <v>34</v>
      </c>
      <c r="M6" s="27" t="s">
        <v>166</v>
      </c>
    </row>
    <row r="7" spans="1:13" ht="39.75" customHeight="1" x14ac:dyDescent="0.25">
      <c r="A7" s="11">
        <f t="shared" ref="A7:A28" si="0">A6+1</f>
        <v>3</v>
      </c>
      <c r="B7" s="12">
        <v>46021.581226851849</v>
      </c>
      <c r="C7" s="11" t="s">
        <v>39</v>
      </c>
      <c r="D7" s="11"/>
      <c r="E7" s="27" t="s">
        <v>40</v>
      </c>
      <c r="F7" s="27" t="s">
        <v>41</v>
      </c>
      <c r="G7" s="11" t="s">
        <v>21</v>
      </c>
      <c r="H7" s="27" t="s">
        <v>42</v>
      </c>
      <c r="I7" s="13" t="s">
        <v>43</v>
      </c>
      <c r="J7" s="13" t="s">
        <v>44</v>
      </c>
      <c r="K7" s="14" t="s">
        <v>45</v>
      </c>
      <c r="L7" s="15" t="s">
        <v>46</v>
      </c>
      <c r="M7" s="27" t="s">
        <v>160</v>
      </c>
    </row>
    <row r="8" spans="1:13" ht="39.75" customHeight="1" x14ac:dyDescent="0.25">
      <c r="A8" s="11">
        <f t="shared" si="0"/>
        <v>4</v>
      </c>
      <c r="B8" s="12">
        <v>46014.659282407411</v>
      </c>
      <c r="C8" s="11" t="s">
        <v>47</v>
      </c>
      <c r="D8" s="11" t="s">
        <v>48</v>
      </c>
      <c r="E8" s="27" t="s">
        <v>49</v>
      </c>
      <c r="F8" s="27" t="s">
        <v>50</v>
      </c>
      <c r="G8" s="11" t="s">
        <v>21</v>
      </c>
      <c r="H8" s="27" t="s">
        <v>51</v>
      </c>
      <c r="I8" s="13" t="s">
        <v>52</v>
      </c>
      <c r="J8" s="13" t="s">
        <v>53</v>
      </c>
      <c r="K8" s="14" t="s">
        <v>54</v>
      </c>
      <c r="L8" s="15" t="s">
        <v>55</v>
      </c>
      <c r="M8" s="27" t="s">
        <v>160</v>
      </c>
    </row>
    <row r="9" spans="1:13" ht="39.75" customHeight="1" x14ac:dyDescent="0.25">
      <c r="A9" s="11">
        <f t="shared" si="0"/>
        <v>5</v>
      </c>
      <c r="B9" s="12">
        <v>46014.661435185182</v>
      </c>
      <c r="C9" s="11" t="s">
        <v>56</v>
      </c>
      <c r="D9" s="11" t="s">
        <v>48</v>
      </c>
      <c r="E9" s="27" t="s">
        <v>57</v>
      </c>
      <c r="F9" s="27" t="s">
        <v>50</v>
      </c>
      <c r="G9" s="11" t="s">
        <v>21</v>
      </c>
      <c r="H9" s="27" t="s">
        <v>51</v>
      </c>
      <c r="I9" s="13" t="s">
        <v>52</v>
      </c>
      <c r="J9" s="13" t="s">
        <v>53</v>
      </c>
      <c r="K9" s="14" t="s">
        <v>54</v>
      </c>
      <c r="L9" s="15" t="s">
        <v>55</v>
      </c>
      <c r="M9" s="27" t="s">
        <v>160</v>
      </c>
    </row>
    <row r="10" spans="1:13" ht="39.75" customHeight="1" x14ac:dyDescent="0.25">
      <c r="A10" s="11">
        <f t="shared" si="0"/>
        <v>6</v>
      </c>
      <c r="B10" s="12">
        <v>46015.47997685185</v>
      </c>
      <c r="C10" s="11" t="s">
        <v>58</v>
      </c>
      <c r="D10" s="11" t="s">
        <v>48</v>
      </c>
      <c r="E10" s="27" t="s">
        <v>59</v>
      </c>
      <c r="F10" s="27" t="s">
        <v>60</v>
      </c>
      <c r="G10" s="11" t="s">
        <v>21</v>
      </c>
      <c r="H10" s="27" t="s">
        <v>61</v>
      </c>
      <c r="I10" s="13" t="s">
        <v>62</v>
      </c>
      <c r="J10" s="13" t="s">
        <v>32</v>
      </c>
      <c r="K10" s="14" t="s">
        <v>63</v>
      </c>
      <c r="L10" s="15" t="s">
        <v>64</v>
      </c>
      <c r="M10" s="27" t="s">
        <v>160</v>
      </c>
    </row>
    <row r="11" spans="1:13" ht="39.75" customHeight="1" x14ac:dyDescent="0.25">
      <c r="A11" s="11">
        <f t="shared" si="0"/>
        <v>7</v>
      </c>
      <c r="B11" s="12">
        <v>46021.635000000002</v>
      </c>
      <c r="C11" s="11" t="s">
        <v>65</v>
      </c>
      <c r="D11" s="11"/>
      <c r="E11" s="27" t="s">
        <v>66</v>
      </c>
      <c r="F11" s="27" t="s">
        <v>67</v>
      </c>
      <c r="G11" s="11" t="s">
        <v>21</v>
      </c>
      <c r="H11" s="27" t="s">
        <v>68</v>
      </c>
      <c r="I11" s="13" t="s">
        <v>43</v>
      </c>
      <c r="J11" s="13" t="s">
        <v>32</v>
      </c>
      <c r="K11" s="14" t="s">
        <v>69</v>
      </c>
      <c r="L11" s="15" t="s">
        <v>70</v>
      </c>
      <c r="M11" s="27" t="s">
        <v>170</v>
      </c>
    </row>
    <row r="12" spans="1:13" ht="39.75" customHeight="1" x14ac:dyDescent="0.25">
      <c r="A12" s="11">
        <f t="shared" si="0"/>
        <v>8</v>
      </c>
      <c r="B12" s="12">
        <v>46021.546782407408</v>
      </c>
      <c r="C12" s="11" t="s">
        <v>71</v>
      </c>
      <c r="D12" s="11"/>
      <c r="E12" s="27" t="s">
        <v>72</v>
      </c>
      <c r="F12" s="27" t="s">
        <v>73</v>
      </c>
      <c r="G12" s="11" t="s">
        <v>21</v>
      </c>
      <c r="H12" s="27" t="s">
        <v>74</v>
      </c>
      <c r="I12" s="13" t="s">
        <v>43</v>
      </c>
      <c r="J12" s="13" t="s">
        <v>44</v>
      </c>
      <c r="K12" s="14" t="s">
        <v>75</v>
      </c>
      <c r="L12" s="15" t="s">
        <v>76</v>
      </c>
      <c r="M12" s="27" t="s">
        <v>163</v>
      </c>
    </row>
    <row r="13" spans="1:13" ht="39.75" customHeight="1" x14ac:dyDescent="0.25">
      <c r="A13" s="11">
        <f t="shared" si="0"/>
        <v>9</v>
      </c>
      <c r="B13" s="12">
        <v>45961.725763888891</v>
      </c>
      <c r="C13" s="11" t="s">
        <v>81</v>
      </c>
      <c r="D13" s="11" t="s">
        <v>18</v>
      </c>
      <c r="E13" s="27" t="s">
        <v>77</v>
      </c>
      <c r="F13" s="27" t="s">
        <v>78</v>
      </c>
      <c r="G13" s="11" t="s">
        <v>79</v>
      </c>
      <c r="H13" s="27" t="s">
        <v>35</v>
      </c>
      <c r="I13" s="13" t="s">
        <v>36</v>
      </c>
      <c r="J13" s="13" t="s">
        <v>82</v>
      </c>
      <c r="K13" s="14" t="s">
        <v>37</v>
      </c>
      <c r="L13" s="15" t="s">
        <v>38</v>
      </c>
      <c r="M13" s="27" t="s">
        <v>18</v>
      </c>
    </row>
    <row r="14" spans="1:13" ht="39.75" customHeight="1" x14ac:dyDescent="0.25">
      <c r="A14" s="11">
        <f t="shared" si="0"/>
        <v>10</v>
      </c>
      <c r="B14" s="12">
        <v>45961.748831018522</v>
      </c>
      <c r="C14" s="11" t="s">
        <v>83</v>
      </c>
      <c r="D14" s="11" t="s">
        <v>18</v>
      </c>
      <c r="E14" s="27" t="s">
        <v>80</v>
      </c>
      <c r="F14" s="27" t="s">
        <v>78</v>
      </c>
      <c r="G14" s="11" t="s">
        <v>21</v>
      </c>
      <c r="H14" s="27" t="s">
        <v>35</v>
      </c>
      <c r="I14" s="13" t="s">
        <v>36</v>
      </c>
      <c r="J14" s="13" t="s">
        <v>82</v>
      </c>
      <c r="K14" s="14" t="s">
        <v>84</v>
      </c>
      <c r="L14" s="15" t="s">
        <v>38</v>
      </c>
      <c r="M14" s="27" t="s">
        <v>18</v>
      </c>
    </row>
    <row r="15" spans="1:13" ht="39.75" customHeight="1" x14ac:dyDescent="0.25">
      <c r="A15" s="11">
        <f t="shared" si="0"/>
        <v>11</v>
      </c>
      <c r="B15" s="12">
        <v>46004.555</v>
      </c>
      <c r="C15" s="11" t="s">
        <v>85</v>
      </c>
      <c r="D15" s="11" t="s">
        <v>48</v>
      </c>
      <c r="E15" s="27" t="s">
        <v>86</v>
      </c>
      <c r="F15" s="27" t="s">
        <v>87</v>
      </c>
      <c r="G15" s="11" t="s">
        <v>21</v>
      </c>
      <c r="H15" s="27" t="s">
        <v>88</v>
      </c>
      <c r="I15" s="13" t="s">
        <v>89</v>
      </c>
      <c r="J15" s="13" t="s">
        <v>44</v>
      </c>
      <c r="K15" s="14" t="s">
        <v>90</v>
      </c>
      <c r="L15" s="15" t="s">
        <v>91</v>
      </c>
      <c r="M15" s="27" t="s">
        <v>169</v>
      </c>
    </row>
    <row r="16" spans="1:13" ht="39.75" customHeight="1" x14ac:dyDescent="0.25">
      <c r="A16" s="11">
        <f t="shared" si="0"/>
        <v>12</v>
      </c>
      <c r="B16" s="12">
        <v>46017.613668981481</v>
      </c>
      <c r="C16" s="11" t="s">
        <v>92</v>
      </c>
      <c r="D16" s="11"/>
      <c r="E16" s="27" t="s">
        <v>93</v>
      </c>
      <c r="F16" s="27" t="s">
        <v>94</v>
      </c>
      <c r="G16" s="11" t="s">
        <v>21</v>
      </c>
      <c r="H16" s="27" t="s">
        <v>95</v>
      </c>
      <c r="I16" s="13" t="s">
        <v>43</v>
      </c>
      <c r="J16" s="13" t="s">
        <v>96</v>
      </c>
      <c r="K16" s="14" t="s">
        <v>97</v>
      </c>
      <c r="L16" s="15" t="s">
        <v>98</v>
      </c>
      <c r="M16" s="27" t="s">
        <v>169</v>
      </c>
    </row>
    <row r="17" spans="1:13" ht="39.75" customHeight="1" x14ac:dyDescent="0.25">
      <c r="A17" s="11">
        <f t="shared" si="0"/>
        <v>13</v>
      </c>
      <c r="B17" s="12">
        <v>46021.539201388892</v>
      </c>
      <c r="C17" s="11" t="s">
        <v>99</v>
      </c>
      <c r="D17" s="11"/>
      <c r="E17" s="27" t="s">
        <v>100</v>
      </c>
      <c r="F17" s="27" t="s">
        <v>101</v>
      </c>
      <c r="G17" s="11" t="s">
        <v>21</v>
      </c>
      <c r="H17" s="27" t="s">
        <v>102</v>
      </c>
      <c r="I17" s="13" t="s">
        <v>103</v>
      </c>
      <c r="J17" s="13" t="s">
        <v>96</v>
      </c>
      <c r="K17" s="14" t="s">
        <v>104</v>
      </c>
      <c r="L17" s="15" t="s">
        <v>105</v>
      </c>
      <c r="M17" s="27" t="s">
        <v>164</v>
      </c>
    </row>
    <row r="18" spans="1:13" ht="39.75" customHeight="1" x14ac:dyDescent="0.25">
      <c r="A18" s="11">
        <f t="shared" si="0"/>
        <v>14</v>
      </c>
      <c r="B18" s="12">
        <v>46021.564560185187</v>
      </c>
      <c r="C18" s="11" t="s">
        <v>110</v>
      </c>
      <c r="D18" s="11"/>
      <c r="E18" s="27" t="s">
        <v>111</v>
      </c>
      <c r="F18" s="27" t="s">
        <v>106</v>
      </c>
      <c r="G18" s="11" t="s">
        <v>21</v>
      </c>
      <c r="H18" s="27" t="s">
        <v>107</v>
      </c>
      <c r="I18" s="13" t="s">
        <v>23</v>
      </c>
      <c r="J18" s="13" t="s">
        <v>32</v>
      </c>
      <c r="K18" s="14" t="s">
        <v>108</v>
      </c>
      <c r="L18" s="15" t="s">
        <v>109</v>
      </c>
      <c r="M18" s="27" t="s">
        <v>165</v>
      </c>
    </row>
    <row r="19" spans="1:13" ht="39.75" customHeight="1" x14ac:dyDescent="0.25">
      <c r="A19" s="11">
        <f t="shared" si="0"/>
        <v>15</v>
      </c>
      <c r="B19" s="12">
        <v>46021.533715277779</v>
      </c>
      <c r="C19" s="11" t="s">
        <v>114</v>
      </c>
      <c r="D19" s="11"/>
      <c r="E19" s="27" t="s">
        <v>115</v>
      </c>
      <c r="F19" s="27" t="s">
        <v>112</v>
      </c>
      <c r="G19" s="11" t="s">
        <v>21</v>
      </c>
      <c r="H19" s="27" t="s">
        <v>116</v>
      </c>
      <c r="I19" s="13" t="s">
        <v>43</v>
      </c>
      <c r="J19" s="13" t="s">
        <v>32</v>
      </c>
      <c r="K19" s="14" t="s">
        <v>117</v>
      </c>
      <c r="L19" s="15" t="s">
        <v>113</v>
      </c>
      <c r="M19" s="27" t="s">
        <v>166</v>
      </c>
    </row>
    <row r="20" spans="1:13" ht="39.75" customHeight="1" x14ac:dyDescent="0.25">
      <c r="A20" s="11">
        <f t="shared" si="0"/>
        <v>16</v>
      </c>
      <c r="B20" s="12">
        <v>46017.78429398148</v>
      </c>
      <c r="C20" s="11" t="s">
        <v>118</v>
      </c>
      <c r="D20" s="11"/>
      <c r="E20" s="27" t="s">
        <v>119</v>
      </c>
      <c r="F20" s="27" t="s">
        <v>112</v>
      </c>
      <c r="G20" s="11" t="s">
        <v>21</v>
      </c>
      <c r="H20" s="27" t="s">
        <v>120</v>
      </c>
      <c r="I20" s="13" t="s">
        <v>43</v>
      </c>
      <c r="J20" s="13" t="s">
        <v>32</v>
      </c>
      <c r="K20" s="14" t="s">
        <v>117</v>
      </c>
      <c r="L20" s="15" t="s">
        <v>113</v>
      </c>
      <c r="M20" s="27" t="s">
        <v>161</v>
      </c>
    </row>
    <row r="21" spans="1:13" ht="39.75" customHeight="1" x14ac:dyDescent="0.25">
      <c r="A21" s="11">
        <f t="shared" si="0"/>
        <v>17</v>
      </c>
      <c r="B21" s="12">
        <v>45960.569027777776</v>
      </c>
      <c r="C21" s="11" t="s">
        <v>121</v>
      </c>
      <c r="D21" s="11" t="s">
        <v>48</v>
      </c>
      <c r="E21" s="27" t="s">
        <v>122</v>
      </c>
      <c r="F21" s="27" t="s">
        <v>123</v>
      </c>
      <c r="G21" s="11" t="s">
        <v>21</v>
      </c>
      <c r="H21" s="27" t="s">
        <v>124</v>
      </c>
      <c r="I21" s="13" t="s">
        <v>125</v>
      </c>
      <c r="J21" s="13" t="s">
        <v>32</v>
      </c>
      <c r="K21" s="14" t="s">
        <v>126</v>
      </c>
      <c r="L21" s="15" t="s">
        <v>127</v>
      </c>
      <c r="M21" s="27" t="s">
        <v>161</v>
      </c>
    </row>
    <row r="22" spans="1:13" ht="39.75" customHeight="1" x14ac:dyDescent="0.25">
      <c r="A22" s="11">
        <f t="shared" si="0"/>
        <v>18</v>
      </c>
      <c r="B22" s="12">
        <v>46021.669814814813</v>
      </c>
      <c r="C22" s="11" t="s">
        <v>128</v>
      </c>
      <c r="D22" s="11"/>
      <c r="E22" s="27" t="s">
        <v>129</v>
      </c>
      <c r="F22" s="27" t="s">
        <v>130</v>
      </c>
      <c r="G22" s="11" t="s">
        <v>79</v>
      </c>
      <c r="H22" s="27" t="s">
        <v>131</v>
      </c>
      <c r="I22" s="13" t="s">
        <v>43</v>
      </c>
      <c r="J22" s="13" t="s">
        <v>44</v>
      </c>
      <c r="K22" s="14" t="s">
        <v>132</v>
      </c>
      <c r="L22" s="15" t="s">
        <v>98</v>
      </c>
      <c r="M22" s="27" t="s">
        <v>162</v>
      </c>
    </row>
    <row r="23" spans="1:13" ht="39.75" customHeight="1" x14ac:dyDescent="0.25">
      <c r="A23" s="11">
        <f t="shared" si="0"/>
        <v>19</v>
      </c>
      <c r="B23" s="12">
        <v>46021.583356481482</v>
      </c>
      <c r="C23" s="11" t="s">
        <v>133</v>
      </c>
      <c r="D23" s="11"/>
      <c r="E23" s="27" t="s">
        <v>167</v>
      </c>
      <c r="F23" s="27" t="s">
        <v>130</v>
      </c>
      <c r="G23" s="11" t="s">
        <v>21</v>
      </c>
      <c r="H23" s="27" t="s">
        <v>134</v>
      </c>
      <c r="I23" s="13" t="s">
        <v>43</v>
      </c>
      <c r="J23" s="13" t="s">
        <v>44</v>
      </c>
      <c r="K23" s="14" t="s">
        <v>135</v>
      </c>
      <c r="L23" s="15" t="s">
        <v>136</v>
      </c>
      <c r="M23" s="27" t="s">
        <v>162</v>
      </c>
    </row>
    <row r="24" spans="1:13" ht="39.75" customHeight="1" x14ac:dyDescent="0.25">
      <c r="A24" s="16">
        <f t="shared" si="0"/>
        <v>20</v>
      </c>
      <c r="B24" s="17">
        <v>46016.785428240742</v>
      </c>
      <c r="C24" s="16" t="s">
        <v>137</v>
      </c>
      <c r="D24" s="16" t="s">
        <v>48</v>
      </c>
      <c r="E24" s="29" t="s">
        <v>138</v>
      </c>
      <c r="F24" s="29" t="s">
        <v>139</v>
      </c>
      <c r="G24" s="16" t="s">
        <v>21</v>
      </c>
      <c r="H24" s="29" t="s">
        <v>140</v>
      </c>
      <c r="I24" s="18" t="s">
        <v>141</v>
      </c>
      <c r="J24" s="18" t="s">
        <v>142</v>
      </c>
      <c r="K24" s="19" t="s">
        <v>143</v>
      </c>
      <c r="L24" s="20" t="s">
        <v>144</v>
      </c>
      <c r="M24" s="29" t="s">
        <v>163</v>
      </c>
    </row>
    <row r="25" spans="1:13" ht="39.75" customHeight="1" x14ac:dyDescent="0.25">
      <c r="A25" s="21">
        <f t="shared" si="0"/>
        <v>21</v>
      </c>
      <c r="B25" s="22">
        <v>46003.541168981479</v>
      </c>
      <c r="C25" s="21" t="s">
        <v>152</v>
      </c>
      <c r="D25" s="21" t="s">
        <v>18</v>
      </c>
      <c r="E25" s="30" t="s">
        <v>145</v>
      </c>
      <c r="F25" s="30" t="s">
        <v>146</v>
      </c>
      <c r="G25" s="21" t="s">
        <v>21</v>
      </c>
      <c r="H25" s="30" t="s">
        <v>147</v>
      </c>
      <c r="I25" s="23" t="s">
        <v>148</v>
      </c>
      <c r="J25" s="23" t="s">
        <v>149</v>
      </c>
      <c r="K25" s="21" t="s">
        <v>150</v>
      </c>
      <c r="L25" s="21" t="s">
        <v>151</v>
      </c>
      <c r="M25" s="30" t="s">
        <v>18</v>
      </c>
    </row>
    <row r="26" spans="1:13" ht="39.75" customHeight="1" x14ac:dyDescent="0.25">
      <c r="A26" s="21">
        <f t="shared" si="0"/>
        <v>22</v>
      </c>
      <c r="B26" s="22">
        <v>46020.735011574077</v>
      </c>
      <c r="C26" s="21" t="s">
        <v>153</v>
      </c>
      <c r="D26" s="21"/>
      <c r="E26" s="30" t="s">
        <v>154</v>
      </c>
      <c r="F26" s="30" t="s">
        <v>155</v>
      </c>
      <c r="G26" s="21" t="s">
        <v>21</v>
      </c>
      <c r="H26" s="30" t="s">
        <v>156</v>
      </c>
      <c r="I26" s="23" t="s">
        <v>157</v>
      </c>
      <c r="J26" s="23" t="s">
        <v>44</v>
      </c>
      <c r="K26" s="21" t="s">
        <v>158</v>
      </c>
      <c r="L26" s="21" t="s">
        <v>159</v>
      </c>
      <c r="M26" s="30" t="s">
        <v>168</v>
      </c>
    </row>
    <row r="27" spans="1:13" ht="47.25" x14ac:dyDescent="0.25">
      <c r="A27" s="24">
        <f t="shared" si="0"/>
        <v>23</v>
      </c>
      <c r="B27" s="25"/>
      <c r="C27" s="3">
        <v>277863</v>
      </c>
      <c r="D27" s="25"/>
      <c r="E27" s="31" t="s">
        <v>171</v>
      </c>
      <c r="F27" s="31">
        <v>765</v>
      </c>
      <c r="G27" s="3" t="s">
        <v>181</v>
      </c>
      <c r="H27" s="31" t="s">
        <v>180</v>
      </c>
      <c r="I27" s="3" t="s">
        <v>173</v>
      </c>
      <c r="J27" s="3" t="s">
        <v>174</v>
      </c>
      <c r="K27" s="3" t="s">
        <v>173</v>
      </c>
      <c r="L27" s="3" t="s">
        <v>175</v>
      </c>
    </row>
    <row r="28" spans="1:13" ht="30" x14ac:dyDescent="0.25">
      <c r="A28" s="24">
        <f t="shared" si="0"/>
        <v>24</v>
      </c>
      <c r="B28" s="25"/>
      <c r="C28" s="3">
        <v>275174</v>
      </c>
      <c r="D28" s="25"/>
      <c r="E28" s="31" t="s">
        <v>172</v>
      </c>
      <c r="F28" s="31">
        <v>400</v>
      </c>
      <c r="G28" s="3" t="s">
        <v>182</v>
      </c>
      <c r="H28" s="31" t="s">
        <v>35</v>
      </c>
      <c r="I28" s="3" t="s">
        <v>176</v>
      </c>
      <c r="J28" s="3" t="s">
        <v>177</v>
      </c>
      <c r="K28" s="3" t="s">
        <v>178</v>
      </c>
      <c r="L28" s="3" t="s">
        <v>179</v>
      </c>
      <c r="M28" s="34" t="s">
        <v>162</v>
      </c>
    </row>
    <row r="29" spans="1:13" x14ac:dyDescent="0.25">
      <c r="A29" s="26"/>
      <c r="B29" s="26"/>
      <c r="C29" s="26"/>
      <c r="D29" s="26"/>
      <c r="E29" s="32"/>
      <c r="F29" s="32"/>
      <c r="G29" s="26"/>
      <c r="H29" s="32"/>
      <c r="I29" s="26"/>
      <c r="J29" s="26"/>
      <c r="K29" s="26"/>
      <c r="L29" s="26"/>
      <c r="M29" s="32"/>
    </row>
    <row r="30" spans="1:13" x14ac:dyDescent="0.25">
      <c r="A30" s="26"/>
      <c r="B30" s="26"/>
      <c r="C30" s="26"/>
      <c r="D30" s="26"/>
      <c r="E30" s="32"/>
      <c r="F30" s="32"/>
      <c r="G30" s="26"/>
      <c r="H30" s="32"/>
      <c r="I30" s="26"/>
      <c r="J30" s="26"/>
      <c r="K30" s="26"/>
      <c r="L30" s="26"/>
      <c r="M30" s="32"/>
    </row>
    <row r="31" spans="1:13" x14ac:dyDescent="0.25">
      <c r="A31" s="26"/>
      <c r="B31" s="26"/>
      <c r="C31" s="26"/>
      <c r="D31" s="26"/>
      <c r="E31" s="32"/>
      <c r="F31" s="32"/>
      <c r="G31" s="26"/>
      <c r="H31" s="32"/>
      <c r="I31" s="26"/>
      <c r="J31" s="26"/>
      <c r="K31" s="26"/>
      <c r="L31" s="26"/>
      <c r="M31" s="32"/>
    </row>
    <row r="32" spans="1:13" x14ac:dyDescent="0.25">
      <c r="A32" s="26"/>
      <c r="B32" s="26"/>
      <c r="C32" s="26"/>
      <c r="D32" s="26"/>
      <c r="E32" s="32"/>
      <c r="F32" s="32"/>
      <c r="G32" s="26"/>
      <c r="H32" s="32"/>
      <c r="I32" s="26"/>
      <c r="J32" s="26"/>
      <c r="K32" s="26"/>
      <c r="L32" s="26"/>
      <c r="M32" s="32"/>
    </row>
    <row r="33" spans="1:13" x14ac:dyDescent="0.25">
      <c r="A33" s="26"/>
      <c r="B33" s="26"/>
      <c r="C33" s="26"/>
      <c r="D33" s="26"/>
      <c r="E33" s="32"/>
      <c r="F33" s="32"/>
      <c r="G33" s="26"/>
      <c r="H33" s="32"/>
      <c r="I33" s="26"/>
      <c r="J33" s="26"/>
      <c r="K33" s="26"/>
      <c r="L33" s="26"/>
      <c r="M33" s="32"/>
    </row>
    <row r="34" spans="1:13" x14ac:dyDescent="0.25">
      <c r="A34" s="26"/>
      <c r="B34" s="26"/>
      <c r="C34" s="26"/>
      <c r="D34" s="26"/>
      <c r="E34" s="32"/>
      <c r="F34" s="32"/>
      <c r="G34" s="26"/>
      <c r="H34" s="32"/>
      <c r="I34" s="26"/>
      <c r="J34" s="26"/>
      <c r="K34" s="26"/>
      <c r="L34" s="26"/>
      <c r="M34" s="32"/>
    </row>
    <row r="35" spans="1:13" x14ac:dyDescent="0.25">
      <c r="A35" s="26"/>
      <c r="B35" s="26"/>
      <c r="C35" s="26"/>
      <c r="D35" s="26"/>
      <c r="E35" s="32"/>
      <c r="F35" s="32"/>
      <c r="G35" s="26"/>
      <c r="H35" s="32"/>
      <c r="I35" s="26"/>
      <c r="J35" s="26"/>
      <c r="K35" s="26"/>
      <c r="L35" s="26"/>
      <c r="M35" s="32"/>
    </row>
    <row r="36" spans="1:13" x14ac:dyDescent="0.25">
      <c r="A36" s="26"/>
      <c r="B36" s="26"/>
      <c r="C36" s="26"/>
      <c r="D36" s="26"/>
      <c r="E36" s="32"/>
      <c r="F36" s="32"/>
      <c r="G36" s="26"/>
      <c r="H36" s="32"/>
      <c r="I36" s="26"/>
      <c r="J36" s="26"/>
      <c r="K36" s="26"/>
      <c r="L36" s="26"/>
      <c r="M36" s="32"/>
    </row>
    <row r="37" spans="1:13" x14ac:dyDescent="0.25">
      <c r="A37" s="26"/>
      <c r="B37" s="26"/>
      <c r="C37" s="26"/>
      <c r="D37" s="26"/>
      <c r="E37" s="32"/>
      <c r="F37" s="32"/>
      <c r="G37" s="26"/>
      <c r="H37" s="32"/>
      <c r="I37" s="26"/>
      <c r="J37" s="26"/>
      <c r="K37" s="26"/>
      <c r="L37" s="26"/>
      <c r="M37" s="32"/>
    </row>
    <row r="38" spans="1:13" x14ac:dyDescent="0.25">
      <c r="A38" s="26"/>
      <c r="B38" s="26"/>
      <c r="C38" s="26"/>
      <c r="D38" s="26"/>
      <c r="E38" s="32"/>
      <c r="F38" s="32"/>
      <c r="G38" s="26"/>
      <c r="H38" s="32"/>
      <c r="I38" s="26"/>
      <c r="J38" s="26"/>
      <c r="K38" s="26"/>
      <c r="L38" s="26"/>
      <c r="M38" s="32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2025-12-30T11:25:27Z</dcterms:created>
  <dcterms:modified xsi:type="dcterms:W3CDTF">2025-12-30T12:49:32Z</dcterms:modified>
</cp:coreProperties>
</file>
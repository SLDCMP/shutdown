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Sheet0!$A$1:$M$48</definedName>
  </definedNames>
  <calcPr calcId="162913"/>
</workbook>
</file>

<file path=xl/calcChain.xml><?xml version="1.0" encoding="utf-8"?>
<calcChain xmlns="http://schemas.openxmlformats.org/spreadsheetml/2006/main">
  <c r="A56" i="1" l="1"/>
  <c r="A57" i="1" s="1"/>
  <c r="A58" i="1" s="1"/>
  <c r="A59" i="1" s="1"/>
  <c r="A60" i="1" s="1"/>
  <c r="A61" i="1" s="1"/>
  <c r="A49" i="1"/>
  <c r="A50" i="1" s="1"/>
  <c r="A51" i="1" s="1"/>
  <c r="A52" i="1" s="1"/>
  <c r="A53" i="1" s="1"/>
  <c r="A54" i="1" s="1"/>
  <c r="A55" i="1" s="1"/>
  <c r="A7" i="1" l="1"/>
  <c r="A8" i="1"/>
  <c r="A9" i="1"/>
  <c r="A10" i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6" i="1"/>
</calcChain>
</file>

<file path=xl/sharedStrings.xml><?xml version="1.0" encoding="utf-8"?>
<sst xmlns="http://schemas.openxmlformats.org/spreadsheetml/2006/main" count="575" uniqueCount="338">
  <si>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</si>
  <si>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</si>
  <si>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</si>
  <si>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</si>
  <si>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</si>
  <si>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</si>
  <si>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</si>
  <si>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</si>
  <si>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</si>
  <si>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</si>
  <si>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</si>
  <si>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</si>
  <si>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</si>
  <si>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</si>
  <si>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</si>
  <si>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</si>
  <si>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</si>
  <si>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MR2610/0096</t>
  </si>
  <si>
    <t>Continuous</t>
  </si>
  <si>
    <t>220KV_220KV Main Bus - 01</t>
  </si>
  <si>
    <t>220KV_AMARKANTAK</t>
  </si>
  <si>
    <t>NON-OCCM-MP</t>
  </si>
  <si>
    <t>Dismantling activities</t>
  </si>
  <si>
    <t>06-10-2026 09:00:00</t>
  </si>
  <si>
    <t>07-10-2026 18:00:00</t>
  </si>
  <si>
    <t>Shri Ajay Parteti</t>
  </si>
  <si>
    <t>9425808876</t>
  </si>
  <si>
    <t>MR2610/0120</t>
  </si>
  <si>
    <t>220KV_160MVA X-mer No-3rd BBL</t>
  </si>
  <si>
    <t>400KV_ASHTA4</t>
  </si>
  <si>
    <t>post monsoon maintenance &amp; testing work</t>
  </si>
  <si>
    <t>07-10-2026 08:00:00</t>
  </si>
  <si>
    <t>D K Uikey</t>
  </si>
  <si>
    <t>7987106006</t>
  </si>
  <si>
    <t>MR2610/0106</t>
  </si>
  <si>
    <t>132KV_132 KV Badnagar - Suzlon Line</t>
  </si>
  <si>
    <t>220KV_BADNAGAR</t>
  </si>
  <si>
    <t>Work at Suzlon end</t>
  </si>
  <si>
    <t>07-10-2026 10:30:00</t>
  </si>
  <si>
    <t>07-10-2026 15:00:00</t>
  </si>
  <si>
    <t>Pappu Singh Solanki</t>
  </si>
  <si>
    <t>9425820041</t>
  </si>
  <si>
    <t>MR2609/0569</t>
  </si>
  <si>
    <t>400KV_125 MVAR BUS REACTOR</t>
  </si>
  <si>
    <t>400KV_BADNAWAR</t>
  </si>
  <si>
    <t>POST MANSOON MAINTENANCE WORK</t>
  </si>
  <si>
    <t>07-10-2026 17:00:00</t>
  </si>
  <si>
    <t>ER SUNIL BAMNIYA</t>
  </si>
  <si>
    <t>8349013626</t>
  </si>
  <si>
    <t>MR2610/0113</t>
  </si>
  <si>
    <t>132KV_33KV Main-bus &amp; 40MVA X-mer BHEL</t>
  </si>
  <si>
    <t>132KV_BAIHAR</t>
  </si>
  <si>
    <t>Jumper Replacement work.</t>
  </si>
  <si>
    <t>07-10-2026 10:00:00</t>
  </si>
  <si>
    <t>07-10-2026 12:00:00</t>
  </si>
  <si>
    <t>Shailesh Kumar Bhoyar</t>
  </si>
  <si>
    <t>9425801725</t>
  </si>
  <si>
    <t>MR2610/0115</t>
  </si>
  <si>
    <t>132KV_132 KV HALF MAIN BUS</t>
  </si>
  <si>
    <t>220KV_BINA</t>
  </si>
  <si>
    <t>HOT POINT ATTENDING WORK</t>
  </si>
  <si>
    <t>07-10-2026 09:00:00</t>
  </si>
  <si>
    <t>07-10-2026 13:00:00</t>
  </si>
  <si>
    <t>LALIT SINGH</t>
  </si>
  <si>
    <t>9425806845</t>
  </si>
  <si>
    <t>MR2610/0110</t>
  </si>
  <si>
    <t>220KV_220 KV Bina â¿¿Sagar ckt II</t>
  </si>
  <si>
    <t>400KV_BINA4</t>
  </si>
  <si>
    <t>f/o disc insulater replacement at loc no 358T,349B</t>
  </si>
  <si>
    <t>Dilip Singh Walkey</t>
  </si>
  <si>
    <t>9425804578</t>
  </si>
  <si>
    <t>MR2610/0108</t>
  </si>
  <si>
    <t>400KV_315MVA X-MER-4(BHEL)</t>
  </si>
  <si>
    <t>Post Monsoon Maintenance Work.</t>
  </si>
  <si>
    <t>Mr.P.N.Namdeo</t>
  </si>
  <si>
    <t>7587951092</t>
  </si>
  <si>
    <t>MR2610/0027</t>
  </si>
  <si>
    <t>Daily</t>
  </si>
  <si>
    <t>132KV_132KV Budha Neemuch Line</t>
  </si>
  <si>
    <t>132KV_BUDHA</t>
  </si>
  <si>
    <t>Hotline shutdown for crossing work</t>
  </si>
  <si>
    <t>03-10-2026 08:00:00</t>
  </si>
  <si>
    <t>15-10-2026 19:00:00</t>
  </si>
  <si>
    <t>Gaurav Goyal</t>
  </si>
  <si>
    <t>9425805120</t>
  </si>
  <si>
    <t>MR2609/0551</t>
  </si>
  <si>
    <t>220KV_220 kV Ajaygarh-Chhatarpur Ckt. I line</t>
  </si>
  <si>
    <t>220KV_CHATARPUR</t>
  </si>
  <si>
    <t>Live Line OPGW Installation Work</t>
  </si>
  <si>
    <t>29-09-2026 07:00:00</t>
  </si>
  <si>
    <t>07-10-2026 19:00:00</t>
  </si>
  <si>
    <t>Pankaj yadav</t>
  </si>
  <si>
    <t>9406713326</t>
  </si>
  <si>
    <t>MR2609/0553</t>
  </si>
  <si>
    <t>220KV_220 kV Tikamgarh-Chhatarpur line</t>
  </si>
  <si>
    <t>MR2609/0552</t>
  </si>
  <si>
    <t>220KV_220 kV Ajaygarh-Chhatarpur Ckt. II line</t>
  </si>
  <si>
    <t>MR2610/0082</t>
  </si>
  <si>
    <t>400KV_400 kV Chhegaon - Khandwa(PGCIL) Line</t>
  </si>
  <si>
    <t>400KV_CHHEGAON4</t>
  </si>
  <si>
    <t>OCCM-WR</t>
  </si>
  <si>
    <t>For Jumper cone tightening &amp; Other Line Maint.Work</t>
  </si>
  <si>
    <t>Nitin Girdonia</t>
  </si>
  <si>
    <t>9425804899</t>
  </si>
  <si>
    <t>MR2610/0123</t>
  </si>
  <si>
    <t>132KV_63MVA_132/33KV_BBL_Xmer</t>
  </si>
  <si>
    <t>132KV_CHICHOLI</t>
  </si>
  <si>
    <t>Post Monsoon maintenance &amp; Testing work</t>
  </si>
  <si>
    <t>07-10-2026 11:00:00</t>
  </si>
  <si>
    <t>Er. Vishal Kumar Malviya</t>
  </si>
  <si>
    <t>9425804955</t>
  </si>
  <si>
    <t>MR2610/0102</t>
  </si>
  <si>
    <t>132KV_40MVA X-MER-1 TELK</t>
  </si>
  <si>
    <t>132KV_GOURJHAMAR</t>
  </si>
  <si>
    <t>post mansson maintenance and testing work</t>
  </si>
  <si>
    <t>P D GAUTAM</t>
  </si>
  <si>
    <t>9425808329</t>
  </si>
  <si>
    <t>MR2610/0100</t>
  </si>
  <si>
    <t>220KV_Itarsi PGCIL No.-2</t>
  </si>
  <si>
    <t>220KV_ITARSI</t>
  </si>
  <si>
    <t>Testing &amp; Bay Maintanece work.</t>
  </si>
  <si>
    <t>J.D.Khoria</t>
  </si>
  <si>
    <t>9425804975</t>
  </si>
  <si>
    <t>MR2610/0118</t>
  </si>
  <si>
    <t>220KV_220 kV Jabalpur- Amarkantak</t>
  </si>
  <si>
    <t>220KV_JABALPUR</t>
  </si>
  <si>
    <t>Jumper tightening by Contract basis</t>
  </si>
  <si>
    <t>12-10-2026 18:00:00</t>
  </si>
  <si>
    <t>Jitendra Tiwari</t>
  </si>
  <si>
    <t>9425805298</t>
  </si>
  <si>
    <t>MR2610/0124</t>
  </si>
  <si>
    <t>220KV_220 KV Jabalpur-Narsinghpur Line Ckt-II</t>
  </si>
  <si>
    <t>Flashover disc replacement Work at Loc.no. 54/R-Ph</t>
  </si>
  <si>
    <t>Ashish Kumar</t>
  </si>
  <si>
    <t>9425805935</t>
  </si>
  <si>
    <t>400KV_400kV Bus-1 (Bus-A)</t>
  </si>
  <si>
    <t>400KV_JP BINA</t>
  </si>
  <si>
    <t>NON-OCCM-WR</t>
  </si>
  <si>
    <t>PM of Bus 1(Bus A,  Bay-1 &amp; BAY-5)</t>
  </si>
  <si>
    <t>05-10-2026 09:00:00</t>
  </si>
  <si>
    <t>KRISHNA SINGH  THAKUR</t>
  </si>
  <si>
    <t>7987976012</t>
  </si>
  <si>
    <t>MR2609/0040</t>
  </si>
  <si>
    <t>MR2610/0119</t>
  </si>
  <si>
    <t>132KV_50 MVA TAL  X-MER</t>
  </si>
  <si>
    <t>132KV_KATANGI_JBP</t>
  </si>
  <si>
    <t>Post  mansoon maintenance &amp; testing work</t>
  </si>
  <si>
    <t>A.k.Panday</t>
  </si>
  <si>
    <t>9424645081</t>
  </si>
  <si>
    <t>MR2610/0126</t>
  </si>
  <si>
    <t>132KV_132kv main bus no 1 &amp; 132kv IC Katni-1 feeder</t>
  </si>
  <si>
    <t>400KV_KATNI4</t>
  </si>
  <si>
    <t>For replacement of main bus isolator</t>
  </si>
  <si>
    <t>SK chaturvedi</t>
  </si>
  <si>
    <t>9425806938</t>
  </si>
  <si>
    <t>MR2610/0121</t>
  </si>
  <si>
    <t>132KV_132/33KV 40 MVA ECE X-MER</t>
  </si>
  <si>
    <t>132KV_KATRA</t>
  </si>
  <si>
    <t>Post Mansoon Maintenace &amp; Testing Work</t>
  </si>
  <si>
    <t>07-10-2026 16:00:00</t>
  </si>
  <si>
    <t>Kanishka Singh</t>
  </si>
  <si>
    <t>9425804656</t>
  </si>
  <si>
    <t>MR2610/0109</t>
  </si>
  <si>
    <t>40MVA_132/33KV_TELK_X'mer_1</t>
  </si>
  <si>
    <t>132KV_KHAPASWAMI</t>
  </si>
  <si>
    <t>Post monsoon maintenance work.</t>
  </si>
  <si>
    <t>S.K.Okte</t>
  </si>
  <si>
    <t>7587951132</t>
  </si>
  <si>
    <t>MR2610/0116</t>
  </si>
  <si>
    <t>132KV_132 kV MACT-E8 GIS line</t>
  </si>
  <si>
    <t>132KV_MACT BHOPAL</t>
  </si>
  <si>
    <t>Installation VD</t>
  </si>
  <si>
    <t>07-10-2026 14:00:00</t>
  </si>
  <si>
    <t>Ankit Mehroliya</t>
  </si>
  <si>
    <t>9425804506</t>
  </si>
  <si>
    <t>MR2610/0127</t>
  </si>
  <si>
    <t>132KV_50MVA TAL X-MER &amp; 33KV MAIN HALF BUS</t>
  </si>
  <si>
    <t>220KV_MAIHAR</t>
  </si>
  <si>
    <t>POST MONSOON MAINT. &amp; 33KV SIDE M-BUS ISO. REPLACE</t>
  </si>
  <si>
    <t>ARUN KUMAR KOL</t>
  </si>
  <si>
    <t>7000923305</t>
  </si>
  <si>
    <t>MR2609/0610</t>
  </si>
  <si>
    <t>132KV_132 kv 50 MVA Xmer &amp; 33 kv Half Main Bus Section-l</t>
  </si>
  <si>
    <t>220KV_MALANPUR</t>
  </si>
  <si>
    <t>Post Monsoon Maint. &amp; Hot point attend work</t>
  </si>
  <si>
    <t>01-10-2026 10:00:00</t>
  </si>
  <si>
    <t>27-10-2026 17:00:00</t>
  </si>
  <si>
    <t>Vikram Ahirwar</t>
  </si>
  <si>
    <t>9039761183</t>
  </si>
  <si>
    <t>MR2609/0450</t>
  </si>
  <si>
    <t>132KV_132KV Neemuch-Malharagarh single circuit Line</t>
  </si>
  <si>
    <t>132KV_MALHARGARH</t>
  </si>
  <si>
    <t>Hotline shutdown for Crossing work</t>
  </si>
  <si>
    <t>25-09-2026 08:00:00</t>
  </si>
  <si>
    <t>10-10-2026 18:00:00</t>
  </si>
  <si>
    <t>MR2610/0114</t>
  </si>
  <si>
    <t>132KV_132kV Mandla-Bichhiya Ckt I &amp; II Line</t>
  </si>
  <si>
    <t>132KV_MANDLA</t>
  </si>
  <si>
    <t>Issue of OPGW Hot Line Work &amp; Other Line Maintenan</t>
  </si>
  <si>
    <t>07-10-2026 07:00:00</t>
  </si>
  <si>
    <t>16-10-2026 19:00:00</t>
  </si>
  <si>
    <t>S.K. BHALADHARE</t>
  </si>
  <si>
    <t>9425807264</t>
  </si>
  <si>
    <t>MR2610/0112</t>
  </si>
  <si>
    <t>400KV_400/220KV,500MVA ICT</t>
  </si>
  <si>
    <t>400KV_MANDSOUR4</t>
  </si>
  <si>
    <t>OCCM-MP</t>
  </si>
  <si>
    <t>POST MONSOON TESTING AND MAINTENANCE WORK</t>
  </si>
  <si>
    <t>08-10-2026 18:00:00</t>
  </si>
  <si>
    <t>SH. CP DHAKAD</t>
  </si>
  <si>
    <t>7587951067</t>
  </si>
  <si>
    <t>MR2610/0101</t>
  </si>
  <si>
    <t>220KV_220/33 kv 50Mva Transformer</t>
  </si>
  <si>
    <t>220KV_NAGDA</t>
  </si>
  <si>
    <t>Post Mansoon Maint.&amp; Testing Work</t>
  </si>
  <si>
    <t>VIKARAM DEHRIYA</t>
  </si>
  <si>
    <t>7000276050</t>
  </si>
  <si>
    <t>MR2610/0107</t>
  </si>
  <si>
    <t>132KV_40 MVA X-MER BBL - I</t>
  </si>
  <si>
    <t>132KV_NAINPUR</t>
  </si>
  <si>
    <t>Post Monsoon Maintenance</t>
  </si>
  <si>
    <t>Arshad Qureshi</t>
  </si>
  <si>
    <t>7648817144</t>
  </si>
  <si>
    <t>MR2610/0105</t>
  </si>
  <si>
    <t>220KV_220/132/33 KV 160MVA BHEL-3 X-MER</t>
  </si>
  <si>
    <t>220KV_NARSINGHPUR</t>
  </si>
  <si>
    <t>POSTMANSOON MAINTENANCE WORK</t>
  </si>
  <si>
    <t>07-10-2026 09:30:00</t>
  </si>
  <si>
    <t>DINESH KUSHWAHA</t>
  </si>
  <si>
    <t>9425182413</t>
  </si>
  <si>
    <t>MR2610/0052</t>
  </si>
  <si>
    <t>220KV_220 KV NIMRANI-MAHESHWAR II line</t>
  </si>
  <si>
    <t>220KV_NIMRANI</t>
  </si>
  <si>
    <t>220 kv CB overhouling work</t>
  </si>
  <si>
    <t>09-10-2026 18:00:00</t>
  </si>
  <si>
    <t>pradip patidar</t>
  </si>
  <si>
    <t>9425801217</t>
  </si>
  <si>
    <t>MR2609/0636</t>
  </si>
  <si>
    <t>220KV_220KV Omkareshwar Khandwa PGCIl line</t>
  </si>
  <si>
    <t>220KV_OMKARESHWAR</t>
  </si>
  <si>
    <t>For modification/shifting work</t>
  </si>
  <si>
    <t>20-10-2026 18:00:00</t>
  </si>
  <si>
    <t>Kamal solanki</t>
  </si>
  <si>
    <t>9425805262</t>
  </si>
  <si>
    <t>06-10-2026 08:00:00</t>
  </si>
  <si>
    <t>MR2610/0093</t>
  </si>
  <si>
    <t>220KV_220kv omk-chhegaon line</t>
  </si>
  <si>
    <t>for modification shifting work</t>
  </si>
  <si>
    <t>20-10-2026 20:00:00</t>
  </si>
  <si>
    <t>MR2610/0095</t>
  </si>
  <si>
    <t>220KV_220KV OMK- Julwania line</t>
  </si>
  <si>
    <t>MR2610/0099</t>
  </si>
  <si>
    <t>220KV_220KV Pithampur-Pithampur Sector-1 line</t>
  </si>
  <si>
    <t>400KV_PITHAMPUR4</t>
  </si>
  <si>
    <t>For Y Ph CVT Installation work</t>
  </si>
  <si>
    <t>Rajudas Bairagi</t>
  </si>
  <si>
    <t>9425801532</t>
  </si>
  <si>
    <t>MR2610/0098</t>
  </si>
  <si>
    <t>220KV_220KV Pithampur-Badnagar Line</t>
  </si>
  <si>
    <t>MR2610/0125</t>
  </si>
  <si>
    <t>220KV_160 MVA X-mer-II Make-AREVA</t>
  </si>
  <si>
    <t>220KV_RAJGARH DHAR</t>
  </si>
  <si>
    <t>Post monsoon maintenance &amp; Testing work.</t>
  </si>
  <si>
    <t>Er. Kamesh Ninama</t>
  </si>
  <si>
    <t>9713485920</t>
  </si>
  <si>
    <t>MR2610/0128</t>
  </si>
  <si>
    <t>400KV_400 KV BUS-01 for AOH work</t>
  </si>
  <si>
    <t>400KV_SINGHAJI TPS</t>
  </si>
  <si>
    <t>AOH work</t>
  </si>
  <si>
    <t>Yogesh Chouhan</t>
  </si>
  <si>
    <t>7999328631</t>
  </si>
  <si>
    <t>MR2610/0111</t>
  </si>
  <si>
    <t>40MVA_132/33KV_BBL_X'mer</t>
  </si>
  <si>
    <t>132KV_SULTANPUR</t>
  </si>
  <si>
    <t>Post monsoon Maintenance &amp; Testing work</t>
  </si>
  <si>
    <t>B.L.Lakhore</t>
  </si>
  <si>
    <t>7587951074</t>
  </si>
  <si>
    <t>MR2610/0103</t>
  </si>
  <si>
    <t>220KV_220kv Chichali line -2</t>
  </si>
  <si>
    <t>220KV_UDAIPURA</t>
  </si>
  <si>
    <t>for attending hot point on r-ph cb bottom pole cla</t>
  </si>
  <si>
    <t>Ae Shri Pankaj kumar Hariyale</t>
  </si>
  <si>
    <t>9827202680</t>
  </si>
  <si>
    <t>400KV_125 MVAR Bus Reactor</t>
  </si>
  <si>
    <t>400KV_UJJAIN4</t>
  </si>
  <si>
    <t>post monsoon maintenance and testing.</t>
  </si>
  <si>
    <t>Santosh Chavrasia</t>
  </si>
  <si>
    <t>9425804677</t>
  </si>
  <si>
    <t>MR2610/0131</t>
  </si>
  <si>
    <t>MR2610/0122</t>
  </si>
  <si>
    <t>132KV_63 MVA XMER BBL</t>
  </si>
  <si>
    <t>132KV_VINOBA BHAVE</t>
  </si>
  <si>
    <t>Substation upgradation ,system strengthening work</t>
  </si>
  <si>
    <t>07-10-2026 06:00:00</t>
  </si>
  <si>
    <t>ASHOK BINGHADE</t>
  </si>
  <si>
    <t>7509148945</t>
  </si>
  <si>
    <t>ok, through sub ld</t>
  </si>
  <si>
    <t>sub ld</t>
  </si>
  <si>
    <t>ok</t>
  </si>
  <si>
    <t>ok, line to be in service</t>
  </si>
  <si>
    <t>o&amp;m consent required</t>
  </si>
  <si>
    <t>deferred by site</t>
  </si>
  <si>
    <t>ok, through sub ld,  o&amp;m shall be informed</t>
  </si>
  <si>
    <t>real time</t>
  </si>
  <si>
    <t>deferred, not in WR list</t>
  </si>
  <si>
    <t>as per the real time load management, sub ld Bhopal to manage/monitor the loadings</t>
  </si>
  <si>
    <t>400KV-INDORE-MP-INDORE-1</t>
  </si>
  <si>
    <t>220KV-BHANPURA-RANPUR-1</t>
  </si>
  <si>
    <t>132KV-VSTPS-WAIDHAN-1</t>
  </si>
  <si>
    <t>400KV-BHOPAL-MP-BHOPAL-BDTCL-1</t>
  </si>
  <si>
    <t>400KV-CHHEGAON-KHANDWA-1</t>
  </si>
  <si>
    <t>220KV-ITARSI-MP-ITARSI-2</t>
  </si>
  <si>
    <t>220KV-GWALIOR-GWALIOR-II-2</t>
  </si>
  <si>
    <t>220KV-SATNA-MP-SATNA-3</t>
  </si>
  <si>
    <t>220KV-AJAYGARH-SATNA-1</t>
  </si>
  <si>
    <t>BHOPAL-MP - 400KV - BUS 1</t>
  </si>
  <si>
    <t>BHOPAL-MP - 400KV - BUS 2</t>
  </si>
  <si>
    <t>400KV-BHOPAL-MP-DAMOH-1</t>
  </si>
  <si>
    <t>400KV-BHOPAL-MP-SAGAR-1</t>
  </si>
  <si>
    <t>07-Oct-2026</t>
  </si>
  <si>
    <t>09:00</t>
  </si>
  <si>
    <t>18:00</t>
  </si>
  <si>
    <t>08:00</t>
  </si>
  <si>
    <t>17:00</t>
  </si>
  <si>
    <t>10:00</t>
  </si>
  <si>
    <t>19:00</t>
  </si>
  <si>
    <t>17-Oct-2026</t>
  </si>
  <si>
    <t>Lower Arcing horn removal at tension towers , Dia to be kept open at both ends.</t>
  </si>
  <si>
    <t>FOR LINE MAINTENANCE WORK I.E. CLEANING OF DISC INSULATORS DURING LINE PATROLLING, REPLACEMENT OF FLASHOVERED DISC INSULATORS, TREE BRANCH CUTTING ETC AT VARIOUS TOWER LOCATIONS</t>
  </si>
  <si>
    <t>FOR REPLACEMENT OF EXISTING CONDUCTOR TO HTLS CONDUCTOR WORK</t>
  </si>
  <si>
    <t>FOR BUS BAR PANEL COMMISIONING WORK</t>
  </si>
  <si>
    <t>FOR BAY MAINTENANCE &amp; TESTING WORK AT SUBSTASTION, REPLACEMENT OF DAMAGED CLAMPS/JUMPERS ETC.</t>
  </si>
  <si>
    <t xml:space="preserve">FOR REPLACEMENT OF SINGLE FITTING HARDWARE INTO DOUBLE FITTING HARDWARE AT VARIOUS ROAD CROSSING LOCATIONS </t>
  </si>
  <si>
    <t>ONLY BUS BAR PROTECTION OUT FOR BUS BAR PANEL COMMISIONING WORK ( BUS WILL REMAIN IN SERVICE)</t>
  </si>
  <si>
    <t>Simultaneous outage of   400KV-BHOPAL-MP-DAMOH-1   and  400KV-BHOPAL-MP-SAGAR-1   is required for NHAI DIVERSION WORK</t>
  </si>
  <si>
    <t>defererd by site</t>
  </si>
  <si>
    <t>POWERGRID_WR2</t>
  </si>
  <si>
    <t>MP_SLDC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</si>
</sst>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9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sz val="11"/>
      <name val="Calibri"/>
      <family val="2"/>
      <scheme val="minor"/>
    </font>
    <font>
      <b/>
      <sz val="12"/>
      <name val="Calibri"/>
      <family val="2"/>
      <scheme val="minor"/>
    </font>
    <font>
      <b/>
      <sz val="12"/>
      <color indexed="8"/>
      <name val="Calibri"/>
      <family val="2"/>
      <scheme val="minor"/>
    </font>
    <font>
      <b/>
      <sz val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0" fontId="3" fillId="0" borderId="3" xfId="0" applyFont="1" applyBorder="1" applyAlignment="1">
      <alignment wrapText="1"/>
    </xf>
    <xf numFmtId="164" fontId="1" fillId="2" borderId="1" xfId="0" applyNumberFormat="1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center" vertical="center" wrapText="1"/>
    </xf>
    <xf numFmtId="165" fontId="4" fillId="0" borderId="1" xfId="0" applyNumberFormat="1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164" fontId="4" fillId="0" borderId="6" xfId="0" applyNumberFormat="1" applyFont="1" applyBorder="1" applyAlignment="1">
      <alignment horizontal="center" vertical="center" wrapText="1"/>
    </xf>
    <xf numFmtId="165" fontId="4" fillId="0" borderId="6" xfId="0" applyNumberFormat="1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0" fillId="0" borderId="5" xfId="0" applyBorder="1" applyAlignment="1">
      <alignment wrapText="1"/>
    </xf>
    <xf numFmtId="0" fontId="5" fillId="3" borderId="5" xfId="0" applyFont="1" applyFill="1" applyBorder="1" applyAlignment="1">
      <alignment horizontal="center" vertical="center" wrapText="1"/>
    </xf>
    <xf numFmtId="20" fontId="5" fillId="3" borderId="5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0" fontId="5" fillId="3" borderId="9" xfId="0" applyFont="1" applyFill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6" fillId="3" borderId="9" xfId="0" applyFont="1" applyFill="1" applyBorder="1" applyAlignment="1">
      <alignment horizontal="center" vertical="center" wrapText="1"/>
    </xf>
    <xf numFmtId="0" fontId="7" fillId="0" borderId="0" xfId="0" applyFont="1" applyAlignment="1">
      <alignment wrapText="1"/>
    </xf>
    <xf numFmtId="0" fontId="2" fillId="3" borderId="1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9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center" vertical="center" wrapText="1"/>
    </xf>
    <xf numFmtId="0" fontId="8" fillId="3" borderId="9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0</xdr:row>
      <xdr:rowOff>555785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1"/>
  <sheetViews>
    <sheetView tabSelected="1" workbookViewId="0">
      <selection activeCell="H8" sqref="H8"/>
    </sheetView>
  </sheetViews>
  <sheetFormatPr defaultRowHeight="58.5" customHeight="1" x14ac:dyDescent="0.25"/>
  <cols>
    <col min="1" max="1" width="9.140625" style="5"/>
    <col min="2" max="2" width="11.140625" style="5" customWidth="1"/>
    <col min="3" max="3" width="7.28515625" style="5" customWidth="1"/>
    <col min="4" max="4" width="11" style="5" customWidth="1"/>
    <col min="5" max="5" width="46.28515625" style="30" customWidth="1"/>
    <col min="6" max="6" width="28" style="30" customWidth="1"/>
    <col min="7" max="7" width="9.5703125" style="5" customWidth="1"/>
    <col min="8" max="8" width="47.7109375" style="30" customWidth="1"/>
    <col min="9" max="9" width="10.7109375" style="5" customWidth="1"/>
    <col min="10" max="10" width="10.85546875" style="5" customWidth="1"/>
    <col min="11" max="11" width="8.140625" style="5" customWidth="1"/>
    <col min="12" max="12" width="6.28515625" style="5" customWidth="1"/>
    <col min="13" max="13" width="28.140625" style="30" customWidth="1"/>
    <col min="14" max="16384" width="9.140625" style="5"/>
  </cols>
  <sheetData>
    <row r="1" spans="1:13" ht="58.5" customHeight="1" x14ac:dyDescent="0.25">
      <c r="A1" s="2"/>
      <c r="B1" s="6" t="s">
        <v>0</v>
      </c>
      <c r="C1" s="7"/>
      <c r="D1" s="7"/>
      <c r="E1" s="7"/>
      <c r="F1" s="7"/>
      <c r="G1" s="7"/>
      <c r="H1" s="7"/>
      <c r="I1" s="7"/>
      <c r="J1" s="7"/>
      <c r="K1" s="7"/>
      <c r="L1" s="7"/>
      <c r="M1" s="8"/>
    </row>
    <row r="2" spans="1:13" ht="58.5" customHeight="1" x14ac:dyDescent="0.25">
      <c r="A2" s="2" t="s">
        <v>1</v>
      </c>
      <c r="B2" s="9">
        <v>46302</v>
      </c>
      <c r="C2" s="2"/>
      <c r="D2" s="2"/>
      <c r="E2" s="1"/>
      <c r="F2" s="1"/>
      <c r="G2" s="2"/>
      <c r="H2" s="1"/>
      <c r="I2" s="2"/>
      <c r="J2" s="2"/>
      <c r="K2" s="2"/>
      <c r="L2" s="2"/>
      <c r="M2" s="1"/>
    </row>
    <row r="3" spans="1:13" ht="58.5" customHeight="1" x14ac:dyDescent="0.25">
      <c r="A3" s="3" t="s">
        <v>2</v>
      </c>
      <c r="B3" s="3" t="s">
        <v>3</v>
      </c>
      <c r="C3" s="3" t="s">
        <v>4</v>
      </c>
      <c r="D3" s="3" t="s">
        <v>3</v>
      </c>
      <c r="E3" s="1"/>
      <c r="F3" s="1"/>
      <c r="G3" s="2"/>
      <c r="H3" s="1"/>
      <c r="I3" s="2"/>
      <c r="J3" s="2"/>
      <c r="K3" s="2"/>
      <c r="L3" s="2"/>
      <c r="M3" s="1"/>
    </row>
    <row r="4" spans="1:13" ht="58.5" customHeight="1" x14ac:dyDescent="0.25">
      <c r="A4" s="3" t="s">
        <v>5</v>
      </c>
      <c r="B4" s="3" t="s">
        <v>6</v>
      </c>
      <c r="C4" s="3" t="s">
        <v>7</v>
      </c>
      <c r="D4" s="3" t="s">
        <v>8</v>
      </c>
      <c r="E4" s="26" t="s">
        <v>9</v>
      </c>
      <c r="F4" s="26" t="s">
        <v>10</v>
      </c>
      <c r="G4" s="3" t="s">
        <v>11</v>
      </c>
      <c r="H4" s="26" t="s">
        <v>12</v>
      </c>
      <c r="I4" s="3" t="s">
        <v>13</v>
      </c>
      <c r="J4" s="3" t="s">
        <v>14</v>
      </c>
      <c r="K4" s="10" t="s">
        <v>15</v>
      </c>
      <c r="L4" s="8"/>
      <c r="M4" s="26" t="s">
        <v>16</v>
      </c>
    </row>
    <row r="5" spans="1:13" ht="58.5" customHeight="1" x14ac:dyDescent="0.25">
      <c r="A5" s="4">
        <v>1</v>
      </c>
      <c r="B5" s="11">
        <v>46300.730590277781</v>
      </c>
      <c r="C5" s="4" t="s">
        <v>17</v>
      </c>
      <c r="D5" s="4" t="s">
        <v>18</v>
      </c>
      <c r="E5" s="26" t="s">
        <v>19</v>
      </c>
      <c r="F5" s="26" t="s">
        <v>20</v>
      </c>
      <c r="G5" s="4" t="s">
        <v>21</v>
      </c>
      <c r="H5" s="26" t="s">
        <v>22</v>
      </c>
      <c r="I5" s="12" t="s">
        <v>23</v>
      </c>
      <c r="J5" s="12" t="s">
        <v>24</v>
      </c>
      <c r="K5" s="13" t="s">
        <v>25</v>
      </c>
      <c r="L5" s="14" t="s">
        <v>26</v>
      </c>
      <c r="M5" s="26" t="s">
        <v>18</v>
      </c>
    </row>
    <row r="6" spans="1:13" ht="58.5" customHeight="1" x14ac:dyDescent="0.25">
      <c r="A6" s="4">
        <f>A5+1</f>
        <v>2</v>
      </c>
      <c r="B6" s="11">
        <v>46301.596435185187</v>
      </c>
      <c r="C6" s="4" t="s">
        <v>27</v>
      </c>
      <c r="D6" s="4"/>
      <c r="E6" s="26" t="s">
        <v>28</v>
      </c>
      <c r="F6" s="26" t="s">
        <v>29</v>
      </c>
      <c r="G6" s="4" t="s">
        <v>21</v>
      </c>
      <c r="H6" s="26" t="s">
        <v>30</v>
      </c>
      <c r="I6" s="12" t="s">
        <v>31</v>
      </c>
      <c r="J6" s="12" t="s">
        <v>24</v>
      </c>
      <c r="K6" s="13" t="s">
        <v>32</v>
      </c>
      <c r="L6" s="14" t="s">
        <v>33</v>
      </c>
      <c r="M6" s="26" t="s">
        <v>296</v>
      </c>
    </row>
    <row r="7" spans="1:13" ht="58.5" customHeight="1" x14ac:dyDescent="0.25">
      <c r="A7" s="4">
        <f t="shared" ref="A7:A61" si="0">A6+1</f>
        <v>3</v>
      </c>
      <c r="B7" s="11">
        <v>46301.50409722222</v>
      </c>
      <c r="C7" s="4" t="s">
        <v>34</v>
      </c>
      <c r="D7" s="4"/>
      <c r="E7" s="26" t="s">
        <v>35</v>
      </c>
      <c r="F7" s="26" t="s">
        <v>36</v>
      </c>
      <c r="G7" s="4" t="s">
        <v>21</v>
      </c>
      <c r="H7" s="26" t="s">
        <v>37</v>
      </c>
      <c r="I7" s="12" t="s">
        <v>38</v>
      </c>
      <c r="J7" s="12" t="s">
        <v>39</v>
      </c>
      <c r="K7" s="13" t="s">
        <v>40</v>
      </c>
      <c r="L7" s="14" t="s">
        <v>41</v>
      </c>
      <c r="M7" s="26" t="s">
        <v>297</v>
      </c>
    </row>
    <row r="8" spans="1:13" ht="58.5" customHeight="1" x14ac:dyDescent="0.25">
      <c r="A8" s="4">
        <f t="shared" si="0"/>
        <v>4</v>
      </c>
      <c r="B8" s="11">
        <v>46294.449988425928</v>
      </c>
      <c r="C8" s="4" t="s">
        <v>42</v>
      </c>
      <c r="D8" s="4"/>
      <c r="E8" s="26" t="s">
        <v>43</v>
      </c>
      <c r="F8" s="26" t="s">
        <v>44</v>
      </c>
      <c r="G8" s="4" t="s">
        <v>21</v>
      </c>
      <c r="H8" s="26" t="s">
        <v>45</v>
      </c>
      <c r="I8" s="12" t="s">
        <v>31</v>
      </c>
      <c r="J8" s="12" t="s">
        <v>46</v>
      </c>
      <c r="K8" s="13" t="s">
        <v>47</v>
      </c>
      <c r="L8" s="14" t="s">
        <v>48</v>
      </c>
      <c r="M8" s="26" t="s">
        <v>296</v>
      </c>
    </row>
    <row r="9" spans="1:13" ht="58.5" customHeight="1" x14ac:dyDescent="0.25">
      <c r="A9" s="4">
        <f t="shared" si="0"/>
        <v>5</v>
      </c>
      <c r="B9" s="11">
        <v>46301.555555555555</v>
      </c>
      <c r="C9" s="4" t="s">
        <v>49</v>
      </c>
      <c r="D9" s="4"/>
      <c r="E9" s="26" t="s">
        <v>50</v>
      </c>
      <c r="F9" s="26" t="s">
        <v>51</v>
      </c>
      <c r="G9" s="4" t="s">
        <v>21</v>
      </c>
      <c r="H9" s="26" t="s">
        <v>52</v>
      </c>
      <c r="I9" s="12" t="s">
        <v>53</v>
      </c>
      <c r="J9" s="12" t="s">
        <v>54</v>
      </c>
      <c r="K9" s="13" t="s">
        <v>55</v>
      </c>
      <c r="L9" s="14" t="s">
        <v>56</v>
      </c>
      <c r="M9" s="26" t="s">
        <v>298</v>
      </c>
    </row>
    <row r="10" spans="1:13" ht="58.5" customHeight="1" x14ac:dyDescent="0.25">
      <c r="A10" s="4">
        <f t="shared" si="0"/>
        <v>6</v>
      </c>
      <c r="B10" s="11">
        <v>46301.561909722222</v>
      </c>
      <c r="C10" s="4" t="s">
        <v>57</v>
      </c>
      <c r="D10" s="4"/>
      <c r="E10" s="26" t="s">
        <v>58</v>
      </c>
      <c r="F10" s="26" t="s">
        <v>59</v>
      </c>
      <c r="G10" s="4" t="s">
        <v>21</v>
      </c>
      <c r="H10" s="26" t="s">
        <v>60</v>
      </c>
      <c r="I10" s="12" t="s">
        <v>61</v>
      </c>
      <c r="J10" s="12" t="s">
        <v>62</v>
      </c>
      <c r="K10" s="13" t="s">
        <v>63</v>
      </c>
      <c r="L10" s="14" t="s">
        <v>64</v>
      </c>
      <c r="M10" s="26" t="s">
        <v>305</v>
      </c>
    </row>
    <row r="11" spans="1:13" ht="58.5" customHeight="1" x14ac:dyDescent="0.25">
      <c r="A11" s="4">
        <f t="shared" si="0"/>
        <v>7</v>
      </c>
      <c r="B11" s="11">
        <v>46301.529027777775</v>
      </c>
      <c r="C11" s="4" t="s">
        <v>65</v>
      </c>
      <c r="D11" s="4"/>
      <c r="E11" s="26" t="s">
        <v>66</v>
      </c>
      <c r="F11" s="26" t="s">
        <v>67</v>
      </c>
      <c r="G11" s="4" t="s">
        <v>21</v>
      </c>
      <c r="H11" s="26" t="s">
        <v>68</v>
      </c>
      <c r="I11" s="12" t="s">
        <v>61</v>
      </c>
      <c r="J11" s="12" t="s">
        <v>24</v>
      </c>
      <c r="K11" s="13" t="s">
        <v>69</v>
      </c>
      <c r="L11" s="14" t="s">
        <v>70</v>
      </c>
      <c r="M11" s="26" t="s">
        <v>298</v>
      </c>
    </row>
    <row r="12" spans="1:13" ht="58.5" customHeight="1" x14ac:dyDescent="0.25">
      <c r="A12" s="4">
        <f t="shared" si="0"/>
        <v>8</v>
      </c>
      <c r="B12" s="11">
        <v>46301.51630787037</v>
      </c>
      <c r="C12" s="4" t="s">
        <v>71</v>
      </c>
      <c r="D12" s="4"/>
      <c r="E12" s="26" t="s">
        <v>72</v>
      </c>
      <c r="F12" s="26" t="s">
        <v>67</v>
      </c>
      <c r="G12" s="4" t="s">
        <v>21</v>
      </c>
      <c r="H12" s="26" t="s">
        <v>73</v>
      </c>
      <c r="I12" s="12" t="s">
        <v>61</v>
      </c>
      <c r="J12" s="12" t="s">
        <v>24</v>
      </c>
      <c r="K12" s="13" t="s">
        <v>74</v>
      </c>
      <c r="L12" s="14" t="s">
        <v>75</v>
      </c>
      <c r="M12" s="26" t="s">
        <v>298</v>
      </c>
    </row>
    <row r="13" spans="1:13" ht="58.5" customHeight="1" x14ac:dyDescent="0.25">
      <c r="A13" s="4">
        <f t="shared" si="0"/>
        <v>9</v>
      </c>
      <c r="B13" s="11">
        <v>46297.642893518518</v>
      </c>
      <c r="C13" s="4" t="s">
        <v>76</v>
      </c>
      <c r="D13" s="4" t="s">
        <v>77</v>
      </c>
      <c r="E13" s="26" t="s">
        <v>78</v>
      </c>
      <c r="F13" s="26" t="s">
        <v>79</v>
      </c>
      <c r="G13" s="4" t="s">
        <v>21</v>
      </c>
      <c r="H13" s="26" t="s">
        <v>80</v>
      </c>
      <c r="I13" s="12" t="s">
        <v>81</v>
      </c>
      <c r="J13" s="12" t="s">
        <v>82</v>
      </c>
      <c r="K13" s="13" t="s">
        <v>83</v>
      </c>
      <c r="L13" s="14" t="s">
        <v>84</v>
      </c>
      <c r="M13" s="26" t="s">
        <v>297</v>
      </c>
    </row>
    <row r="14" spans="1:13" ht="58.5" customHeight="1" x14ac:dyDescent="0.25">
      <c r="A14" s="4">
        <f t="shared" si="0"/>
        <v>10</v>
      </c>
      <c r="B14" s="11">
        <v>46293.634722222225</v>
      </c>
      <c r="C14" s="4" t="s">
        <v>85</v>
      </c>
      <c r="D14" s="4" t="s">
        <v>77</v>
      </c>
      <c r="E14" s="26" t="s">
        <v>86</v>
      </c>
      <c r="F14" s="26" t="s">
        <v>87</v>
      </c>
      <c r="G14" s="4" t="s">
        <v>21</v>
      </c>
      <c r="H14" s="26" t="s">
        <v>88</v>
      </c>
      <c r="I14" s="12" t="s">
        <v>89</v>
      </c>
      <c r="J14" s="12" t="s">
        <v>90</v>
      </c>
      <c r="K14" s="13" t="s">
        <v>91</v>
      </c>
      <c r="L14" s="14" t="s">
        <v>92</v>
      </c>
      <c r="M14" s="26" t="s">
        <v>299</v>
      </c>
    </row>
    <row r="15" spans="1:13" ht="58.5" customHeight="1" x14ac:dyDescent="0.25">
      <c r="A15" s="4">
        <f t="shared" si="0"/>
        <v>11</v>
      </c>
      <c r="B15" s="11">
        <v>46293.637557870374</v>
      </c>
      <c r="C15" s="4" t="s">
        <v>93</v>
      </c>
      <c r="D15" s="4" t="s">
        <v>77</v>
      </c>
      <c r="E15" s="26" t="s">
        <v>94</v>
      </c>
      <c r="F15" s="26" t="s">
        <v>87</v>
      </c>
      <c r="G15" s="4" t="s">
        <v>21</v>
      </c>
      <c r="H15" s="26" t="s">
        <v>88</v>
      </c>
      <c r="I15" s="12" t="s">
        <v>89</v>
      </c>
      <c r="J15" s="12" t="s">
        <v>90</v>
      </c>
      <c r="K15" s="13" t="s">
        <v>91</v>
      </c>
      <c r="L15" s="14" t="s">
        <v>92</v>
      </c>
      <c r="M15" s="26" t="s">
        <v>299</v>
      </c>
    </row>
    <row r="16" spans="1:13" ht="58.5" customHeight="1" x14ac:dyDescent="0.25">
      <c r="A16" s="4">
        <f t="shared" si="0"/>
        <v>12</v>
      </c>
      <c r="B16" s="11">
        <v>46293.636192129627</v>
      </c>
      <c r="C16" s="4" t="s">
        <v>95</v>
      </c>
      <c r="D16" s="4" t="s">
        <v>77</v>
      </c>
      <c r="E16" s="26" t="s">
        <v>96</v>
      </c>
      <c r="F16" s="26" t="s">
        <v>87</v>
      </c>
      <c r="G16" s="4" t="s">
        <v>21</v>
      </c>
      <c r="H16" s="26" t="s">
        <v>88</v>
      </c>
      <c r="I16" s="12" t="s">
        <v>89</v>
      </c>
      <c r="J16" s="12" t="s">
        <v>90</v>
      </c>
      <c r="K16" s="13" t="s">
        <v>91</v>
      </c>
      <c r="L16" s="14" t="s">
        <v>92</v>
      </c>
      <c r="M16" s="26" t="s">
        <v>299</v>
      </c>
    </row>
    <row r="17" spans="1:13" ht="58.5" customHeight="1" x14ac:dyDescent="0.25">
      <c r="A17" s="4">
        <f t="shared" si="0"/>
        <v>13</v>
      </c>
      <c r="B17" s="11">
        <v>46300.571655092594</v>
      </c>
      <c r="C17" s="4" t="s">
        <v>97</v>
      </c>
      <c r="D17" s="4"/>
      <c r="E17" s="26" t="s">
        <v>98</v>
      </c>
      <c r="F17" s="26" t="s">
        <v>99</v>
      </c>
      <c r="G17" s="4" t="s">
        <v>100</v>
      </c>
      <c r="H17" s="26" t="s">
        <v>101</v>
      </c>
      <c r="I17" s="12" t="s">
        <v>31</v>
      </c>
      <c r="J17" s="12" t="s">
        <v>24</v>
      </c>
      <c r="K17" s="13" t="s">
        <v>102</v>
      </c>
      <c r="L17" s="14" t="s">
        <v>103</v>
      </c>
      <c r="M17" s="26" t="s">
        <v>296</v>
      </c>
    </row>
    <row r="18" spans="1:13" ht="58.5" customHeight="1" x14ac:dyDescent="0.25">
      <c r="A18" s="4">
        <f t="shared" si="0"/>
        <v>14</v>
      </c>
      <c r="B18" s="11">
        <v>46301.614444444444</v>
      </c>
      <c r="C18" s="4" t="s">
        <v>104</v>
      </c>
      <c r="D18" s="4"/>
      <c r="E18" s="26" t="s">
        <v>105</v>
      </c>
      <c r="F18" s="26" t="s">
        <v>106</v>
      </c>
      <c r="G18" s="4" t="s">
        <v>21</v>
      </c>
      <c r="H18" s="26" t="s">
        <v>107</v>
      </c>
      <c r="I18" s="12" t="s">
        <v>108</v>
      </c>
      <c r="J18" s="12" t="s">
        <v>24</v>
      </c>
      <c r="K18" s="13" t="s">
        <v>109</v>
      </c>
      <c r="L18" s="14" t="s">
        <v>110</v>
      </c>
      <c r="M18" s="26" t="s">
        <v>297</v>
      </c>
    </row>
    <row r="19" spans="1:13" ht="58.5" customHeight="1" x14ac:dyDescent="0.25">
      <c r="A19" s="4">
        <f t="shared" si="0"/>
        <v>15</v>
      </c>
      <c r="B19" s="11">
        <v>46301.484907407408</v>
      </c>
      <c r="C19" s="4" t="s">
        <v>111</v>
      </c>
      <c r="D19" s="4"/>
      <c r="E19" s="26" t="s">
        <v>112</v>
      </c>
      <c r="F19" s="26" t="s">
        <v>113</v>
      </c>
      <c r="G19" s="4" t="s">
        <v>21</v>
      </c>
      <c r="H19" s="26" t="s">
        <v>114</v>
      </c>
      <c r="I19" s="12" t="s">
        <v>38</v>
      </c>
      <c r="J19" s="12" t="s">
        <v>24</v>
      </c>
      <c r="K19" s="13" t="s">
        <v>115</v>
      </c>
      <c r="L19" s="14" t="s">
        <v>116</v>
      </c>
      <c r="M19" s="26" t="s">
        <v>300</v>
      </c>
    </row>
    <row r="20" spans="1:13" ht="58.5" customHeight="1" x14ac:dyDescent="0.25">
      <c r="A20" s="4">
        <f t="shared" si="0"/>
        <v>16</v>
      </c>
      <c r="B20" s="11">
        <v>46301.412453703706</v>
      </c>
      <c r="C20" s="4" t="s">
        <v>117</v>
      </c>
      <c r="D20" s="4"/>
      <c r="E20" s="26" t="s">
        <v>118</v>
      </c>
      <c r="F20" s="26" t="s">
        <v>119</v>
      </c>
      <c r="G20" s="4" t="s">
        <v>100</v>
      </c>
      <c r="H20" s="26" t="s">
        <v>120</v>
      </c>
      <c r="I20" s="12" t="s">
        <v>31</v>
      </c>
      <c r="J20" s="12" t="s">
        <v>46</v>
      </c>
      <c r="K20" s="13" t="s">
        <v>121</v>
      </c>
      <c r="L20" s="14" t="s">
        <v>122</v>
      </c>
      <c r="M20" s="26" t="s">
        <v>296</v>
      </c>
    </row>
    <row r="21" spans="1:13" ht="58.5" customHeight="1" x14ac:dyDescent="0.25">
      <c r="A21" s="4">
        <f t="shared" si="0"/>
        <v>17</v>
      </c>
      <c r="B21" s="11">
        <v>46301.582430555558</v>
      </c>
      <c r="C21" s="4" t="s">
        <v>123</v>
      </c>
      <c r="D21" s="4" t="s">
        <v>77</v>
      </c>
      <c r="E21" s="26" t="s">
        <v>124</v>
      </c>
      <c r="F21" s="26" t="s">
        <v>125</v>
      </c>
      <c r="G21" s="4" t="s">
        <v>21</v>
      </c>
      <c r="H21" s="26" t="s">
        <v>126</v>
      </c>
      <c r="I21" s="12" t="s">
        <v>31</v>
      </c>
      <c r="J21" s="12" t="s">
        <v>127</v>
      </c>
      <c r="K21" s="13" t="s">
        <v>128</v>
      </c>
      <c r="L21" s="14" t="s">
        <v>129</v>
      </c>
      <c r="M21" s="26" t="s">
        <v>298</v>
      </c>
    </row>
    <row r="22" spans="1:13" ht="58.5" customHeight="1" x14ac:dyDescent="0.25">
      <c r="A22" s="4">
        <f t="shared" si="0"/>
        <v>18</v>
      </c>
      <c r="B22" s="11">
        <v>46301.648634259262</v>
      </c>
      <c r="C22" s="4" t="s">
        <v>130</v>
      </c>
      <c r="D22" s="4"/>
      <c r="E22" s="26" t="s">
        <v>131</v>
      </c>
      <c r="F22" s="26" t="s">
        <v>125</v>
      </c>
      <c r="G22" s="4" t="s">
        <v>21</v>
      </c>
      <c r="H22" s="26" t="s">
        <v>132</v>
      </c>
      <c r="I22" s="12" t="s">
        <v>53</v>
      </c>
      <c r="J22" s="12" t="s">
        <v>24</v>
      </c>
      <c r="K22" s="13" t="s">
        <v>133</v>
      </c>
      <c r="L22" s="14" t="s">
        <v>134</v>
      </c>
      <c r="M22" s="26" t="s">
        <v>298</v>
      </c>
    </row>
    <row r="23" spans="1:13" ht="58.5" customHeight="1" x14ac:dyDescent="0.25">
      <c r="A23" s="4">
        <f t="shared" si="0"/>
        <v>19</v>
      </c>
      <c r="B23" s="11">
        <v>46268.865428240744</v>
      </c>
      <c r="C23" s="4" t="s">
        <v>142</v>
      </c>
      <c r="D23" s="4" t="s">
        <v>18</v>
      </c>
      <c r="E23" s="26" t="s">
        <v>135</v>
      </c>
      <c r="F23" s="26" t="s">
        <v>136</v>
      </c>
      <c r="G23" s="4" t="s">
        <v>137</v>
      </c>
      <c r="H23" s="26" t="s">
        <v>138</v>
      </c>
      <c r="I23" s="12" t="s">
        <v>139</v>
      </c>
      <c r="J23" s="12" t="s">
        <v>127</v>
      </c>
      <c r="K23" s="13" t="s">
        <v>140</v>
      </c>
      <c r="L23" s="14" t="s">
        <v>141</v>
      </c>
      <c r="M23" s="26" t="s">
        <v>301</v>
      </c>
    </row>
    <row r="24" spans="1:13" ht="58.5" customHeight="1" x14ac:dyDescent="0.25">
      <c r="A24" s="4">
        <f t="shared" si="0"/>
        <v>20</v>
      </c>
      <c r="B24" s="11">
        <v>46301.585405092592</v>
      </c>
      <c r="C24" s="4" t="s">
        <v>143</v>
      </c>
      <c r="D24" s="4"/>
      <c r="E24" s="26" t="s">
        <v>144</v>
      </c>
      <c r="F24" s="26" t="s">
        <v>145</v>
      </c>
      <c r="G24" s="4" t="s">
        <v>21</v>
      </c>
      <c r="H24" s="26" t="s">
        <v>146</v>
      </c>
      <c r="I24" s="12" t="s">
        <v>53</v>
      </c>
      <c r="J24" s="12" t="s">
        <v>46</v>
      </c>
      <c r="K24" s="13" t="s">
        <v>147</v>
      </c>
      <c r="L24" s="14" t="s">
        <v>148</v>
      </c>
      <c r="M24" s="26" t="s">
        <v>298</v>
      </c>
    </row>
    <row r="25" spans="1:13" ht="58.5" customHeight="1" x14ac:dyDescent="0.25">
      <c r="A25" s="4">
        <f t="shared" si="0"/>
        <v>21</v>
      </c>
      <c r="B25" s="11">
        <v>46301.657256944447</v>
      </c>
      <c r="C25" s="4" t="s">
        <v>149</v>
      </c>
      <c r="D25" s="4"/>
      <c r="E25" s="26" t="s">
        <v>150</v>
      </c>
      <c r="F25" s="26" t="s">
        <v>151</v>
      </c>
      <c r="G25" s="4" t="s">
        <v>21</v>
      </c>
      <c r="H25" s="26" t="s">
        <v>152</v>
      </c>
      <c r="I25" s="12" t="s">
        <v>53</v>
      </c>
      <c r="J25" s="12" t="s">
        <v>24</v>
      </c>
      <c r="K25" s="13" t="s">
        <v>153</v>
      </c>
      <c r="L25" s="14" t="s">
        <v>154</v>
      </c>
      <c r="M25" s="26" t="s">
        <v>300</v>
      </c>
    </row>
    <row r="26" spans="1:13" ht="58.5" customHeight="1" x14ac:dyDescent="0.25">
      <c r="A26" s="4">
        <f t="shared" si="0"/>
        <v>22</v>
      </c>
      <c r="B26" s="11">
        <v>46301.596655092595</v>
      </c>
      <c r="C26" s="4" t="s">
        <v>155</v>
      </c>
      <c r="D26" s="4"/>
      <c r="E26" s="26" t="s">
        <v>156</v>
      </c>
      <c r="F26" s="26" t="s">
        <v>157</v>
      </c>
      <c r="G26" s="4" t="s">
        <v>137</v>
      </c>
      <c r="H26" s="26" t="s">
        <v>158</v>
      </c>
      <c r="I26" s="12" t="s">
        <v>53</v>
      </c>
      <c r="J26" s="12" t="s">
        <v>159</v>
      </c>
      <c r="K26" s="13" t="s">
        <v>160</v>
      </c>
      <c r="L26" s="14" t="s">
        <v>161</v>
      </c>
      <c r="M26" s="26" t="s">
        <v>298</v>
      </c>
    </row>
    <row r="27" spans="1:13" ht="58.5" customHeight="1" x14ac:dyDescent="0.25">
      <c r="A27" s="4">
        <f t="shared" si="0"/>
        <v>23</v>
      </c>
      <c r="B27" s="11">
        <v>46301.517048611109</v>
      </c>
      <c r="C27" s="4" t="s">
        <v>162</v>
      </c>
      <c r="D27" s="4"/>
      <c r="E27" s="26" t="s">
        <v>163</v>
      </c>
      <c r="F27" s="26" t="s">
        <v>164</v>
      </c>
      <c r="G27" s="4" t="s">
        <v>21</v>
      </c>
      <c r="H27" s="26" t="s">
        <v>165</v>
      </c>
      <c r="I27" s="12" t="s">
        <v>53</v>
      </c>
      <c r="J27" s="12" t="s">
        <v>46</v>
      </c>
      <c r="K27" s="13" t="s">
        <v>166</v>
      </c>
      <c r="L27" s="14" t="s">
        <v>167</v>
      </c>
      <c r="M27" s="26" t="s">
        <v>300</v>
      </c>
    </row>
    <row r="28" spans="1:13" ht="58.5" customHeight="1" x14ac:dyDescent="0.25">
      <c r="A28" s="4">
        <f t="shared" si="0"/>
        <v>24</v>
      </c>
      <c r="B28" s="11">
        <v>46301.572152777779</v>
      </c>
      <c r="C28" s="4" t="s">
        <v>168</v>
      </c>
      <c r="D28" s="4"/>
      <c r="E28" s="26" t="s">
        <v>169</v>
      </c>
      <c r="F28" s="26" t="s">
        <v>170</v>
      </c>
      <c r="G28" s="4" t="s">
        <v>21</v>
      </c>
      <c r="H28" s="26" t="s">
        <v>171</v>
      </c>
      <c r="I28" s="12" t="s">
        <v>108</v>
      </c>
      <c r="J28" s="12" t="s">
        <v>172</v>
      </c>
      <c r="K28" s="13" t="s">
        <v>173</v>
      </c>
      <c r="L28" s="14" t="s">
        <v>174</v>
      </c>
      <c r="M28" s="26" t="s">
        <v>297</v>
      </c>
    </row>
    <row r="29" spans="1:13" ht="58.5" customHeight="1" x14ac:dyDescent="0.25">
      <c r="A29" s="4">
        <f t="shared" si="0"/>
        <v>25</v>
      </c>
      <c r="B29" s="11">
        <v>46301.666145833333</v>
      </c>
      <c r="C29" s="4" t="s">
        <v>175</v>
      </c>
      <c r="D29" s="4"/>
      <c r="E29" s="26" t="s">
        <v>176</v>
      </c>
      <c r="F29" s="26" t="s">
        <v>177</v>
      </c>
      <c r="G29" s="4" t="s">
        <v>21</v>
      </c>
      <c r="H29" s="26" t="s">
        <v>178</v>
      </c>
      <c r="I29" s="12" t="s">
        <v>61</v>
      </c>
      <c r="J29" s="12" t="s">
        <v>24</v>
      </c>
      <c r="K29" s="13" t="s">
        <v>179</v>
      </c>
      <c r="L29" s="14" t="s">
        <v>180</v>
      </c>
      <c r="M29" s="26" t="s">
        <v>298</v>
      </c>
    </row>
    <row r="30" spans="1:13" ht="58.5" customHeight="1" x14ac:dyDescent="0.25">
      <c r="A30" s="4">
        <f t="shared" si="0"/>
        <v>26</v>
      </c>
      <c r="B30" s="11">
        <v>46295.47079861111</v>
      </c>
      <c r="C30" s="4" t="s">
        <v>181</v>
      </c>
      <c r="D30" s="4" t="s">
        <v>77</v>
      </c>
      <c r="E30" s="26" t="s">
        <v>182</v>
      </c>
      <c r="F30" s="26" t="s">
        <v>183</v>
      </c>
      <c r="G30" s="4" t="s">
        <v>21</v>
      </c>
      <c r="H30" s="26" t="s">
        <v>184</v>
      </c>
      <c r="I30" s="12" t="s">
        <v>185</v>
      </c>
      <c r="J30" s="12" t="s">
        <v>186</v>
      </c>
      <c r="K30" s="13" t="s">
        <v>187</v>
      </c>
      <c r="L30" s="14" t="s">
        <v>188</v>
      </c>
      <c r="M30" s="26" t="s">
        <v>297</v>
      </c>
    </row>
    <row r="31" spans="1:13" ht="58.5" customHeight="1" x14ac:dyDescent="0.25">
      <c r="A31" s="4">
        <f t="shared" si="0"/>
        <v>27</v>
      </c>
      <c r="B31" s="11">
        <v>46289.514745370368</v>
      </c>
      <c r="C31" s="4" t="s">
        <v>189</v>
      </c>
      <c r="D31" s="4" t="s">
        <v>77</v>
      </c>
      <c r="E31" s="26" t="s">
        <v>190</v>
      </c>
      <c r="F31" s="26" t="s">
        <v>191</v>
      </c>
      <c r="G31" s="4" t="s">
        <v>21</v>
      </c>
      <c r="H31" s="26" t="s">
        <v>192</v>
      </c>
      <c r="I31" s="12" t="s">
        <v>193</v>
      </c>
      <c r="J31" s="12" t="s">
        <v>194</v>
      </c>
      <c r="K31" s="13" t="s">
        <v>83</v>
      </c>
      <c r="L31" s="14" t="s">
        <v>84</v>
      </c>
      <c r="M31" s="26" t="s">
        <v>297</v>
      </c>
    </row>
    <row r="32" spans="1:13" ht="58.5" customHeight="1" x14ac:dyDescent="0.25">
      <c r="A32" s="4">
        <f t="shared" si="0"/>
        <v>28</v>
      </c>
      <c r="B32" s="11">
        <v>46301.558275462965</v>
      </c>
      <c r="C32" s="4" t="s">
        <v>195</v>
      </c>
      <c r="D32" s="4" t="s">
        <v>77</v>
      </c>
      <c r="E32" s="26" t="s">
        <v>196</v>
      </c>
      <c r="F32" s="26" t="s">
        <v>197</v>
      </c>
      <c r="G32" s="4" t="s">
        <v>21</v>
      </c>
      <c r="H32" s="26" t="s">
        <v>198</v>
      </c>
      <c r="I32" s="12" t="s">
        <v>199</v>
      </c>
      <c r="J32" s="12" t="s">
        <v>200</v>
      </c>
      <c r="K32" s="13" t="s">
        <v>201</v>
      </c>
      <c r="L32" s="14" t="s">
        <v>202</v>
      </c>
      <c r="M32" s="26" t="s">
        <v>299</v>
      </c>
    </row>
    <row r="33" spans="1:13" ht="58.5" customHeight="1" x14ac:dyDescent="0.25">
      <c r="A33" s="4">
        <f t="shared" si="0"/>
        <v>29</v>
      </c>
      <c r="B33" s="11">
        <v>46301.555104166669</v>
      </c>
      <c r="C33" s="4" t="s">
        <v>203</v>
      </c>
      <c r="D33" s="4" t="s">
        <v>18</v>
      </c>
      <c r="E33" s="31" t="s">
        <v>204</v>
      </c>
      <c r="F33" s="26" t="s">
        <v>205</v>
      </c>
      <c r="G33" s="4" t="s">
        <v>206</v>
      </c>
      <c r="H33" s="26" t="s">
        <v>207</v>
      </c>
      <c r="I33" s="12" t="s">
        <v>61</v>
      </c>
      <c r="J33" s="12" t="s">
        <v>208</v>
      </c>
      <c r="K33" s="13" t="s">
        <v>209</v>
      </c>
      <c r="L33" s="14" t="s">
        <v>210</v>
      </c>
      <c r="M33" s="26" t="s">
        <v>296</v>
      </c>
    </row>
    <row r="34" spans="1:13" ht="58.5" customHeight="1" x14ac:dyDescent="0.25">
      <c r="A34" s="4">
        <f t="shared" si="0"/>
        <v>30</v>
      </c>
      <c r="B34" s="11">
        <v>46301.475914351853</v>
      </c>
      <c r="C34" s="4" t="s">
        <v>211</v>
      </c>
      <c r="D34" s="4"/>
      <c r="E34" s="26" t="s">
        <v>212</v>
      </c>
      <c r="F34" s="26" t="s">
        <v>213</v>
      </c>
      <c r="G34" s="4" t="s">
        <v>21</v>
      </c>
      <c r="H34" s="26" t="s">
        <v>214</v>
      </c>
      <c r="I34" s="12" t="s">
        <v>53</v>
      </c>
      <c r="J34" s="12" t="s">
        <v>46</v>
      </c>
      <c r="K34" s="13" t="s">
        <v>215</v>
      </c>
      <c r="L34" s="14" t="s">
        <v>216</v>
      </c>
      <c r="M34" s="26" t="s">
        <v>302</v>
      </c>
    </row>
    <row r="35" spans="1:13" ht="58.5" customHeight="1" x14ac:dyDescent="0.25">
      <c r="A35" s="4">
        <f t="shared" si="0"/>
        <v>31</v>
      </c>
      <c r="B35" s="11">
        <v>46301.514444444445</v>
      </c>
      <c r="C35" s="4" t="s">
        <v>217</v>
      </c>
      <c r="D35" s="4"/>
      <c r="E35" s="26" t="s">
        <v>218</v>
      </c>
      <c r="F35" s="26" t="s">
        <v>219</v>
      </c>
      <c r="G35" s="4" t="s">
        <v>21</v>
      </c>
      <c r="H35" s="26" t="s">
        <v>220</v>
      </c>
      <c r="I35" s="12" t="s">
        <v>53</v>
      </c>
      <c r="J35" s="12" t="s">
        <v>46</v>
      </c>
      <c r="K35" s="13" t="s">
        <v>221</v>
      </c>
      <c r="L35" s="14" t="s">
        <v>222</v>
      </c>
      <c r="M35" s="26" t="s">
        <v>298</v>
      </c>
    </row>
    <row r="36" spans="1:13" ht="58.5" customHeight="1" x14ac:dyDescent="0.25">
      <c r="A36" s="4">
        <f t="shared" si="0"/>
        <v>32</v>
      </c>
      <c r="B36" s="11">
        <v>46301.498414351852</v>
      </c>
      <c r="C36" s="4" t="s">
        <v>223</v>
      </c>
      <c r="D36" s="4"/>
      <c r="E36" s="26" t="s">
        <v>224</v>
      </c>
      <c r="F36" s="26" t="s">
        <v>225</v>
      </c>
      <c r="G36" s="4" t="s">
        <v>21</v>
      </c>
      <c r="H36" s="26" t="s">
        <v>226</v>
      </c>
      <c r="I36" s="12" t="s">
        <v>227</v>
      </c>
      <c r="J36" s="12" t="s">
        <v>24</v>
      </c>
      <c r="K36" s="13" t="s">
        <v>228</v>
      </c>
      <c r="L36" s="14" t="s">
        <v>229</v>
      </c>
      <c r="M36" s="26" t="s">
        <v>298</v>
      </c>
    </row>
    <row r="37" spans="1:13" ht="58.5" customHeight="1" x14ac:dyDescent="0.25">
      <c r="A37" s="4">
        <f t="shared" si="0"/>
        <v>33</v>
      </c>
      <c r="B37" s="11">
        <v>46299.501793981479</v>
      </c>
      <c r="C37" s="4" t="s">
        <v>230</v>
      </c>
      <c r="D37" s="4" t="s">
        <v>18</v>
      </c>
      <c r="E37" s="26" t="s">
        <v>231</v>
      </c>
      <c r="F37" s="26" t="s">
        <v>232</v>
      </c>
      <c r="G37" s="4" t="s">
        <v>21</v>
      </c>
      <c r="H37" s="26" t="s">
        <v>233</v>
      </c>
      <c r="I37" s="12" t="s">
        <v>139</v>
      </c>
      <c r="J37" s="12" t="s">
        <v>234</v>
      </c>
      <c r="K37" s="13" t="s">
        <v>235</v>
      </c>
      <c r="L37" s="14" t="s">
        <v>236</v>
      </c>
      <c r="M37" s="26" t="s">
        <v>18</v>
      </c>
    </row>
    <row r="38" spans="1:13" ht="58.5" customHeight="1" x14ac:dyDescent="0.25">
      <c r="A38" s="4">
        <f t="shared" si="0"/>
        <v>34</v>
      </c>
      <c r="B38" s="11">
        <v>46295.685486111113</v>
      </c>
      <c r="C38" s="4" t="s">
        <v>237</v>
      </c>
      <c r="D38" s="4" t="s">
        <v>18</v>
      </c>
      <c r="E38" s="26" t="s">
        <v>238</v>
      </c>
      <c r="F38" s="26" t="s">
        <v>239</v>
      </c>
      <c r="G38" s="4" t="s">
        <v>206</v>
      </c>
      <c r="H38" s="26" t="s">
        <v>240</v>
      </c>
      <c r="I38" s="12" t="s">
        <v>81</v>
      </c>
      <c r="J38" s="12" t="s">
        <v>241</v>
      </c>
      <c r="K38" s="13" t="s">
        <v>242</v>
      </c>
      <c r="L38" s="14" t="s">
        <v>243</v>
      </c>
      <c r="M38" s="26" t="s">
        <v>18</v>
      </c>
    </row>
    <row r="39" spans="1:13" ht="58.5" customHeight="1" x14ac:dyDescent="0.25">
      <c r="A39" s="4">
        <f t="shared" si="0"/>
        <v>35</v>
      </c>
      <c r="B39" s="11">
        <v>46300.699803240743</v>
      </c>
      <c r="C39" s="4" t="s">
        <v>245</v>
      </c>
      <c r="D39" s="4" t="s">
        <v>18</v>
      </c>
      <c r="E39" s="26" t="s">
        <v>246</v>
      </c>
      <c r="F39" s="26" t="s">
        <v>239</v>
      </c>
      <c r="G39" s="4" t="s">
        <v>21</v>
      </c>
      <c r="H39" s="26" t="s">
        <v>247</v>
      </c>
      <c r="I39" s="12" t="s">
        <v>244</v>
      </c>
      <c r="J39" s="12" t="s">
        <v>248</v>
      </c>
      <c r="K39" s="13" t="s">
        <v>242</v>
      </c>
      <c r="L39" s="14" t="s">
        <v>243</v>
      </c>
      <c r="M39" s="26" t="s">
        <v>18</v>
      </c>
    </row>
    <row r="40" spans="1:13" ht="58.5" customHeight="1" x14ac:dyDescent="0.25">
      <c r="A40" s="4">
        <f t="shared" si="0"/>
        <v>36</v>
      </c>
      <c r="B40" s="11">
        <v>46300.707997685182</v>
      </c>
      <c r="C40" s="4" t="s">
        <v>249</v>
      </c>
      <c r="D40" s="4" t="s">
        <v>18</v>
      </c>
      <c r="E40" s="26" t="s">
        <v>250</v>
      </c>
      <c r="F40" s="26" t="s">
        <v>239</v>
      </c>
      <c r="G40" s="4" t="s">
        <v>21</v>
      </c>
      <c r="H40" s="26" t="s">
        <v>240</v>
      </c>
      <c r="I40" s="12" t="s">
        <v>244</v>
      </c>
      <c r="J40" s="12" t="s">
        <v>248</v>
      </c>
      <c r="K40" s="13" t="s">
        <v>242</v>
      </c>
      <c r="L40" s="14" t="s">
        <v>243</v>
      </c>
      <c r="M40" s="26" t="s">
        <v>18</v>
      </c>
    </row>
    <row r="41" spans="1:13" ht="58.5" customHeight="1" x14ac:dyDescent="0.25">
      <c r="A41" s="4">
        <f t="shared" si="0"/>
        <v>37</v>
      </c>
      <c r="B41" s="11">
        <v>46300.865787037037</v>
      </c>
      <c r="C41" s="4" t="s">
        <v>251</v>
      </c>
      <c r="D41" s="4"/>
      <c r="E41" s="26" t="s">
        <v>252</v>
      </c>
      <c r="F41" s="26" t="s">
        <v>253</v>
      </c>
      <c r="G41" s="4" t="s">
        <v>21</v>
      </c>
      <c r="H41" s="26" t="s">
        <v>254</v>
      </c>
      <c r="I41" s="12" t="s">
        <v>172</v>
      </c>
      <c r="J41" s="12" t="s">
        <v>24</v>
      </c>
      <c r="K41" s="13" t="s">
        <v>255</v>
      </c>
      <c r="L41" s="14" t="s">
        <v>256</v>
      </c>
      <c r="M41" s="26" t="s">
        <v>303</v>
      </c>
    </row>
    <row r="42" spans="1:13" ht="58.5" customHeight="1" x14ac:dyDescent="0.25">
      <c r="A42" s="4">
        <f t="shared" si="0"/>
        <v>38</v>
      </c>
      <c r="B42" s="11">
        <v>46300.863969907405</v>
      </c>
      <c r="C42" s="4" t="s">
        <v>257</v>
      </c>
      <c r="D42" s="4"/>
      <c r="E42" s="26" t="s">
        <v>258</v>
      </c>
      <c r="F42" s="26" t="s">
        <v>253</v>
      </c>
      <c r="G42" s="4" t="s">
        <v>21</v>
      </c>
      <c r="H42" s="26" t="s">
        <v>254</v>
      </c>
      <c r="I42" s="12" t="s">
        <v>61</v>
      </c>
      <c r="J42" s="12" t="s">
        <v>62</v>
      </c>
      <c r="K42" s="13" t="s">
        <v>255</v>
      </c>
      <c r="L42" s="14" t="s">
        <v>256</v>
      </c>
      <c r="M42" s="26" t="s">
        <v>296</v>
      </c>
    </row>
    <row r="43" spans="1:13" ht="58.5" customHeight="1" x14ac:dyDescent="0.25">
      <c r="A43" s="4">
        <f t="shared" si="0"/>
        <v>39</v>
      </c>
      <c r="B43" s="11">
        <v>46301.64949074074</v>
      </c>
      <c r="C43" s="4" t="s">
        <v>259</v>
      </c>
      <c r="D43" s="4"/>
      <c r="E43" s="26" t="s">
        <v>260</v>
      </c>
      <c r="F43" s="26" t="s">
        <v>261</v>
      </c>
      <c r="G43" s="4" t="s">
        <v>21</v>
      </c>
      <c r="H43" s="26" t="s">
        <v>262</v>
      </c>
      <c r="I43" s="12" t="s">
        <v>53</v>
      </c>
      <c r="J43" s="12" t="s">
        <v>24</v>
      </c>
      <c r="K43" s="13" t="s">
        <v>263</v>
      </c>
      <c r="L43" s="14" t="s">
        <v>264</v>
      </c>
      <c r="M43" s="26" t="s">
        <v>296</v>
      </c>
    </row>
    <row r="44" spans="1:13" ht="58.5" customHeight="1" x14ac:dyDescent="0.25">
      <c r="A44" s="4">
        <f t="shared" si="0"/>
        <v>40</v>
      </c>
      <c r="B44" s="11">
        <v>46301.681562500002</v>
      </c>
      <c r="C44" s="4" t="s">
        <v>265</v>
      </c>
      <c r="D44" s="4"/>
      <c r="E44" s="26" t="s">
        <v>266</v>
      </c>
      <c r="F44" s="26" t="s">
        <v>267</v>
      </c>
      <c r="G44" s="4" t="s">
        <v>21</v>
      </c>
      <c r="H44" s="26" t="s">
        <v>268</v>
      </c>
      <c r="I44" s="12" t="s">
        <v>61</v>
      </c>
      <c r="J44" s="12" t="s">
        <v>90</v>
      </c>
      <c r="K44" s="13" t="s">
        <v>269</v>
      </c>
      <c r="L44" s="14" t="s">
        <v>270</v>
      </c>
      <c r="M44" s="26" t="s">
        <v>304</v>
      </c>
    </row>
    <row r="45" spans="1:13" ht="58.5" customHeight="1" x14ac:dyDescent="0.25">
      <c r="A45" s="4">
        <f t="shared" si="0"/>
        <v>41</v>
      </c>
      <c r="B45" s="11">
        <v>46301.545393518521</v>
      </c>
      <c r="C45" s="4" t="s">
        <v>271</v>
      </c>
      <c r="D45" s="4"/>
      <c r="E45" s="26" t="s">
        <v>272</v>
      </c>
      <c r="F45" s="26" t="s">
        <v>273</v>
      </c>
      <c r="G45" s="4" t="s">
        <v>21</v>
      </c>
      <c r="H45" s="26" t="s">
        <v>274</v>
      </c>
      <c r="I45" s="12" t="s">
        <v>53</v>
      </c>
      <c r="J45" s="12" t="s">
        <v>159</v>
      </c>
      <c r="K45" s="13" t="s">
        <v>275</v>
      </c>
      <c r="L45" s="14" t="s">
        <v>276</v>
      </c>
      <c r="M45" s="26" t="s">
        <v>297</v>
      </c>
    </row>
    <row r="46" spans="1:13" ht="58.5" customHeight="1" x14ac:dyDescent="0.25">
      <c r="A46" s="4">
        <f t="shared" si="0"/>
        <v>42</v>
      </c>
      <c r="B46" s="11">
        <v>46301.49009259259</v>
      </c>
      <c r="C46" s="4" t="s">
        <v>277</v>
      </c>
      <c r="D46" s="4"/>
      <c r="E46" s="26" t="s">
        <v>278</v>
      </c>
      <c r="F46" s="26" t="s">
        <v>279</v>
      </c>
      <c r="G46" s="4" t="s">
        <v>21</v>
      </c>
      <c r="H46" s="26" t="s">
        <v>280</v>
      </c>
      <c r="I46" s="12" t="s">
        <v>54</v>
      </c>
      <c r="J46" s="12" t="s">
        <v>172</v>
      </c>
      <c r="K46" s="13" t="s">
        <v>281</v>
      </c>
      <c r="L46" s="14" t="s">
        <v>282</v>
      </c>
      <c r="M46" s="26" t="s">
        <v>296</v>
      </c>
    </row>
    <row r="47" spans="1:13" ht="58.5" customHeight="1" x14ac:dyDescent="0.25">
      <c r="A47" s="4">
        <f t="shared" si="0"/>
        <v>43</v>
      </c>
      <c r="B47" s="11">
        <v>46301.691504629627</v>
      </c>
      <c r="C47" s="4" t="s">
        <v>288</v>
      </c>
      <c r="D47" s="4"/>
      <c r="E47" s="26" t="s">
        <v>283</v>
      </c>
      <c r="F47" s="26" t="s">
        <v>284</v>
      </c>
      <c r="G47" s="4" t="s">
        <v>21</v>
      </c>
      <c r="H47" s="26" t="s">
        <v>285</v>
      </c>
      <c r="I47" s="12" t="s">
        <v>53</v>
      </c>
      <c r="J47" s="12" t="s">
        <v>46</v>
      </c>
      <c r="K47" s="13" t="s">
        <v>286</v>
      </c>
      <c r="L47" s="14" t="s">
        <v>287</v>
      </c>
      <c r="M47" s="26" t="s">
        <v>296</v>
      </c>
    </row>
    <row r="48" spans="1:13" ht="58.5" customHeight="1" x14ac:dyDescent="0.25">
      <c r="A48" s="15">
        <f t="shared" si="0"/>
        <v>44</v>
      </c>
      <c r="B48" s="16">
        <v>46301.611145833333</v>
      </c>
      <c r="C48" s="15" t="s">
        <v>289</v>
      </c>
      <c r="D48" s="15"/>
      <c r="E48" s="27" t="s">
        <v>290</v>
      </c>
      <c r="F48" s="27" t="s">
        <v>291</v>
      </c>
      <c r="G48" s="15" t="s">
        <v>21</v>
      </c>
      <c r="H48" s="27" t="s">
        <v>292</v>
      </c>
      <c r="I48" s="17" t="s">
        <v>293</v>
      </c>
      <c r="J48" s="17" t="s">
        <v>54</v>
      </c>
      <c r="K48" s="18" t="s">
        <v>294</v>
      </c>
      <c r="L48" s="19" t="s">
        <v>295</v>
      </c>
      <c r="M48" s="27" t="s">
        <v>298</v>
      </c>
    </row>
    <row r="49" spans="1:13" ht="58.5" customHeight="1" x14ac:dyDescent="0.25">
      <c r="A49" s="4">
        <f t="shared" si="0"/>
        <v>45</v>
      </c>
      <c r="B49" s="20"/>
      <c r="C49" s="21">
        <v>327968</v>
      </c>
      <c r="D49" s="20"/>
      <c r="E49" s="28" t="s">
        <v>306</v>
      </c>
      <c r="F49" s="28">
        <v>400</v>
      </c>
      <c r="G49" s="21" t="s">
        <v>336</v>
      </c>
      <c r="H49" s="35" t="s">
        <v>327</v>
      </c>
      <c r="I49" s="21" t="s">
        <v>319</v>
      </c>
      <c r="J49" s="21" t="s">
        <v>320</v>
      </c>
      <c r="K49" s="21" t="s">
        <v>319</v>
      </c>
      <c r="L49" s="21" t="s">
        <v>321</v>
      </c>
      <c r="M49" s="32" t="s">
        <v>296</v>
      </c>
    </row>
    <row r="50" spans="1:13" ht="58.5" customHeight="1" x14ac:dyDescent="0.25">
      <c r="A50" s="15">
        <f t="shared" si="0"/>
        <v>46</v>
      </c>
      <c r="B50" s="20"/>
      <c r="C50" s="21">
        <v>327539</v>
      </c>
      <c r="D50" s="20"/>
      <c r="E50" s="28" t="s">
        <v>307</v>
      </c>
      <c r="F50" s="28">
        <v>220</v>
      </c>
      <c r="G50" s="21" t="s">
        <v>337</v>
      </c>
      <c r="H50" s="35" t="s">
        <v>328</v>
      </c>
      <c r="I50" s="21" t="s">
        <v>319</v>
      </c>
      <c r="J50" s="21" t="s">
        <v>322</v>
      </c>
      <c r="K50" s="21" t="s">
        <v>319</v>
      </c>
      <c r="L50" s="21" t="s">
        <v>321</v>
      </c>
      <c r="M50" s="32" t="s">
        <v>303</v>
      </c>
    </row>
    <row r="51" spans="1:13" ht="58.5" customHeight="1" x14ac:dyDescent="0.25">
      <c r="A51" s="4">
        <f t="shared" si="0"/>
        <v>47</v>
      </c>
      <c r="B51" s="20"/>
      <c r="C51" s="21">
        <v>327593</v>
      </c>
      <c r="D51" s="20"/>
      <c r="E51" s="28" t="s">
        <v>308</v>
      </c>
      <c r="F51" s="28">
        <v>132</v>
      </c>
      <c r="G51" s="21" t="s">
        <v>337</v>
      </c>
      <c r="H51" s="35" t="s">
        <v>329</v>
      </c>
      <c r="I51" s="21" t="s">
        <v>319</v>
      </c>
      <c r="J51" s="21" t="s">
        <v>322</v>
      </c>
      <c r="K51" s="21" t="s">
        <v>319</v>
      </c>
      <c r="L51" s="21" t="s">
        <v>321</v>
      </c>
      <c r="M51" s="32" t="s">
        <v>303</v>
      </c>
    </row>
    <row r="52" spans="1:13" ht="58.5" customHeight="1" x14ac:dyDescent="0.25">
      <c r="A52" s="15">
        <f t="shared" si="0"/>
        <v>48</v>
      </c>
      <c r="B52" s="20"/>
      <c r="C52" s="21">
        <v>327494</v>
      </c>
      <c r="D52" s="20"/>
      <c r="E52" s="28" t="s">
        <v>309</v>
      </c>
      <c r="F52" s="28">
        <v>400</v>
      </c>
      <c r="G52" s="21" t="s">
        <v>337</v>
      </c>
      <c r="H52" s="35" t="s">
        <v>330</v>
      </c>
      <c r="I52" s="21" t="s">
        <v>319</v>
      </c>
      <c r="J52" s="21" t="s">
        <v>320</v>
      </c>
      <c r="K52" s="21" t="s">
        <v>319</v>
      </c>
      <c r="L52" s="21" t="s">
        <v>321</v>
      </c>
      <c r="M52" s="32" t="s">
        <v>335</v>
      </c>
    </row>
    <row r="53" spans="1:13" ht="58.5" customHeight="1" x14ac:dyDescent="0.25">
      <c r="A53" s="4">
        <f t="shared" si="0"/>
        <v>49</v>
      </c>
      <c r="B53" s="20"/>
      <c r="C53" s="21">
        <v>327495</v>
      </c>
      <c r="D53" s="20"/>
      <c r="E53" s="28" t="s">
        <v>310</v>
      </c>
      <c r="F53" s="28">
        <v>400</v>
      </c>
      <c r="G53" s="21" t="s">
        <v>337</v>
      </c>
      <c r="H53" s="35" t="s">
        <v>328</v>
      </c>
      <c r="I53" s="21" t="s">
        <v>319</v>
      </c>
      <c r="J53" s="21" t="s">
        <v>322</v>
      </c>
      <c r="K53" s="21" t="s">
        <v>319</v>
      </c>
      <c r="L53" s="21" t="s">
        <v>321</v>
      </c>
      <c r="M53" s="32" t="s">
        <v>296</v>
      </c>
    </row>
    <row r="54" spans="1:13" ht="58.5" customHeight="1" x14ac:dyDescent="0.25">
      <c r="A54" s="15">
        <f t="shared" si="0"/>
        <v>50</v>
      </c>
      <c r="B54" s="23"/>
      <c r="C54" s="24">
        <v>327535</v>
      </c>
      <c r="D54" s="23"/>
      <c r="E54" s="29" t="s">
        <v>311</v>
      </c>
      <c r="F54" s="29">
        <v>220</v>
      </c>
      <c r="G54" s="21" t="s">
        <v>337</v>
      </c>
      <c r="H54" s="36" t="s">
        <v>331</v>
      </c>
      <c r="I54" s="24" t="s">
        <v>319</v>
      </c>
      <c r="J54" s="24" t="s">
        <v>322</v>
      </c>
      <c r="K54" s="24" t="s">
        <v>319</v>
      </c>
      <c r="L54" s="24" t="s">
        <v>323</v>
      </c>
      <c r="M54" s="33" t="s">
        <v>296</v>
      </c>
    </row>
    <row r="55" spans="1:13" ht="58.5" customHeight="1" x14ac:dyDescent="0.25">
      <c r="A55" s="25">
        <f t="shared" si="0"/>
        <v>51</v>
      </c>
      <c r="B55" s="20"/>
      <c r="C55" s="21">
        <v>327536</v>
      </c>
      <c r="D55" s="20"/>
      <c r="E55" s="28" t="s">
        <v>312</v>
      </c>
      <c r="F55" s="28">
        <v>220</v>
      </c>
      <c r="G55" s="21" t="s">
        <v>337</v>
      </c>
      <c r="H55" s="35" t="s">
        <v>331</v>
      </c>
      <c r="I55" s="21" t="s">
        <v>319</v>
      </c>
      <c r="J55" s="21" t="s">
        <v>320</v>
      </c>
      <c r="K55" s="21" t="s">
        <v>319</v>
      </c>
      <c r="L55" s="21" t="s">
        <v>323</v>
      </c>
      <c r="M55" s="32" t="s">
        <v>303</v>
      </c>
    </row>
    <row r="56" spans="1:13" ht="58.5" customHeight="1" x14ac:dyDescent="0.25">
      <c r="A56" s="15">
        <f t="shared" si="0"/>
        <v>52</v>
      </c>
      <c r="B56" s="20"/>
      <c r="C56" s="21">
        <v>327537</v>
      </c>
      <c r="D56" s="20"/>
      <c r="E56" s="28" t="s">
        <v>313</v>
      </c>
      <c r="F56" s="28">
        <v>220</v>
      </c>
      <c r="G56" s="21" t="s">
        <v>337</v>
      </c>
      <c r="H56" s="35" t="s">
        <v>328</v>
      </c>
      <c r="I56" s="21" t="s">
        <v>319</v>
      </c>
      <c r="J56" s="21" t="s">
        <v>324</v>
      </c>
      <c r="K56" s="21" t="s">
        <v>319</v>
      </c>
      <c r="L56" s="21" t="s">
        <v>323</v>
      </c>
      <c r="M56" s="32" t="s">
        <v>303</v>
      </c>
    </row>
    <row r="57" spans="1:13" ht="58.5" customHeight="1" x14ac:dyDescent="0.25">
      <c r="A57" s="25">
        <f t="shared" si="0"/>
        <v>53</v>
      </c>
      <c r="B57" s="20"/>
      <c r="C57" s="21">
        <v>327538</v>
      </c>
      <c r="D57" s="20"/>
      <c r="E57" s="28" t="s">
        <v>314</v>
      </c>
      <c r="F57" s="28">
        <v>220</v>
      </c>
      <c r="G57" s="21" t="s">
        <v>337</v>
      </c>
      <c r="H57" s="35" t="s">
        <v>332</v>
      </c>
      <c r="I57" s="21" t="s">
        <v>319</v>
      </c>
      <c r="J57" s="21" t="s">
        <v>322</v>
      </c>
      <c r="K57" s="21" t="s">
        <v>319</v>
      </c>
      <c r="L57" s="21" t="s">
        <v>325</v>
      </c>
      <c r="M57" s="32" t="s">
        <v>303</v>
      </c>
    </row>
    <row r="58" spans="1:13" ht="58.5" customHeight="1" x14ac:dyDescent="0.25">
      <c r="A58" s="15">
        <f t="shared" si="0"/>
        <v>54</v>
      </c>
      <c r="B58" s="20"/>
      <c r="C58" s="21">
        <v>327898</v>
      </c>
      <c r="D58" s="20"/>
      <c r="E58" s="28" t="s">
        <v>315</v>
      </c>
      <c r="F58" s="28">
        <v>400</v>
      </c>
      <c r="G58" s="21" t="s">
        <v>337</v>
      </c>
      <c r="H58" s="35" t="s">
        <v>333</v>
      </c>
      <c r="I58" s="21" t="s">
        <v>319</v>
      </c>
      <c r="J58" s="21" t="s">
        <v>320</v>
      </c>
      <c r="K58" s="21" t="s">
        <v>319</v>
      </c>
      <c r="L58" s="22">
        <v>0.5625</v>
      </c>
      <c r="M58" s="34" t="s">
        <v>301</v>
      </c>
    </row>
    <row r="59" spans="1:13" ht="58.5" customHeight="1" x14ac:dyDescent="0.25">
      <c r="A59" s="25">
        <f t="shared" si="0"/>
        <v>55</v>
      </c>
      <c r="B59" s="20"/>
      <c r="C59" s="21">
        <v>327899</v>
      </c>
      <c r="D59" s="20"/>
      <c r="E59" s="28" t="s">
        <v>316</v>
      </c>
      <c r="F59" s="28">
        <v>400</v>
      </c>
      <c r="G59" s="21" t="s">
        <v>337</v>
      </c>
      <c r="H59" s="35" t="s">
        <v>333</v>
      </c>
      <c r="I59" s="21" t="s">
        <v>319</v>
      </c>
      <c r="J59" s="22">
        <v>0.5625</v>
      </c>
      <c r="K59" s="21" t="s">
        <v>319</v>
      </c>
      <c r="L59" s="21" t="s">
        <v>321</v>
      </c>
      <c r="M59" s="34" t="s">
        <v>301</v>
      </c>
    </row>
    <row r="60" spans="1:13" ht="58.5" customHeight="1" x14ac:dyDescent="0.25">
      <c r="A60" s="15">
        <f t="shared" si="0"/>
        <v>56</v>
      </c>
      <c r="B60" s="20"/>
      <c r="C60" s="21">
        <v>328205</v>
      </c>
      <c r="D60" s="20"/>
      <c r="E60" s="28" t="s">
        <v>317</v>
      </c>
      <c r="F60" s="28">
        <v>400</v>
      </c>
      <c r="G60" s="21" t="s">
        <v>336</v>
      </c>
      <c r="H60" s="35" t="s">
        <v>334</v>
      </c>
      <c r="I60" s="21" t="s">
        <v>319</v>
      </c>
      <c r="J60" s="21" t="s">
        <v>322</v>
      </c>
      <c r="K60" s="21" t="s">
        <v>326</v>
      </c>
      <c r="L60" s="21" t="s">
        <v>321</v>
      </c>
      <c r="M60" s="34" t="s">
        <v>296</v>
      </c>
    </row>
    <row r="61" spans="1:13" ht="58.5" customHeight="1" x14ac:dyDescent="0.25">
      <c r="A61" s="25">
        <f t="shared" si="0"/>
        <v>57</v>
      </c>
      <c r="B61" s="20"/>
      <c r="C61" s="21">
        <v>328207</v>
      </c>
      <c r="D61" s="20"/>
      <c r="E61" s="28" t="s">
        <v>318</v>
      </c>
      <c r="F61" s="28">
        <v>400</v>
      </c>
      <c r="G61" s="21" t="s">
        <v>336</v>
      </c>
      <c r="H61" s="35" t="s">
        <v>334</v>
      </c>
      <c r="I61" s="21" t="s">
        <v>319</v>
      </c>
      <c r="J61" s="21" t="s">
        <v>322</v>
      </c>
      <c r="K61" s="21" t="s">
        <v>326</v>
      </c>
      <c r="L61" s="21" t="s">
        <v>321</v>
      </c>
      <c r="M61" s="34" t="s">
        <v>296</v>
      </c>
    </row>
  </sheetData>
  <mergeCells count="2">
    <mergeCell ref="B1:M1"/>
    <mergeCell ref="K4:L4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2026-10-06T12:19:37Z</dcterms:created>
  <dcterms:modified xsi:type="dcterms:W3CDTF">2026-10-06T14:31:59Z</dcterms:modified>
</cp:coreProperties>
</file>
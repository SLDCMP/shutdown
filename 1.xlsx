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9040" windowHeight="15720"/>
  </bookViews>
  <sheets>
    <sheet name="Sheet0" sheetId="1" r:id="rId1"/>
  </sheets>
  <definedNames>
    <definedName name="__bookmark_1">Sheet0!$A$1:$M$30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3" i="1" s="1"/>
  <c r="A34" i="1" s="1"/>
  <c r="A35" i="1" s="1"/>
  <c r="A36" i="1" s="1"/>
  <c r="A37" i="1" s="1"/>
  <c r="A38" i="1" s="1"/>
  <c r="A39" i="1" s="1"/>
  <c r="A40" i="1" s="1"/>
  <c r="A41" i="1" s="1"/>
</calcChain>
</file>

<file path=xl/sharedStrings.xml><?xml version="1.0" encoding="utf-8"?>
<sst xmlns="http://schemas.openxmlformats.org/spreadsheetml/2006/main" count="381" uniqueCount="232">
  <si>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</si>
  <si>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</si>
  <si>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</si>
  <si>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</si>
  <si>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</si>
  <si>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</si>
  <si>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</si>
  <si>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</si>
  <si>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</si>
  <si>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</si>
  <si>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</si>
  <si>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</si>
  <si>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</si>
  <si>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</si>
  <si>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</si>
  <si>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</si>
  <si>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</si>
  <si>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</si>
  <si>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</si>
  <si>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</si>
  <si>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</si>
  <si>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</si>
  <si>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</si>
  <si>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</si>
  <si>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</si>
  <si>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</si>
  <si>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</si>
  <si>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MR2607/0108</t>
  </si>
  <si>
    <t>132KV_ASHTA4-POLAIKALAN_Ckt</t>
  </si>
  <si>
    <t>400KV_ASHTA4</t>
  </si>
  <si>
    <t>Line ckt to be shifted to Bay no 15</t>
  </si>
  <si>
    <t>09-07-2026 14:00:00</t>
  </si>
  <si>
    <t>09-07-2026 18:00:00</t>
  </si>
  <si>
    <t>S S Thakur</t>
  </si>
  <si>
    <t>9425804603</t>
  </si>
  <si>
    <t>MR2606/0434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</si>
  <si>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</si>
  <si>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</si>
  <si>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</si>
  <si>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</si>
  <si>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</si>
  <si>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</si>
  <si>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</si>
  <si>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MR2607/0051</t>
  </si>
  <si>
    <t>132KV_132kV Baihar Mandla Line</t>
  </si>
  <si>
    <t>132KV_BAIHAR</t>
  </si>
  <si>
    <t>Re-Sagging Work &amp; Other Line Maintenance Work</t>
  </si>
  <si>
    <t>05-07-2026 09:00:00</t>
  </si>
  <si>
    <t>10-07-2026 18:00:00</t>
  </si>
  <si>
    <t>S.K. BHALADHARE</t>
  </si>
  <si>
    <t>9425807264</t>
  </si>
  <si>
    <t>MR2607/0050</t>
  </si>
  <si>
    <t>Continuous</t>
  </si>
  <si>
    <t>220KV_220KV ASHTA FEEDER</t>
  </si>
  <si>
    <t>220KV_BAIRAGARH</t>
  </si>
  <si>
    <t>SAFETY PURPOSE FOR 220KV BUS-TIE CB OVER HAULING</t>
  </si>
  <si>
    <t>04-07-2026 11:06:00</t>
  </si>
  <si>
    <t>09-07-2026 17:00:00</t>
  </si>
  <si>
    <t>AKLESH SURYAWANSHI</t>
  </si>
  <si>
    <t>9425801350</t>
  </si>
  <si>
    <t>MR2607/0013</t>
  </si>
  <si>
    <t>220KV_220 KV Bus Tie</t>
  </si>
  <si>
    <t>over hauling of cb</t>
  </si>
  <si>
    <t>03-07-2026 09:00:00</t>
  </si>
  <si>
    <t>11-07-2026 17:00:00</t>
  </si>
  <si>
    <t>Akhilesh Surwanshi</t>
  </si>
  <si>
    <t>MR2607/0015</t>
  </si>
  <si>
    <t>220KV_220kv ashta</t>
  </si>
  <si>
    <t>for safe working of Crane</t>
  </si>
  <si>
    <t>04-07-2026 10:00:00</t>
  </si>
  <si>
    <t>10-07-2026 16:00:00</t>
  </si>
  <si>
    <t>MR2607/0112</t>
  </si>
  <si>
    <t>132KV_40 MVA Transformer ABB</t>
  </si>
  <si>
    <t>220KV_CHATARPUR</t>
  </si>
  <si>
    <t>for additional support provide to WTI&amp;OTI meter</t>
  </si>
  <si>
    <t>09-07-2026 10:30:00</t>
  </si>
  <si>
    <t>09-07-2026 14:30:00</t>
  </si>
  <si>
    <t>Brajendra Soni</t>
  </si>
  <si>
    <t>9131327770</t>
  </si>
  <si>
    <t>MR2606/0526</t>
  </si>
  <si>
    <t>220KV_220 kv Tikamgarh Chhatarpur</t>
  </si>
  <si>
    <t>For Modification &amp; shifting  work</t>
  </si>
  <si>
    <t>30-06-2026 08:00:00</t>
  </si>
  <si>
    <t>09-07-2026 19:00:00</t>
  </si>
  <si>
    <t>pankaj Yadav</t>
  </si>
  <si>
    <t>9406713326</t>
  </si>
  <si>
    <t>MR2607/0104</t>
  </si>
  <si>
    <t>132KV_132 kV Shahdol-Dindori Circuit II</t>
  </si>
  <si>
    <t>132KV_DINDORI</t>
  </si>
  <si>
    <t>F/o disc stringing replacement &amp; other line maint.</t>
  </si>
  <si>
    <t>09-07-2026 10:00:00</t>
  </si>
  <si>
    <t>MR2607/0116</t>
  </si>
  <si>
    <t>132KV_132KV BWFPL RE FEEDER</t>
  </si>
  <si>
    <t>132KV_GUDGAON</t>
  </si>
  <si>
    <t>C&amp;R PANEL REPLACEMENT WORK</t>
  </si>
  <si>
    <t>09-07-2026 11:00:00</t>
  </si>
  <si>
    <t>10-07-2026 15:00:00</t>
  </si>
  <si>
    <t>ER M.K. SHARMA</t>
  </si>
  <si>
    <t>9425805883</t>
  </si>
  <si>
    <t>MR2607/0103</t>
  </si>
  <si>
    <t>220KV_220KV Itarsi -2 Fdr. Load Transfor 220TBC</t>
  </si>
  <si>
    <t>220KV_HANDIYA</t>
  </si>
  <si>
    <t>For Main-2 DPR Relay Testing work</t>
  </si>
  <si>
    <t>09-07-2026 12:00:00</t>
  </si>
  <si>
    <t>K.R. Dongre</t>
  </si>
  <si>
    <t>9424430754</t>
  </si>
  <si>
    <t>MR2607/0102</t>
  </si>
  <si>
    <t>160MVA_220/132KV_BHEL_X'mer_2</t>
  </si>
  <si>
    <t>for Replacement of Damage RYB Phase OLTC Cable and</t>
  </si>
  <si>
    <t>09-07-2026 15:00:00</t>
  </si>
  <si>
    <t>MR2607/0105</t>
  </si>
  <si>
    <t>220KV_160 mva - I</t>
  </si>
  <si>
    <t>220KV_JAORA</t>
  </si>
  <si>
    <t>DC leakage attainding workj</t>
  </si>
  <si>
    <t>RAKESH BADGOTYA</t>
  </si>
  <si>
    <t>7587951143</t>
  </si>
  <si>
    <t>MR2607/0088</t>
  </si>
  <si>
    <t>132KV_132kV Kirnapur Dongargarh Line</t>
  </si>
  <si>
    <t>400KV_KIRNAPUR</t>
  </si>
  <si>
    <t>OCCM-MP</t>
  </si>
  <si>
    <t>PID Defective Disc Replacement &amp; Bird Guard Instal</t>
  </si>
  <si>
    <t>09-07-2026 09:00:00</t>
  </si>
  <si>
    <t>MR2607/0107</t>
  </si>
  <si>
    <t>220KV_Nagra-Ratlam II</t>
  </si>
  <si>
    <t>220KV_NAGRA</t>
  </si>
  <si>
    <t>Relay Testing work</t>
  </si>
  <si>
    <t>09-07-2026 13:00:00</t>
  </si>
  <si>
    <t>Er. Shailandra Bourasi</t>
  </si>
  <si>
    <t>9907246485</t>
  </si>
  <si>
    <t>MR2607/0106</t>
  </si>
  <si>
    <t>220KV_Nagra-Ratlam-I feeder bay</t>
  </si>
  <si>
    <t>Relay testing work.</t>
  </si>
  <si>
    <t>MR2607/0115</t>
  </si>
  <si>
    <t>132KV_50MVA Transformer-II TAL</t>
  </si>
  <si>
    <t>132KV_PETLAWAD</t>
  </si>
  <si>
    <t>Hot point attend on 33kV SIDE Y-ph CB clamp</t>
  </si>
  <si>
    <t>Varsingh Mohaniya</t>
  </si>
  <si>
    <t>9425803496</t>
  </si>
  <si>
    <t>MR2607/0068</t>
  </si>
  <si>
    <t>220KV_220KV PITHAMPUR IC CKT-1 LINE</t>
  </si>
  <si>
    <t>400KV_PITHAMPUR4</t>
  </si>
  <si>
    <t>replacement single insulator fitting with Doubl</t>
  </si>
  <si>
    <t>07-07-2026 07:00:00</t>
  </si>
  <si>
    <t>11-07-2026 19:00:00</t>
  </si>
  <si>
    <t>RAJENDRA KANOJE</t>
  </si>
  <si>
    <t>9425801348</t>
  </si>
  <si>
    <t>MR2607/0109</t>
  </si>
  <si>
    <t>220KV_220KV SATNA -AJAYGARGH LINE</t>
  </si>
  <si>
    <t>220KV_SATNA</t>
  </si>
  <si>
    <t>FOR attending hot point rph cb jumpher clamp towar</t>
  </si>
  <si>
    <t>09-07-2026 09:50:00</t>
  </si>
  <si>
    <t>poshkar kushwaha</t>
  </si>
  <si>
    <t>9425813990</t>
  </si>
  <si>
    <t>MR2607/0114</t>
  </si>
  <si>
    <t>220KV_220 kv Satna-Manpur DCDS line</t>
  </si>
  <si>
    <t>replacement of flash over disc insulator string</t>
  </si>
  <si>
    <t>Mr. Ajay Kumar Chaurasia</t>
  </si>
  <si>
    <t>9425805081</t>
  </si>
  <si>
    <t>MR2607/0110</t>
  </si>
  <si>
    <t>132KV_132 kv Satna  â¿¿  Nagod ckt â¿¿Ist line.</t>
  </si>
  <si>
    <t>maintenance work of 132 kv Satna  â¿¿  Nagod ckt â¿¿Is</t>
  </si>
  <si>
    <t>R.K.Prajapati</t>
  </si>
  <si>
    <t>9407070182</t>
  </si>
  <si>
    <t>MR2607/0098</t>
  </si>
  <si>
    <t>220KV_220 KV ATPS-Shahdol Line</t>
  </si>
  <si>
    <t>220KV_SHAHDOL</t>
  </si>
  <si>
    <t>Tower Erection,Stringing &amp; De-stringing work</t>
  </si>
  <si>
    <t>15-07-2026 18:00:00</t>
  </si>
  <si>
    <t>Dharmendra Dwivedi</t>
  </si>
  <si>
    <t>9425805311</t>
  </si>
  <si>
    <t>MR2607/0113</t>
  </si>
  <si>
    <t>220KV_160 MVA X-mer - II nd make BHEL</t>
  </si>
  <si>
    <t>220KV_SHAJAPUR</t>
  </si>
  <si>
    <t>160 MVA X-MER â¿¿ II  Make â¿¿ BHEL for Replacement of</t>
  </si>
  <si>
    <t>nitin Verma</t>
  </si>
  <si>
    <t>9981559007</t>
  </si>
  <si>
    <t>MR2607/0099</t>
  </si>
  <si>
    <t>220KV_220 KV ATPS -Sidhi Line</t>
  </si>
  <si>
    <t>220KV_SIDHI</t>
  </si>
  <si>
    <t>Tower Erection, Stringing &amp; De-Stringing work</t>
  </si>
  <si>
    <t>MR2607/0101</t>
  </si>
  <si>
    <t>220KV_220 kv Tikamgrah Chhatarpur ckt-1</t>
  </si>
  <si>
    <t>220KV_TIKAMGARH</t>
  </si>
  <si>
    <t>For modification &amp; shifting work</t>
  </si>
  <si>
    <t>17-07-2026 18:00:00</t>
  </si>
  <si>
    <t>Pankaj Yadav</t>
  </si>
  <si>
    <t>not in WR list</t>
  </si>
  <si>
    <t>sub ld</t>
  </si>
  <si>
    <t>ok, line to be in service</t>
  </si>
  <si>
    <t>ok</t>
  </si>
  <si>
    <t>deferred due to s/d on 132kV Baihar Mandla Line</t>
  </si>
  <si>
    <t>ok, line to be in service through TBC</t>
  </si>
  <si>
    <t>ok, through sub ld</t>
  </si>
  <si>
    <t>real time</t>
  </si>
  <si>
    <t>deferred due to multiple s/d between satna-ajaygarh area</t>
  </si>
  <si>
    <t>ok, FTC to be completed before line charging</t>
  </si>
  <si>
    <t>ok, line already under outage</t>
  </si>
  <si>
    <t>o&amp;m consent required</t>
  </si>
  <si>
    <t>220KV-GWALIOR-MAHALGAON-1</t>
  </si>
  <si>
    <t>400KV-CHHEGAON-RAJGARH-1</t>
  </si>
  <si>
    <t>220KV-MALANPUR-AURIYA-1</t>
  </si>
  <si>
    <t>220KV-SATNA-MP-SATNA-2</t>
  </si>
  <si>
    <t>132KV-VSTPS-WAIDHAN-1</t>
  </si>
  <si>
    <t>400KV-INDORE-UJJAIN-1</t>
  </si>
  <si>
    <t>132KV-KIRNAPUR-DONGARGARH-1</t>
  </si>
  <si>
    <t>220KV-SATNA-MP-SATNA-3</t>
  </si>
  <si>
    <t>220KV-SATNA-MAIHAR-1</t>
  </si>
  <si>
    <t>09-Jul-2026</t>
  </si>
  <si>
    <t>09:00</t>
  </si>
  <si>
    <t>18:00</t>
  </si>
  <si>
    <t>08:00</t>
  </si>
  <si>
    <t>17:00</t>
  </si>
  <si>
    <t>10:00</t>
  </si>
  <si>
    <t>08-Jul-2026</t>
  </si>
  <si>
    <t>10-Jul-2026</t>
  </si>
  <si>
    <t>AMP works</t>
  </si>
  <si>
    <t>FOR LINE MAINTENANCE WORK i.e. CLEANING OF DISC INSULATORS DURING LINE PATROLLING , REPLACEMENT OF FLASHOVERED DISC INSULATORS, TREE BRANCH CUTTING ETC AT VARIOUS TOWER LOCATIONS</t>
  </si>
  <si>
    <t xml:space="preserve">FOR REPLACEMENT OF DEFECTIVE DICS INSULATOR STRING AT VARIOUS LOCATIONS </t>
  </si>
  <si>
    <t>FOR REPLACEMENT OF EXISTING CONDUCTOR WITH HTLS TYPE CONDUCTOR</t>
  </si>
  <si>
    <t>FOR LINE MAINTENANCE WORK I.E. CLEANING OF DISC INSULATORS DURING LINE PATROLLING, REPLACEMENT OF FLASHOVERED DISC INSULATORS, TREE BRANCH CUTTING ETC AT VARIOUS TOWER LOCATIONS</t>
  </si>
  <si>
    <t>FOR STRINGING AND JUMPERING  WORK FOR CHARGING OF NEWLY CONSTRUCTED 220 KV SATNA (PG)-SATNA (IC-4) AND 220 KV SATNA (PG) - MAIHAR-II LINE DUE TO MULTI CKT TOWER</t>
  </si>
  <si>
    <t>FOR STRINGING AND JUMPERING  WORK FOR CHARGING OF NEWLY CONSTRUCTED 220 KV SATNA (PG)-SATNA (IC-4) AND 220 KV SATNA (PG) - MAIHAR-II LINE, DUE TO MULTI CKT TOWER. ALSO MAIN BUS JUMPERING WORK AT MAIHAR END</t>
  </si>
  <si>
    <t>Continous</t>
  </si>
  <si>
    <t>POWERGRID_WR2</t>
  </si>
  <si>
    <t>MP_SLDC</t>
  </si>
  <si>
    <t xml:space="preserve">220 KV CHINDWARA PANDHURNA CIRCUIT </t>
  </si>
  <si>
    <t xml:space="preserve">OK , LINE TO BE IN SERVICE </t>
  </si>
  <si>
    <t>Line #3(OSP-Julwania) and BUS-A with Bus Coupler</t>
  </si>
  <si>
    <t>For annual maintenance of Bus-A Isolator and Circuit breaker of Line # 3 &amp; their testing</t>
  </si>
  <si>
    <t xml:space="preserve">OK , THROUGH SUB LD </t>
  </si>
  <si>
    <t>12-07-2026  18.00</t>
  </si>
  <si>
    <t>LOAD TRANASFER TO BUS COUPLER DPR REALY TESTING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</si>
</sst>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1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color rgb="FF1F1F1F"/>
      <name val="Arial"/>
      <family val="2"/>
    </font>
    <font>
      <b/>
      <sz val="14"/>
      <color indexed="8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1"/>
  <sheetViews>
    <sheetView tabSelected="1" topLeftCell="A25" workbookViewId="0">
      <selection activeCell="H31" sqref="H31"/>
    </sheetView>
  </sheetViews>
  <sheetFormatPr defaultRowHeight="46.5" customHeight="1" x14ac:dyDescent="0.25"/>
  <cols>
    <col min="1" max="1" width="9.140625" style="4"/>
    <col min="2" max="2" width="11.140625" style="4" customWidth="1"/>
    <col min="3" max="3" width="8.42578125" style="4" customWidth="1"/>
    <col min="4" max="4" width="11" style="4" customWidth="1"/>
    <col min="5" max="5" width="40.140625" style="26" customWidth="1"/>
    <col min="6" max="6" width="27.5703125" style="26" customWidth="1"/>
    <col min="7" max="7" width="10.5703125" style="4" customWidth="1"/>
    <col min="8" max="8" width="53.7109375" style="26" customWidth="1"/>
    <col min="9" max="9" width="11.140625" style="4" customWidth="1"/>
    <col min="10" max="10" width="12" style="4" customWidth="1"/>
    <col min="11" max="11" width="13.5703125" style="4" customWidth="1"/>
    <col min="12" max="12" width="6.42578125" style="4" customWidth="1"/>
    <col min="13" max="13" width="36.140625" style="26" customWidth="1"/>
    <col min="14" max="16384" width="9.140625" style="4"/>
  </cols>
  <sheetData>
    <row r="1" spans="1:13" ht="46.5" customHeight="1" x14ac:dyDescent="0.25">
      <c r="A1" s="1"/>
      <c r="B1" s="8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10"/>
    </row>
    <row r="2" spans="1:13" ht="46.5" customHeight="1" x14ac:dyDescent="0.25">
      <c r="A2" s="1" t="s">
        <v>1</v>
      </c>
      <c r="B2" s="11">
        <v>46212</v>
      </c>
      <c r="C2" s="1"/>
      <c r="D2" s="1"/>
      <c r="E2" s="5"/>
      <c r="F2" s="5"/>
      <c r="G2" s="1"/>
      <c r="H2" s="5"/>
      <c r="I2" s="1"/>
      <c r="J2" s="1"/>
      <c r="K2" s="1"/>
      <c r="L2" s="1"/>
      <c r="M2" s="5"/>
    </row>
    <row r="3" spans="1:13" ht="46.5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5"/>
      <c r="F3" s="5"/>
      <c r="G3" s="1"/>
      <c r="H3" s="5"/>
      <c r="I3" s="1"/>
      <c r="J3" s="1"/>
      <c r="K3" s="1"/>
      <c r="L3" s="1"/>
      <c r="M3" s="5"/>
    </row>
    <row r="4" spans="1:13" ht="46.5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2" t="s">
        <v>9</v>
      </c>
      <c r="F4" s="22" t="s">
        <v>10</v>
      </c>
      <c r="G4" s="2" t="s">
        <v>11</v>
      </c>
      <c r="H4" s="22" t="s">
        <v>12</v>
      </c>
      <c r="I4" s="2" t="s">
        <v>13</v>
      </c>
      <c r="J4" s="2" t="s">
        <v>14</v>
      </c>
      <c r="K4" s="12" t="s">
        <v>15</v>
      </c>
      <c r="L4" s="10"/>
      <c r="M4" s="22" t="s">
        <v>16</v>
      </c>
    </row>
    <row r="5" spans="1:13" ht="46.5" customHeight="1" x14ac:dyDescent="0.25">
      <c r="A5" s="3">
        <v>1</v>
      </c>
      <c r="B5" s="13">
        <v>46184.683831018519</v>
      </c>
      <c r="C5" s="3" t="s">
        <v>17</v>
      </c>
      <c r="D5" s="3" t="s">
        <v>18</v>
      </c>
      <c r="E5" s="22" t="s">
        <v>19</v>
      </c>
      <c r="F5" s="22" t="s">
        <v>20</v>
      </c>
      <c r="G5" s="3" t="s">
        <v>21</v>
      </c>
      <c r="H5" s="22" t="s">
        <v>22</v>
      </c>
      <c r="I5" s="14" t="s">
        <v>23</v>
      </c>
      <c r="J5" s="14" t="s">
        <v>24</v>
      </c>
      <c r="K5" s="15" t="s">
        <v>25</v>
      </c>
      <c r="L5" s="16" t="s">
        <v>26</v>
      </c>
      <c r="M5" s="22" t="s">
        <v>186</v>
      </c>
    </row>
    <row r="6" spans="1:13" ht="46.5" customHeight="1" x14ac:dyDescent="0.25">
      <c r="A6" s="3">
        <f>A5+1</f>
        <v>2</v>
      </c>
      <c r="B6" s="13">
        <v>46211.609351851854</v>
      </c>
      <c r="C6" s="3" t="s">
        <v>27</v>
      </c>
      <c r="D6" s="3"/>
      <c r="E6" s="22" t="s">
        <v>28</v>
      </c>
      <c r="F6" s="22" t="s">
        <v>29</v>
      </c>
      <c r="G6" s="3" t="s">
        <v>21</v>
      </c>
      <c r="H6" s="22" t="s">
        <v>30</v>
      </c>
      <c r="I6" s="14" t="s">
        <v>31</v>
      </c>
      <c r="J6" s="14" t="s">
        <v>32</v>
      </c>
      <c r="K6" s="15" t="s">
        <v>33</v>
      </c>
      <c r="L6" s="16" t="s">
        <v>34</v>
      </c>
      <c r="M6" s="22" t="s">
        <v>187</v>
      </c>
    </row>
    <row r="7" spans="1:13" ht="46.5" customHeight="1" x14ac:dyDescent="0.25">
      <c r="A7" s="3">
        <f t="shared" ref="A7:A41" si="0">A6+1</f>
        <v>3</v>
      </c>
      <c r="B7" s="13">
        <v>46195.607777777775</v>
      </c>
      <c r="C7" s="3" t="s">
        <v>35</v>
      </c>
      <c r="D7" s="3" t="s">
        <v>18</v>
      </c>
      <c r="E7" s="22" t="s">
        <v>36</v>
      </c>
      <c r="F7" s="22" t="s">
        <v>37</v>
      </c>
      <c r="G7" s="3" t="s">
        <v>21</v>
      </c>
      <c r="H7" s="22" t="s">
        <v>38</v>
      </c>
      <c r="I7" s="14" t="s">
        <v>39</v>
      </c>
      <c r="J7" s="14" t="s">
        <v>40</v>
      </c>
      <c r="K7" s="15" t="s">
        <v>41</v>
      </c>
      <c r="L7" s="16" t="s">
        <v>42</v>
      </c>
      <c r="M7" s="22" t="s">
        <v>188</v>
      </c>
    </row>
    <row r="8" spans="1:13" ht="46.5" customHeight="1" x14ac:dyDescent="0.25">
      <c r="A8" s="3">
        <f t="shared" si="0"/>
        <v>4</v>
      </c>
      <c r="B8" s="13">
        <v>46207.615613425929</v>
      </c>
      <c r="C8" s="3" t="s">
        <v>43</v>
      </c>
      <c r="D8" s="3" t="s">
        <v>18</v>
      </c>
      <c r="E8" s="22" t="s">
        <v>44</v>
      </c>
      <c r="F8" s="22" t="s">
        <v>45</v>
      </c>
      <c r="G8" s="3" t="s">
        <v>21</v>
      </c>
      <c r="H8" s="22" t="s">
        <v>46</v>
      </c>
      <c r="I8" s="14" t="s">
        <v>47</v>
      </c>
      <c r="J8" s="14" t="s">
        <v>48</v>
      </c>
      <c r="K8" s="15" t="s">
        <v>49</v>
      </c>
      <c r="L8" s="16" t="s">
        <v>50</v>
      </c>
      <c r="M8" s="22" t="s">
        <v>189</v>
      </c>
    </row>
    <row r="9" spans="1:13" ht="46.5" customHeight="1" x14ac:dyDescent="0.25">
      <c r="A9" s="3">
        <f t="shared" si="0"/>
        <v>5</v>
      </c>
      <c r="B9" s="13">
        <v>46207.576469907406</v>
      </c>
      <c r="C9" s="3" t="s">
        <v>51</v>
      </c>
      <c r="D9" s="3" t="s">
        <v>52</v>
      </c>
      <c r="E9" s="22" t="s">
        <v>53</v>
      </c>
      <c r="F9" s="22" t="s">
        <v>54</v>
      </c>
      <c r="G9" s="3" t="s">
        <v>21</v>
      </c>
      <c r="H9" s="22" t="s">
        <v>55</v>
      </c>
      <c r="I9" s="14" t="s">
        <v>56</v>
      </c>
      <c r="J9" s="14" t="s">
        <v>57</v>
      </c>
      <c r="K9" s="15" t="s">
        <v>58</v>
      </c>
      <c r="L9" s="16" t="s">
        <v>59</v>
      </c>
      <c r="M9" s="22" t="s">
        <v>52</v>
      </c>
    </row>
    <row r="10" spans="1:13" ht="46.5" customHeight="1" x14ac:dyDescent="0.25">
      <c r="A10" s="3">
        <f t="shared" si="0"/>
        <v>6</v>
      </c>
      <c r="B10" s="13">
        <v>46205.453009259261</v>
      </c>
      <c r="C10" s="3" t="s">
        <v>60</v>
      </c>
      <c r="D10" s="3" t="s">
        <v>52</v>
      </c>
      <c r="E10" s="22" t="s">
        <v>61</v>
      </c>
      <c r="F10" s="22" t="s">
        <v>54</v>
      </c>
      <c r="G10" s="3" t="s">
        <v>21</v>
      </c>
      <c r="H10" s="22" t="s">
        <v>62</v>
      </c>
      <c r="I10" s="14" t="s">
        <v>63</v>
      </c>
      <c r="J10" s="14" t="s">
        <v>64</v>
      </c>
      <c r="K10" s="15" t="s">
        <v>65</v>
      </c>
      <c r="L10" s="16" t="s">
        <v>59</v>
      </c>
      <c r="M10" s="22" t="s">
        <v>52</v>
      </c>
    </row>
    <row r="11" spans="1:13" ht="46.5" customHeight="1" x14ac:dyDescent="0.25">
      <c r="A11" s="3">
        <f t="shared" si="0"/>
        <v>7</v>
      </c>
      <c r="B11" s="13">
        <v>46205.494942129626</v>
      </c>
      <c r="C11" s="3" t="s">
        <v>66</v>
      </c>
      <c r="D11" s="3" t="s">
        <v>52</v>
      </c>
      <c r="E11" s="22" t="s">
        <v>67</v>
      </c>
      <c r="F11" s="22" t="s">
        <v>54</v>
      </c>
      <c r="G11" s="3" t="s">
        <v>21</v>
      </c>
      <c r="H11" s="22" t="s">
        <v>68</v>
      </c>
      <c r="I11" s="14" t="s">
        <v>69</v>
      </c>
      <c r="J11" s="14" t="s">
        <v>70</v>
      </c>
      <c r="K11" s="15" t="s">
        <v>65</v>
      </c>
      <c r="L11" s="16" t="s">
        <v>59</v>
      </c>
      <c r="M11" s="22" t="s">
        <v>52</v>
      </c>
    </row>
    <row r="12" spans="1:13" ht="46.5" customHeight="1" x14ac:dyDescent="0.25">
      <c r="A12" s="3">
        <f t="shared" si="0"/>
        <v>8</v>
      </c>
      <c r="B12" s="13">
        <v>46211.639791666668</v>
      </c>
      <c r="C12" s="3" t="s">
        <v>71</v>
      </c>
      <c r="D12" s="3"/>
      <c r="E12" s="22" t="s">
        <v>72</v>
      </c>
      <c r="F12" s="22" t="s">
        <v>73</v>
      </c>
      <c r="G12" s="3" t="s">
        <v>21</v>
      </c>
      <c r="H12" s="22" t="s">
        <v>74</v>
      </c>
      <c r="I12" s="14" t="s">
        <v>75</v>
      </c>
      <c r="J12" s="14" t="s">
        <v>76</v>
      </c>
      <c r="K12" s="15" t="s">
        <v>77</v>
      </c>
      <c r="L12" s="16" t="s">
        <v>78</v>
      </c>
      <c r="M12" s="22" t="s">
        <v>197</v>
      </c>
    </row>
    <row r="13" spans="1:13" ht="46.5" customHeight="1" x14ac:dyDescent="0.25">
      <c r="A13" s="3">
        <f t="shared" si="0"/>
        <v>9</v>
      </c>
      <c r="B13" s="13">
        <v>46201.595092592594</v>
      </c>
      <c r="C13" s="3" t="s">
        <v>79</v>
      </c>
      <c r="D13" s="3" t="s">
        <v>52</v>
      </c>
      <c r="E13" s="22" t="s">
        <v>80</v>
      </c>
      <c r="F13" s="22" t="s">
        <v>73</v>
      </c>
      <c r="G13" s="3" t="s">
        <v>21</v>
      </c>
      <c r="H13" s="22" t="s">
        <v>81</v>
      </c>
      <c r="I13" s="14" t="s">
        <v>82</v>
      </c>
      <c r="J13" s="14" t="s">
        <v>83</v>
      </c>
      <c r="K13" s="15" t="s">
        <v>84</v>
      </c>
      <c r="L13" s="16" t="s">
        <v>85</v>
      </c>
      <c r="M13" s="22" t="s">
        <v>52</v>
      </c>
    </row>
    <row r="14" spans="1:13" ht="46.5" customHeight="1" x14ac:dyDescent="0.25">
      <c r="A14" s="3">
        <f t="shared" si="0"/>
        <v>10</v>
      </c>
      <c r="B14" s="13">
        <v>46211.555706018517</v>
      </c>
      <c r="C14" s="3" t="s">
        <v>86</v>
      </c>
      <c r="D14" s="3"/>
      <c r="E14" s="22" t="s">
        <v>87</v>
      </c>
      <c r="F14" s="22" t="s">
        <v>88</v>
      </c>
      <c r="G14" s="3" t="s">
        <v>21</v>
      </c>
      <c r="H14" s="22" t="s">
        <v>89</v>
      </c>
      <c r="I14" s="14" t="s">
        <v>90</v>
      </c>
      <c r="J14" s="14" t="s">
        <v>32</v>
      </c>
      <c r="K14" s="15" t="s">
        <v>25</v>
      </c>
      <c r="L14" s="16" t="s">
        <v>26</v>
      </c>
      <c r="M14" s="22" t="s">
        <v>190</v>
      </c>
    </row>
    <row r="15" spans="1:13" ht="46.5" customHeight="1" x14ac:dyDescent="0.25">
      <c r="A15" s="3">
        <f t="shared" si="0"/>
        <v>11</v>
      </c>
      <c r="B15" s="13">
        <v>46211.678298611114</v>
      </c>
      <c r="C15" s="3" t="s">
        <v>91</v>
      </c>
      <c r="D15" s="3" t="s">
        <v>52</v>
      </c>
      <c r="E15" s="22" t="s">
        <v>92</v>
      </c>
      <c r="F15" s="22" t="s">
        <v>93</v>
      </c>
      <c r="G15" s="3" t="s">
        <v>21</v>
      </c>
      <c r="H15" s="22" t="s">
        <v>94</v>
      </c>
      <c r="I15" s="14" t="s">
        <v>95</v>
      </c>
      <c r="J15" s="14" t="s">
        <v>96</v>
      </c>
      <c r="K15" s="15" t="s">
        <v>97</v>
      </c>
      <c r="L15" s="16" t="s">
        <v>98</v>
      </c>
      <c r="M15" s="22" t="s">
        <v>187</v>
      </c>
    </row>
    <row r="16" spans="1:13" ht="46.5" customHeight="1" x14ac:dyDescent="0.25">
      <c r="A16" s="3">
        <f t="shared" si="0"/>
        <v>12</v>
      </c>
      <c r="B16" s="13">
        <v>46211.552986111114</v>
      </c>
      <c r="C16" s="3" t="s">
        <v>99</v>
      </c>
      <c r="D16" s="3"/>
      <c r="E16" s="22" t="s">
        <v>100</v>
      </c>
      <c r="F16" s="22" t="s">
        <v>101</v>
      </c>
      <c r="G16" s="3" t="s">
        <v>21</v>
      </c>
      <c r="H16" s="22" t="s">
        <v>102</v>
      </c>
      <c r="I16" s="14" t="s">
        <v>103</v>
      </c>
      <c r="J16" s="14" t="s">
        <v>57</v>
      </c>
      <c r="K16" s="15" t="s">
        <v>104</v>
      </c>
      <c r="L16" s="16" t="s">
        <v>105</v>
      </c>
      <c r="M16" s="22" t="s">
        <v>191</v>
      </c>
    </row>
    <row r="17" spans="1:13" ht="46.5" customHeight="1" x14ac:dyDescent="0.25">
      <c r="A17" s="3">
        <f t="shared" si="0"/>
        <v>13</v>
      </c>
      <c r="B17" s="13">
        <v>46211.523518518516</v>
      </c>
      <c r="C17" s="3" t="s">
        <v>106</v>
      </c>
      <c r="D17" s="3"/>
      <c r="E17" s="22" t="s">
        <v>107</v>
      </c>
      <c r="F17" s="22" t="s">
        <v>101</v>
      </c>
      <c r="G17" s="3" t="s">
        <v>21</v>
      </c>
      <c r="H17" s="22" t="s">
        <v>108</v>
      </c>
      <c r="I17" s="14" t="s">
        <v>90</v>
      </c>
      <c r="J17" s="14" t="s">
        <v>109</v>
      </c>
      <c r="K17" s="15" t="s">
        <v>104</v>
      </c>
      <c r="L17" s="16" t="s">
        <v>105</v>
      </c>
      <c r="M17" s="22" t="s">
        <v>192</v>
      </c>
    </row>
    <row r="18" spans="1:13" ht="46.5" customHeight="1" x14ac:dyDescent="0.25">
      <c r="A18" s="3">
        <f t="shared" si="0"/>
        <v>14</v>
      </c>
      <c r="B18" s="13">
        <v>46211.566087962965</v>
      </c>
      <c r="C18" s="3" t="s">
        <v>110</v>
      </c>
      <c r="D18" s="3"/>
      <c r="E18" s="22" t="s">
        <v>111</v>
      </c>
      <c r="F18" s="22" t="s">
        <v>112</v>
      </c>
      <c r="G18" s="3" t="s">
        <v>21</v>
      </c>
      <c r="H18" s="22" t="s">
        <v>113</v>
      </c>
      <c r="I18" s="14" t="s">
        <v>90</v>
      </c>
      <c r="J18" s="14" t="s">
        <v>57</v>
      </c>
      <c r="K18" s="15" t="s">
        <v>114</v>
      </c>
      <c r="L18" s="16" t="s">
        <v>115</v>
      </c>
      <c r="M18" s="22" t="s">
        <v>192</v>
      </c>
    </row>
    <row r="19" spans="1:13" ht="46.5" customHeight="1" x14ac:dyDescent="0.25">
      <c r="A19" s="3">
        <f t="shared" si="0"/>
        <v>15</v>
      </c>
      <c r="B19" s="13">
        <v>46210.459340277775</v>
      </c>
      <c r="C19" s="3" t="s">
        <v>116</v>
      </c>
      <c r="D19" s="3"/>
      <c r="E19" s="22" t="s">
        <v>117</v>
      </c>
      <c r="F19" s="22" t="s">
        <v>118</v>
      </c>
      <c r="G19" s="3" t="s">
        <v>119</v>
      </c>
      <c r="H19" s="22" t="s">
        <v>120</v>
      </c>
      <c r="I19" s="14" t="s">
        <v>121</v>
      </c>
      <c r="J19" s="14" t="s">
        <v>32</v>
      </c>
      <c r="K19" s="15" t="s">
        <v>49</v>
      </c>
      <c r="L19" s="16" t="s">
        <v>50</v>
      </c>
      <c r="M19" s="22" t="s">
        <v>189</v>
      </c>
    </row>
    <row r="20" spans="1:13" ht="46.5" customHeight="1" x14ac:dyDescent="0.25">
      <c r="A20" s="3">
        <f t="shared" si="0"/>
        <v>16</v>
      </c>
      <c r="B20" s="13">
        <v>46211.592581018522</v>
      </c>
      <c r="C20" s="3" t="s">
        <v>122</v>
      </c>
      <c r="D20" s="3"/>
      <c r="E20" s="22" t="s">
        <v>123</v>
      </c>
      <c r="F20" s="22" t="s">
        <v>124</v>
      </c>
      <c r="G20" s="3" t="s">
        <v>21</v>
      </c>
      <c r="H20" s="22" t="s">
        <v>125</v>
      </c>
      <c r="I20" s="14" t="s">
        <v>103</v>
      </c>
      <c r="J20" s="14" t="s">
        <v>126</v>
      </c>
      <c r="K20" s="15" t="s">
        <v>127</v>
      </c>
      <c r="L20" s="16" t="s">
        <v>128</v>
      </c>
      <c r="M20" s="22" t="s">
        <v>192</v>
      </c>
    </row>
    <row r="21" spans="1:13" ht="46.5" customHeight="1" x14ac:dyDescent="0.25">
      <c r="A21" s="3">
        <f t="shared" si="0"/>
        <v>17</v>
      </c>
      <c r="B21" s="13">
        <v>46211.590520833335</v>
      </c>
      <c r="C21" s="3" t="s">
        <v>129</v>
      </c>
      <c r="D21" s="3"/>
      <c r="E21" s="22" t="s">
        <v>130</v>
      </c>
      <c r="F21" s="22" t="s">
        <v>124</v>
      </c>
      <c r="G21" s="3" t="s">
        <v>21</v>
      </c>
      <c r="H21" s="22" t="s">
        <v>131</v>
      </c>
      <c r="I21" s="14" t="s">
        <v>95</v>
      </c>
      <c r="J21" s="14" t="s">
        <v>103</v>
      </c>
      <c r="K21" s="15" t="s">
        <v>127</v>
      </c>
      <c r="L21" s="16" t="s">
        <v>128</v>
      </c>
      <c r="M21" s="22" t="s">
        <v>192</v>
      </c>
    </row>
    <row r="22" spans="1:13" ht="46.5" customHeight="1" x14ac:dyDescent="0.25">
      <c r="A22" s="3">
        <f t="shared" si="0"/>
        <v>18</v>
      </c>
      <c r="B22" s="13">
        <v>46211.673935185187</v>
      </c>
      <c r="C22" s="3" t="s">
        <v>132</v>
      </c>
      <c r="D22" s="3"/>
      <c r="E22" s="22" t="s">
        <v>133</v>
      </c>
      <c r="F22" s="22" t="s">
        <v>134</v>
      </c>
      <c r="G22" s="3" t="s">
        <v>21</v>
      </c>
      <c r="H22" s="22" t="s">
        <v>135</v>
      </c>
      <c r="I22" s="14" t="s">
        <v>103</v>
      </c>
      <c r="J22" s="14" t="s">
        <v>31</v>
      </c>
      <c r="K22" s="15" t="s">
        <v>136</v>
      </c>
      <c r="L22" s="16" t="s">
        <v>137</v>
      </c>
      <c r="M22" s="22" t="s">
        <v>187</v>
      </c>
    </row>
    <row r="23" spans="1:13" ht="46.5" customHeight="1" x14ac:dyDescent="0.25">
      <c r="A23" s="3">
        <f t="shared" si="0"/>
        <v>19</v>
      </c>
      <c r="B23" s="13">
        <v>46209.478831018518</v>
      </c>
      <c r="C23" s="3" t="s">
        <v>138</v>
      </c>
      <c r="D23" s="3" t="s">
        <v>18</v>
      </c>
      <c r="E23" s="22" t="s">
        <v>139</v>
      </c>
      <c r="F23" s="22" t="s">
        <v>140</v>
      </c>
      <c r="G23" s="3" t="s">
        <v>21</v>
      </c>
      <c r="H23" s="22" t="s">
        <v>141</v>
      </c>
      <c r="I23" s="14" t="s">
        <v>142</v>
      </c>
      <c r="J23" s="14" t="s">
        <v>143</v>
      </c>
      <c r="K23" s="15" t="s">
        <v>144</v>
      </c>
      <c r="L23" s="16" t="s">
        <v>145</v>
      </c>
      <c r="M23" s="22" t="s">
        <v>193</v>
      </c>
    </row>
    <row r="24" spans="1:13" ht="46.5" customHeight="1" x14ac:dyDescent="0.25">
      <c r="A24" s="3">
        <f t="shared" si="0"/>
        <v>20</v>
      </c>
      <c r="B24" s="13">
        <v>46211.610243055555</v>
      </c>
      <c r="C24" s="3" t="s">
        <v>146</v>
      </c>
      <c r="D24" s="3"/>
      <c r="E24" s="22" t="s">
        <v>147</v>
      </c>
      <c r="F24" s="22" t="s">
        <v>148</v>
      </c>
      <c r="G24" s="3" t="s">
        <v>119</v>
      </c>
      <c r="H24" s="22" t="s">
        <v>149</v>
      </c>
      <c r="I24" s="14" t="s">
        <v>150</v>
      </c>
      <c r="J24" s="14" t="s">
        <v>31</v>
      </c>
      <c r="K24" s="15" t="s">
        <v>151</v>
      </c>
      <c r="L24" s="16" t="s">
        <v>152</v>
      </c>
      <c r="M24" s="22" t="s">
        <v>193</v>
      </c>
    </row>
    <row r="25" spans="1:13" ht="46.5" customHeight="1" x14ac:dyDescent="0.25">
      <c r="A25" s="3">
        <f t="shared" si="0"/>
        <v>21</v>
      </c>
      <c r="B25" s="13">
        <v>46211.661909722221</v>
      </c>
      <c r="C25" s="3" t="s">
        <v>153</v>
      </c>
      <c r="D25" s="3"/>
      <c r="E25" s="22" t="s">
        <v>154</v>
      </c>
      <c r="F25" s="22" t="s">
        <v>148</v>
      </c>
      <c r="G25" s="3" t="s">
        <v>21</v>
      </c>
      <c r="H25" s="22" t="s">
        <v>155</v>
      </c>
      <c r="I25" s="14" t="s">
        <v>95</v>
      </c>
      <c r="J25" s="14" t="s">
        <v>57</v>
      </c>
      <c r="K25" s="15" t="s">
        <v>156</v>
      </c>
      <c r="L25" s="16" t="s">
        <v>157</v>
      </c>
      <c r="M25" s="22" t="s">
        <v>189</v>
      </c>
    </row>
    <row r="26" spans="1:13" ht="46.5" customHeight="1" x14ac:dyDescent="0.25">
      <c r="A26" s="3">
        <f t="shared" si="0"/>
        <v>22</v>
      </c>
      <c r="B26" s="13">
        <v>46211.615601851852</v>
      </c>
      <c r="C26" s="3" t="s">
        <v>158</v>
      </c>
      <c r="D26" s="3"/>
      <c r="E26" s="22" t="s">
        <v>159</v>
      </c>
      <c r="F26" s="22" t="s">
        <v>148</v>
      </c>
      <c r="G26" s="3" t="s">
        <v>21</v>
      </c>
      <c r="H26" s="22" t="s">
        <v>160</v>
      </c>
      <c r="I26" s="14" t="s">
        <v>95</v>
      </c>
      <c r="J26" s="14" t="s">
        <v>32</v>
      </c>
      <c r="K26" s="15" t="s">
        <v>161</v>
      </c>
      <c r="L26" s="16" t="s">
        <v>162</v>
      </c>
      <c r="M26" s="22" t="s">
        <v>194</v>
      </c>
    </row>
    <row r="27" spans="1:13" ht="46.5" customHeight="1" x14ac:dyDescent="0.25">
      <c r="A27" s="3">
        <f t="shared" si="0"/>
        <v>23</v>
      </c>
      <c r="B27" s="13">
        <v>46210.751759259256</v>
      </c>
      <c r="C27" s="3" t="s">
        <v>163</v>
      </c>
      <c r="D27" s="3" t="s">
        <v>52</v>
      </c>
      <c r="E27" s="23" t="s">
        <v>164</v>
      </c>
      <c r="F27" s="22" t="s">
        <v>165</v>
      </c>
      <c r="G27" s="3" t="s">
        <v>21</v>
      </c>
      <c r="H27" s="22" t="s">
        <v>166</v>
      </c>
      <c r="I27" s="14" t="s">
        <v>121</v>
      </c>
      <c r="J27" s="14" t="s">
        <v>167</v>
      </c>
      <c r="K27" s="15" t="s">
        <v>168</v>
      </c>
      <c r="L27" s="16" t="s">
        <v>169</v>
      </c>
      <c r="M27" s="22" t="s">
        <v>195</v>
      </c>
    </row>
    <row r="28" spans="1:13" ht="46.5" customHeight="1" x14ac:dyDescent="0.25">
      <c r="A28" s="3">
        <f t="shared" si="0"/>
        <v>24</v>
      </c>
      <c r="B28" s="13">
        <v>46211.647002314814</v>
      </c>
      <c r="C28" s="3" t="s">
        <v>170</v>
      </c>
      <c r="D28" s="3"/>
      <c r="E28" s="22" t="s">
        <v>171</v>
      </c>
      <c r="F28" s="22" t="s">
        <v>172</v>
      </c>
      <c r="G28" s="3" t="s">
        <v>119</v>
      </c>
      <c r="H28" s="22" t="s">
        <v>173</v>
      </c>
      <c r="I28" s="14" t="s">
        <v>90</v>
      </c>
      <c r="J28" s="14" t="s">
        <v>57</v>
      </c>
      <c r="K28" s="15" t="s">
        <v>174</v>
      </c>
      <c r="L28" s="16" t="s">
        <v>175</v>
      </c>
      <c r="M28" s="22" t="s">
        <v>192</v>
      </c>
    </row>
    <row r="29" spans="1:13" ht="46.5" customHeight="1" x14ac:dyDescent="0.25">
      <c r="A29" s="3">
        <f t="shared" si="0"/>
        <v>25</v>
      </c>
      <c r="B29" s="13">
        <v>46210.755798611113</v>
      </c>
      <c r="C29" s="3" t="s">
        <v>176</v>
      </c>
      <c r="D29" s="3" t="s">
        <v>52</v>
      </c>
      <c r="E29" s="23" t="s">
        <v>177</v>
      </c>
      <c r="F29" s="22" t="s">
        <v>178</v>
      </c>
      <c r="G29" s="3" t="s">
        <v>21</v>
      </c>
      <c r="H29" s="22" t="s">
        <v>179</v>
      </c>
      <c r="I29" s="14" t="s">
        <v>121</v>
      </c>
      <c r="J29" s="14" t="s">
        <v>167</v>
      </c>
      <c r="K29" s="15" t="s">
        <v>168</v>
      </c>
      <c r="L29" s="16" t="s">
        <v>169</v>
      </c>
      <c r="M29" s="22" t="s">
        <v>195</v>
      </c>
    </row>
    <row r="30" spans="1:13" ht="46.5" customHeight="1" x14ac:dyDescent="0.25">
      <c r="A30" s="7">
        <f t="shared" si="0"/>
        <v>26</v>
      </c>
      <c r="B30" s="17">
        <v>46211.51048611111</v>
      </c>
      <c r="C30" s="7" t="s">
        <v>180</v>
      </c>
      <c r="D30" s="7" t="s">
        <v>52</v>
      </c>
      <c r="E30" s="24" t="s">
        <v>181</v>
      </c>
      <c r="F30" s="24" t="s">
        <v>182</v>
      </c>
      <c r="G30" s="7" t="s">
        <v>21</v>
      </c>
      <c r="H30" s="24" t="s">
        <v>183</v>
      </c>
      <c r="I30" s="18" t="s">
        <v>32</v>
      </c>
      <c r="J30" s="18" t="s">
        <v>184</v>
      </c>
      <c r="K30" s="19" t="s">
        <v>185</v>
      </c>
      <c r="L30" s="20" t="s">
        <v>85</v>
      </c>
      <c r="M30" s="24" t="s">
        <v>196</v>
      </c>
    </row>
    <row r="31" spans="1:13" ht="46.5" customHeight="1" x14ac:dyDescent="0.25">
      <c r="A31" s="32"/>
      <c r="B31" s="33"/>
      <c r="C31" s="32"/>
      <c r="D31" s="32"/>
      <c r="E31" s="34" t="s">
        <v>225</v>
      </c>
      <c r="F31" s="34"/>
      <c r="G31" s="32"/>
      <c r="H31" s="34" t="s">
        <v>231</v>
      </c>
      <c r="I31" s="14" t="s">
        <v>90</v>
      </c>
      <c r="J31" s="14" t="s">
        <v>32</v>
      </c>
      <c r="K31" s="32"/>
      <c r="L31" s="32"/>
      <c r="M31" s="34" t="s">
        <v>226</v>
      </c>
    </row>
    <row r="32" spans="1:13" ht="46.5" customHeight="1" x14ac:dyDescent="0.25">
      <c r="A32" s="32"/>
      <c r="B32" s="33"/>
      <c r="C32" s="32"/>
      <c r="D32" s="32"/>
      <c r="E32" s="35" t="s">
        <v>227</v>
      </c>
      <c r="F32" s="34"/>
      <c r="G32" s="32"/>
      <c r="H32" s="37" t="s">
        <v>228</v>
      </c>
      <c r="I32" s="14" t="s">
        <v>90</v>
      </c>
      <c r="J32" s="18" t="s">
        <v>230</v>
      </c>
      <c r="K32" s="32"/>
      <c r="L32" s="32"/>
      <c r="M32" s="37" t="s">
        <v>229</v>
      </c>
    </row>
    <row r="33" spans="1:13" ht="70.5" customHeight="1" x14ac:dyDescent="0.25">
      <c r="A33" s="28">
        <f>A30+1</f>
        <v>27</v>
      </c>
      <c r="B33" s="29"/>
      <c r="C33" s="30">
        <v>313434</v>
      </c>
      <c r="D33" s="30" t="s">
        <v>18</v>
      </c>
      <c r="E33" s="31" t="s">
        <v>198</v>
      </c>
      <c r="F33" s="31">
        <v>220</v>
      </c>
      <c r="G33" s="30" t="s">
        <v>223</v>
      </c>
      <c r="H33" s="31" t="s">
        <v>215</v>
      </c>
      <c r="I33" s="30" t="s">
        <v>207</v>
      </c>
      <c r="J33" s="30" t="s">
        <v>208</v>
      </c>
      <c r="K33" s="30" t="s">
        <v>207</v>
      </c>
      <c r="L33" s="30" t="s">
        <v>209</v>
      </c>
      <c r="M33" s="36" t="s">
        <v>192</v>
      </c>
    </row>
    <row r="34" spans="1:13" ht="70.5" customHeight="1" x14ac:dyDescent="0.25">
      <c r="A34" s="7">
        <f t="shared" si="0"/>
        <v>28</v>
      </c>
      <c r="B34" s="21"/>
      <c r="C34" s="6">
        <v>313868</v>
      </c>
      <c r="D34" s="6" t="s">
        <v>18</v>
      </c>
      <c r="E34" s="25" t="s">
        <v>199</v>
      </c>
      <c r="F34" s="25">
        <v>400</v>
      </c>
      <c r="G34" s="6" t="s">
        <v>224</v>
      </c>
      <c r="H34" s="38" t="s">
        <v>216</v>
      </c>
      <c r="I34" s="6" t="s">
        <v>207</v>
      </c>
      <c r="J34" s="6" t="s">
        <v>210</v>
      </c>
      <c r="K34" s="6" t="s">
        <v>207</v>
      </c>
      <c r="L34" s="6" t="s">
        <v>209</v>
      </c>
      <c r="M34" s="27" t="s">
        <v>193</v>
      </c>
    </row>
    <row r="35" spans="1:13" ht="70.5" customHeight="1" x14ac:dyDescent="0.25">
      <c r="A35" s="3">
        <f t="shared" si="0"/>
        <v>29</v>
      </c>
      <c r="B35" s="21"/>
      <c r="C35" s="6">
        <v>313916</v>
      </c>
      <c r="D35" s="6" t="s">
        <v>18</v>
      </c>
      <c r="E35" s="25" t="s">
        <v>200</v>
      </c>
      <c r="F35" s="25">
        <v>220</v>
      </c>
      <c r="G35" s="6" t="s">
        <v>224</v>
      </c>
      <c r="H35" s="38" t="s">
        <v>217</v>
      </c>
      <c r="I35" s="6" t="s">
        <v>207</v>
      </c>
      <c r="J35" s="6" t="s">
        <v>208</v>
      </c>
      <c r="K35" s="6" t="s">
        <v>207</v>
      </c>
      <c r="L35" s="6" t="s">
        <v>211</v>
      </c>
      <c r="M35" s="27" t="s">
        <v>192</v>
      </c>
    </row>
    <row r="36" spans="1:13" ht="70.5" customHeight="1" x14ac:dyDescent="0.25">
      <c r="A36" s="7">
        <f t="shared" si="0"/>
        <v>30</v>
      </c>
      <c r="B36" s="21"/>
      <c r="C36" s="6">
        <v>313917</v>
      </c>
      <c r="D36" s="6" t="s">
        <v>18</v>
      </c>
      <c r="E36" s="25" t="s">
        <v>201</v>
      </c>
      <c r="F36" s="25">
        <v>220</v>
      </c>
      <c r="G36" s="6" t="s">
        <v>224</v>
      </c>
      <c r="H36" s="38" t="s">
        <v>216</v>
      </c>
      <c r="I36" s="6" t="s">
        <v>207</v>
      </c>
      <c r="J36" s="6" t="s">
        <v>212</v>
      </c>
      <c r="K36" s="6" t="s">
        <v>207</v>
      </c>
      <c r="L36" s="6" t="s">
        <v>211</v>
      </c>
      <c r="M36" s="27" t="s">
        <v>193</v>
      </c>
    </row>
    <row r="37" spans="1:13" ht="70.5" customHeight="1" x14ac:dyDescent="0.25">
      <c r="A37" s="3">
        <f t="shared" si="0"/>
        <v>31</v>
      </c>
      <c r="B37" s="21"/>
      <c r="C37" s="6">
        <v>314005</v>
      </c>
      <c r="D37" s="6" t="s">
        <v>18</v>
      </c>
      <c r="E37" s="25" t="s">
        <v>202</v>
      </c>
      <c r="F37" s="25">
        <v>132</v>
      </c>
      <c r="G37" s="6" t="s">
        <v>224</v>
      </c>
      <c r="H37" s="38" t="s">
        <v>218</v>
      </c>
      <c r="I37" s="6" t="s">
        <v>207</v>
      </c>
      <c r="J37" s="6" t="s">
        <v>210</v>
      </c>
      <c r="K37" s="6" t="s">
        <v>207</v>
      </c>
      <c r="L37" s="6" t="s">
        <v>211</v>
      </c>
      <c r="M37" s="27" t="s">
        <v>193</v>
      </c>
    </row>
    <row r="38" spans="1:13" ht="70.5" customHeight="1" x14ac:dyDescent="0.25">
      <c r="A38" s="7">
        <f t="shared" si="0"/>
        <v>32</v>
      </c>
      <c r="B38" s="21"/>
      <c r="C38" s="6">
        <v>313869</v>
      </c>
      <c r="D38" s="6" t="s">
        <v>18</v>
      </c>
      <c r="E38" s="25" t="s">
        <v>203</v>
      </c>
      <c r="F38" s="25">
        <v>400</v>
      </c>
      <c r="G38" s="6" t="s">
        <v>224</v>
      </c>
      <c r="H38" s="38" t="s">
        <v>219</v>
      </c>
      <c r="I38" s="6" t="s">
        <v>207</v>
      </c>
      <c r="J38" s="6" t="s">
        <v>210</v>
      </c>
      <c r="K38" s="6" t="s">
        <v>207</v>
      </c>
      <c r="L38" s="6" t="s">
        <v>209</v>
      </c>
      <c r="M38" s="27" t="s">
        <v>193</v>
      </c>
    </row>
    <row r="39" spans="1:13" ht="70.5" customHeight="1" x14ac:dyDescent="0.25">
      <c r="A39" s="3">
        <f t="shared" si="0"/>
        <v>33</v>
      </c>
      <c r="B39" s="21"/>
      <c r="C39" s="6">
        <v>314004</v>
      </c>
      <c r="D39" s="6" t="s">
        <v>18</v>
      </c>
      <c r="E39" s="25" t="s">
        <v>204</v>
      </c>
      <c r="F39" s="25">
        <v>132</v>
      </c>
      <c r="G39" s="6" t="s">
        <v>224</v>
      </c>
      <c r="H39" s="38" t="s">
        <v>216</v>
      </c>
      <c r="I39" s="6" t="s">
        <v>207</v>
      </c>
      <c r="J39" s="6" t="s">
        <v>208</v>
      </c>
      <c r="K39" s="6" t="s">
        <v>207</v>
      </c>
      <c r="L39" s="6" t="s">
        <v>209</v>
      </c>
      <c r="M39" s="27" t="s">
        <v>189</v>
      </c>
    </row>
    <row r="40" spans="1:13" ht="70.5" customHeight="1" x14ac:dyDescent="0.25">
      <c r="A40" s="7">
        <f t="shared" si="0"/>
        <v>34</v>
      </c>
      <c r="B40" s="21"/>
      <c r="C40" s="6">
        <v>313914</v>
      </c>
      <c r="D40" s="6" t="s">
        <v>222</v>
      </c>
      <c r="E40" s="25" t="s">
        <v>205</v>
      </c>
      <c r="F40" s="25">
        <v>220</v>
      </c>
      <c r="G40" s="6" t="s">
        <v>224</v>
      </c>
      <c r="H40" s="38" t="s">
        <v>220</v>
      </c>
      <c r="I40" s="6" t="s">
        <v>213</v>
      </c>
      <c r="J40" s="6" t="s">
        <v>210</v>
      </c>
      <c r="K40" s="6" t="s">
        <v>214</v>
      </c>
      <c r="L40" s="6" t="s">
        <v>209</v>
      </c>
      <c r="M40" s="27" t="s">
        <v>193</v>
      </c>
    </row>
    <row r="41" spans="1:13" ht="70.5" customHeight="1" x14ac:dyDescent="0.25">
      <c r="A41" s="3">
        <f t="shared" si="0"/>
        <v>35</v>
      </c>
      <c r="B41" s="21"/>
      <c r="C41" s="6">
        <v>313915</v>
      </c>
      <c r="D41" s="6" t="s">
        <v>222</v>
      </c>
      <c r="E41" s="25" t="s">
        <v>206</v>
      </c>
      <c r="F41" s="25">
        <v>220</v>
      </c>
      <c r="G41" s="6" t="s">
        <v>224</v>
      </c>
      <c r="H41" s="38" t="s">
        <v>221</v>
      </c>
      <c r="I41" s="6" t="s">
        <v>213</v>
      </c>
      <c r="J41" s="6" t="s">
        <v>210</v>
      </c>
      <c r="K41" s="6" t="s">
        <v>214</v>
      </c>
      <c r="L41" s="6" t="s">
        <v>209</v>
      </c>
      <c r="M41" s="27" t="s">
        <v>193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2026-07-08T11:41:28Z</dcterms:created>
  <dcterms:modified xsi:type="dcterms:W3CDTF">2026-07-08T13:39:36Z</dcterms:modified>
</cp:coreProperties>
</file>
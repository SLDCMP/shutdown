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32760" yWindow="32760" windowWidth="21600" windowHeight="9525"/>
  </bookViews>
  <sheets>
    <sheet name="Sheet0" sheetId="1" r:id="rId1"/>
  </sheets>
  <definedNames>
    <definedName name="__bookmark_1">Sheet0!$A$1:$M$30</definedName>
    <definedName name="_xlnm.Print_Area" localSheetId="0">Sheet0!$A$1:$M$30</definedName>
    <definedName name="_xlnm.Print_Titles" localSheetId="0">Sheet0!$4:$4</definedName>
  </definedNames>
  <calcPr calcId="162913" fullCalcOnLoad="1"/>
</workbook>
</file>

<file path=xl/calcChain.xml><?xml version="1.0" encoding="utf-8"?>
<calcChain xmlns="http://schemas.openxmlformats.org/spreadsheetml/2006/main">
  <c r="A22" i="1" l="1"/>
  <c r="A23" i="1"/>
  <c r="A24" i="1" s="1"/>
  <c r="A25" i="1" s="1"/>
  <c r="A26" i="1" s="1"/>
  <c r="A27" i="1" s="1"/>
  <c r="A28" i="1" s="1"/>
  <c r="A29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</calcChain>
</file>

<file path=xl/sharedStrings.xml><?xml version="1.0" encoding="utf-8"?>
<sst xmlns="http://schemas.openxmlformats.org/spreadsheetml/2006/main" count="257" uniqueCount="163">
  <si>
    <t>STATE LOAD DESPATCH CENTRE _x000D_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</si>
  <si>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</si>
  <si>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</si>
  <si>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</si>
  <si>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</si>
  <si>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</si>
  <si>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</si>
  <si>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</si>
  <si>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</si>
  <si>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</si>
  <si>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</si>
  <si>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</si>
  <si>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</si>
  <si>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</si>
  <si>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</si>
  <si>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</si>
  <si>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</si>
  <si>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MR2601/0380</t>
  </si>
  <si>
    <t>Daily</t>
  </si>
  <si>
    <t>220KV_220 kV Anuppur-Kotmikala Circuit I</t>
  </si>
  <si>
    <t>220KV_ANUPPUR</t>
  </si>
  <si>
    <t>NON-OCCM-MP</t>
  </si>
  <si>
    <t>For Conductor re-sagging &amp; other line maintenance</t>
  </si>
  <si>
    <t>01-02-2026 08:00:00</t>
  </si>
  <si>
    <t>20-02-2026 18:00:00</t>
  </si>
  <si>
    <t>Jitendra Tiwari</t>
  </si>
  <si>
    <t>9425805298</t>
  </si>
  <si>
    <t>MR2601/0381</t>
  </si>
  <si>
    <t>220KV_220 kV Anuppur-Kotmikala Circuit II</t>
  </si>
  <si>
    <t>MR2601/0522</t>
  </si>
  <si>
    <t>220KV_220kv badnawar-Ratlam ckt-2</t>
  </si>
  <si>
    <t>400KV_BADNAWAR</t>
  </si>
  <si>
    <t>for bay maintenance and testing work</t>
  </si>
  <si>
    <t>07-02-2026 08:00:00</t>
  </si>
  <si>
    <t>07-02-2026 18:00:00</t>
  </si>
  <si>
    <t>ER.Abhishek verma</t>
  </si>
  <si>
    <t>9340855901</t>
  </si>
  <si>
    <t>MR2601/0461</t>
  </si>
  <si>
    <t>220KV_220 KV Bina Datia line</t>
  </si>
  <si>
    <t>400KV_BINA4</t>
  </si>
  <si>
    <t>Old and defected disc replacement work</t>
  </si>
  <si>
    <t>30-01-2026 08:00:00</t>
  </si>
  <si>
    <t>13-02-2026 18:00:00</t>
  </si>
  <si>
    <t>Satish Kumar Bhagat</t>
  </si>
  <si>
    <t>9425806916</t>
  </si>
  <si>
    <t>Continuous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</si>
  <si>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</si>
  <si>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</si>
  <si>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</si>
  <si>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</si>
  <si>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</si>
  <si>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</si>
  <si>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</si>
  <si>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</si>
  <si>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MR2602/0072</t>
  </si>
  <si>
    <t>132KV_132 KV CHAMBAL-SATYASAI LINE</t>
  </si>
  <si>
    <t>132KV_INDORE CHAMBAL</t>
  </si>
  <si>
    <t>CONDUCTOR REPLACEMENT  WORK AND OTHER MAINTANANCE</t>
  </si>
  <si>
    <t>07-02-2026 07:00:00</t>
  </si>
  <si>
    <t>08-02-2026 17:30:00</t>
  </si>
  <si>
    <t>RAVINDRA PATIL</t>
  </si>
  <si>
    <t>9425801598</t>
  </si>
  <si>
    <t>MR2602/0065</t>
  </si>
  <si>
    <t>132KV_132kV Kirnapur Moil (Bharveli) Line</t>
  </si>
  <si>
    <t>400KV_KIRNAPUR</t>
  </si>
  <si>
    <t>Work For Bird Guard Instalation &amp; Other Line Maint</t>
  </si>
  <si>
    <t>07-02-2026 14:00:00</t>
  </si>
  <si>
    <t>S.K. BHALADHARE</t>
  </si>
  <si>
    <t>9425807264</t>
  </si>
  <si>
    <t>MR2602/0060</t>
  </si>
  <si>
    <t>400KV_400 KV Auxiliary Bus</t>
  </si>
  <si>
    <t>400KV_MANDSOUR4</t>
  </si>
  <si>
    <t>Overhead stringing work</t>
  </si>
  <si>
    <t>05-02-2026 12:00:00</t>
  </si>
  <si>
    <t>J.P. Parmar</t>
  </si>
  <si>
    <t>9425806919</t>
  </si>
  <si>
    <t>MR2602/0075</t>
  </si>
  <si>
    <t>132KV_132KV Nagda-Mahidpur Ckt-II Line</t>
  </si>
  <si>
    <t>220KV_NAGDA</t>
  </si>
  <si>
    <t>F/o disc Insulator Replacement work.</t>
  </si>
  <si>
    <t>07-02-2026 10:00:00</t>
  </si>
  <si>
    <t>Kamal Solanki</t>
  </si>
  <si>
    <t>9425805262</t>
  </si>
  <si>
    <t>MR2602/0077</t>
  </si>
  <si>
    <t>132KV_Narsinghpur- Interconnector no -1</t>
  </si>
  <si>
    <t>132KV_NARSINGHPUR1</t>
  </si>
  <si>
    <t>Equipment painting work</t>
  </si>
  <si>
    <t>07-02-2026 13:00:00</t>
  </si>
  <si>
    <t>R.K. Chaturvedi</t>
  </si>
  <si>
    <t>9425805203</t>
  </si>
  <si>
    <t>MR2602/0078</t>
  </si>
  <si>
    <t>132KV_132 KV Narsinghpur -Interconnector no -2</t>
  </si>
  <si>
    <t>07-02-2026 17:00:00</t>
  </si>
  <si>
    <t>MR2601/0512</t>
  </si>
  <si>
    <t>400KV_400KV SSTPH-Pithampur ckt-2</t>
  </si>
  <si>
    <t>400KV_PITHAMPUR4</t>
  </si>
  <si>
    <t>Tower Restrengthening work on cross arm.</t>
  </si>
  <si>
    <t>14-02-2026 18:00:00</t>
  </si>
  <si>
    <t>Naresh Pandre</t>
  </si>
  <si>
    <t>9425806905</t>
  </si>
  <si>
    <t>MR2601/0499</t>
  </si>
  <si>
    <t>400KV_400KV SSTPH-Pithampur ckt -1</t>
  </si>
  <si>
    <t>MR2601/0452</t>
  </si>
  <si>
    <t>220KV_220 kv Rewa-Sidhi-Satna DCDS Line</t>
  </si>
  <si>
    <t>220KV_REWA</t>
  </si>
  <si>
    <t>Tower Erection Work  of Bharatmala Project</t>
  </si>
  <si>
    <t>02-02-2026 09:00:00</t>
  </si>
  <si>
    <t>12-02-2026 18:00:00</t>
  </si>
  <si>
    <t>Mr. Ajay Kumar Chaurasia</t>
  </si>
  <si>
    <t>9425805081</t>
  </si>
  <si>
    <t>MR2602/0048</t>
  </si>
  <si>
    <t>220KV_220kv Rewa Satna line</t>
  </si>
  <si>
    <t>Tower Erection work</t>
  </si>
  <si>
    <t>04-02-2026 09:00:00</t>
  </si>
  <si>
    <t>220KV_220 KV Rewa-Sidhi Line</t>
  </si>
  <si>
    <t>MR2602/0047</t>
  </si>
  <si>
    <t>MR2602/0076</t>
  </si>
  <si>
    <t>132KV_132/33KV 40MVA TELK X-MER</t>
  </si>
  <si>
    <t>132KV_SIDHI1</t>
  </si>
  <si>
    <t>LV SIDE R-PHASE BUSHING OIL LEAKAGE ARRESTING WORK</t>
  </si>
  <si>
    <t>SHRI R B SINGH</t>
  </si>
  <si>
    <t>9907230394</t>
  </si>
  <si>
    <t>MR2602/0056</t>
  </si>
  <si>
    <t>132KV_132kV Vidisha-Raisen Ckt-II</t>
  </si>
  <si>
    <t>220KV_VIDISHA</t>
  </si>
  <si>
    <t>For Modification/shifting work of line.</t>
  </si>
  <si>
    <t>05-02-2026 09:00:00</t>
  </si>
  <si>
    <t>25-02-2026 18:00:00</t>
  </si>
  <si>
    <t>Rajkumar Bhusare</t>
  </si>
  <si>
    <t>9425820042</t>
  </si>
  <si>
    <t>MR2602/0055</t>
  </si>
  <si>
    <t>132KV_132kV Vidisha-Gairatganj ckt</t>
  </si>
  <si>
    <t>For modification/shifing work of line.</t>
  </si>
  <si>
    <t>deferred</t>
  </si>
  <si>
    <t>ok, through sub ld</t>
  </si>
  <si>
    <t>ok</t>
  </si>
  <si>
    <t>sub ld</t>
  </si>
  <si>
    <t>Moil consent required</t>
  </si>
  <si>
    <t>real time</t>
  </si>
  <si>
    <t>132KV-DHARNI-NEPANAGAR-1</t>
  </si>
  <si>
    <t>220KV-KHANDWA-CHHANERA-2</t>
  </si>
  <si>
    <t>For fixing of additional jumps to tension towers using boltless C type wedge connectors.</t>
  </si>
  <si>
    <t>FOR LINE MAINTENANCE WORK i.e. CLEANING OF DISC INSULATORS DURING LINE PATROLLING , REPLACEMENT OF FLASHOVERED DISC INSULATORS, TREE BRANCH CUTTING ETC AT VARIOUS TOWER LOCATIONS</t>
  </si>
  <si>
    <t>OK
Ok, Load to be managed by SLDC MH/MP.</t>
  </si>
  <si>
    <t>REAL TIME
220KV-KHANDWA-CHHANERA-1 to be in service with AR enabled. WR2 to be informed. Load to be managed by SLDC MP</t>
  </si>
  <si>
    <t>KHANDWA - 220KV - BUS 2</t>
  </si>
  <si>
    <t xml:space="preserve">Schedule AMP work </t>
  </si>
  <si>
    <t xml:space="preserve"> OK
SLDC MP consent is required. All elements will be in service with Bus-1. In case of N-1, all elements will be out. Load will be managed by SLDC MP in case of any contingency.</t>
  </si>
  <si>
    <t>07-02-2026  07:00:00</t>
  </si>
  <si>
    <t>07-02-2026  08:00:00</t>
  </si>
  <si>
    <t>REWA - 400KV - BUS 1</t>
  </si>
  <si>
    <t>AMP</t>
  </si>
  <si>
    <t>OK
All elements to be in service with REWA BUS 2. In N-1 case, Jabalpur D/C will be in service with ICT 2 &amp;3. Vindhyachal line to be in service with ICT 1. Sasan line will be out. SLDC MP to be informed.</t>
  </si>
  <si>
    <t>07-02-2026  10:00:00</t>
  </si>
  <si>
    <t>220KV-ITARSI-BUDNI-1</t>
  </si>
  <si>
    <t>Mechanical Interlock issue in 210-89C and AMP works</t>
  </si>
  <si>
    <t>OK THROUGH SUB LD
ckt-2 will be in service. load to be managed by SLDC MP.</t>
  </si>
  <si>
    <t>07-02-2026  09:00:00</t>
  </si>
  <si>
    <t>400KV/220KV SHUJALPUR-ICT-3</t>
  </si>
  <si>
    <t>SHEDULED AMP WORK OF ICT -3 AT SHUJALPUR AND SEEPAGE ARRESTING , Dia to be kept open at both sides.</t>
  </si>
  <si>
    <t>DEFERRED DUE TO HIGH LOADING
ICT-1,2 to be in service with complete dia. SLDC MP consent is required in view of load management. Load to be managed by SLDC MP.</t>
  </si>
  <si>
    <t>06-02-2026  09:00:00</t>
  </si>
  <si>
    <t>WR-OCCM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</si>
</sst>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2" formatCode="[$-1010809]dd\-mm\-yyyy"/>
  </numFmts>
  <fonts count="8" x14ac:knownFonts="1">
    <font>
      <sz val="10"/>
      <name val="Arial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sz val="11"/>
      <name val="Calibri"/>
      <family val="2"/>
    </font>
    <font>
      <sz val="10"/>
      <color indexed="8"/>
      <name val="Arial"/>
      <family val="2"/>
    </font>
    <font>
      <b/>
      <sz val="16"/>
      <color indexed="8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72" fontId="1" fillId="2" borderId="1" xfId="0" applyNumberFormat="1" applyFont="1" applyFill="1" applyBorder="1" applyAlignment="1">
      <alignment horizontal="center" vertical="center"/>
    </xf>
    <xf numFmtId="172" fontId="4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3" xfId="0" applyFont="1" applyBorder="1" applyAlignment="1"/>
    <xf numFmtId="0" fontId="3" fillId="0" borderId="2" xfId="0" applyFont="1" applyBorder="1" applyAlignment="1"/>
    <xf numFmtId="172" fontId="5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left" vertical="center" wrapText="1"/>
    </xf>
    <xf numFmtId="22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180975</xdr:colOff>
      <xdr:row>1</xdr:row>
      <xdr:rowOff>0</xdr:rowOff>
    </xdr:to>
    <xdr:pic>
      <xdr:nvPicPr>
        <xdr:cNvPr id="1030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096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"/>
  <sheetViews>
    <sheetView tabSelected="1" workbookViewId="0">
      <selection activeCell="P7" sqref="P7"/>
    </sheetView>
  </sheetViews>
  <sheetFormatPr defaultRowHeight="12.75" x14ac:dyDescent="0.2"/>
  <cols>
    <col min="1" max="1" width="6.42578125" customWidth="1"/>
    <col min="2" max="2" width="11.140625" customWidth="1"/>
    <col min="3" max="3" width="7" customWidth="1"/>
    <col min="4" max="4" width="6.85546875" customWidth="1"/>
    <col min="5" max="5" width="31.28515625" customWidth="1"/>
    <col min="6" max="6" width="22.140625" customWidth="1"/>
    <col min="7" max="7" width="10.140625" customWidth="1"/>
    <col min="8" max="8" width="30.42578125" customWidth="1"/>
    <col min="9" max="9" width="10.85546875" customWidth="1"/>
    <col min="10" max="10" width="10.42578125" customWidth="1"/>
    <col min="11" max="11" width="10.140625" customWidth="1"/>
    <col min="12" max="12" width="6.42578125" customWidth="1"/>
    <col min="13" max="13" width="43.5703125" customWidth="1"/>
  </cols>
  <sheetData>
    <row r="1" spans="1:13" ht="43.7" customHeight="1" x14ac:dyDescent="0.25">
      <c r="A1" s="1"/>
      <c r="B1" s="4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6"/>
    </row>
    <row r="2" spans="1:13" ht="42" customHeight="1" x14ac:dyDescent="0.2">
      <c r="A2" s="8" t="s">
        <v>1</v>
      </c>
      <c r="B2" s="2">
        <v>46060</v>
      </c>
      <c r="C2" s="1"/>
      <c r="D2" s="1"/>
      <c r="E2" s="7">
        <v>46060</v>
      </c>
      <c r="F2" s="1"/>
      <c r="G2" s="1"/>
      <c r="H2" s="1"/>
      <c r="I2" s="1"/>
      <c r="J2" s="1"/>
      <c r="K2" s="1"/>
      <c r="L2" s="1"/>
      <c r="M2" s="1"/>
    </row>
    <row r="3" spans="1:13" ht="42" customHeight="1" x14ac:dyDescent="0.2">
      <c r="A3" s="8" t="s">
        <v>2</v>
      </c>
      <c r="B3" s="8" t="s">
        <v>3</v>
      </c>
      <c r="C3" s="8" t="s">
        <v>4</v>
      </c>
      <c r="D3" s="8" t="s">
        <v>3</v>
      </c>
      <c r="E3" s="8"/>
      <c r="F3" s="8"/>
      <c r="G3" s="1"/>
      <c r="H3" s="1"/>
      <c r="I3" s="1"/>
      <c r="J3" s="1"/>
      <c r="K3" s="1"/>
      <c r="L3" s="1"/>
      <c r="M3" s="1"/>
    </row>
    <row r="4" spans="1:13" ht="42" customHeight="1" x14ac:dyDescent="0.2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8" t="s">
        <v>15</v>
      </c>
      <c r="L4" s="8"/>
      <c r="M4" s="8" t="s">
        <v>16</v>
      </c>
    </row>
    <row r="5" spans="1:13" ht="35.25" customHeight="1" x14ac:dyDescent="0.2">
      <c r="A5" s="8">
        <v>1</v>
      </c>
      <c r="B5" s="3">
        <v>46045.7030787037</v>
      </c>
      <c r="C5" s="8" t="s">
        <v>17</v>
      </c>
      <c r="D5" s="8" t="s">
        <v>18</v>
      </c>
      <c r="E5" s="8" t="s">
        <v>19</v>
      </c>
      <c r="F5" s="8" t="s">
        <v>20</v>
      </c>
      <c r="G5" s="8" t="s">
        <v>21</v>
      </c>
      <c r="H5" s="8" t="s">
        <v>22</v>
      </c>
      <c r="I5" s="8" t="s">
        <v>23</v>
      </c>
      <c r="J5" s="8" t="s">
        <v>24</v>
      </c>
      <c r="K5" s="8" t="s">
        <v>25</v>
      </c>
      <c r="L5" s="8" t="s">
        <v>26</v>
      </c>
      <c r="M5" s="8" t="s">
        <v>133</v>
      </c>
    </row>
    <row r="6" spans="1:13" ht="35.25" customHeight="1" x14ac:dyDescent="0.2">
      <c r="A6" s="8">
        <f>A5+1</f>
        <v>2</v>
      </c>
      <c r="B6" s="3">
        <v>46045.703703703701</v>
      </c>
      <c r="C6" s="8" t="s">
        <v>27</v>
      </c>
      <c r="D6" s="8" t="s">
        <v>18</v>
      </c>
      <c r="E6" s="8" t="s">
        <v>28</v>
      </c>
      <c r="F6" s="8" t="s">
        <v>20</v>
      </c>
      <c r="G6" s="8" t="s">
        <v>21</v>
      </c>
      <c r="H6" s="8" t="s">
        <v>22</v>
      </c>
      <c r="I6" s="8" t="s">
        <v>23</v>
      </c>
      <c r="J6" s="8" t="s">
        <v>24</v>
      </c>
      <c r="K6" s="8" t="s">
        <v>25</v>
      </c>
      <c r="L6" s="8" t="s">
        <v>26</v>
      </c>
      <c r="M6" s="8" t="s">
        <v>133</v>
      </c>
    </row>
    <row r="7" spans="1:13" ht="35.25" customHeight="1" x14ac:dyDescent="0.2">
      <c r="A7" s="8">
        <f t="shared" ref="A7:A21" si="0">A6+1</f>
        <v>3</v>
      </c>
      <c r="B7" s="3">
        <v>46053.533530092594</v>
      </c>
      <c r="C7" s="8" t="s">
        <v>29</v>
      </c>
      <c r="D7" s="8"/>
      <c r="E7" s="8" t="s">
        <v>30</v>
      </c>
      <c r="F7" s="8" t="s">
        <v>31</v>
      </c>
      <c r="G7" s="8" t="s">
        <v>21</v>
      </c>
      <c r="H7" s="8" t="s">
        <v>32</v>
      </c>
      <c r="I7" s="8" t="s">
        <v>33</v>
      </c>
      <c r="J7" s="8" t="s">
        <v>34</v>
      </c>
      <c r="K7" s="8" t="s">
        <v>35</v>
      </c>
      <c r="L7" s="8" t="s">
        <v>36</v>
      </c>
      <c r="M7" s="8" t="s">
        <v>134</v>
      </c>
    </row>
    <row r="8" spans="1:13" ht="35.25" customHeight="1" x14ac:dyDescent="0.2">
      <c r="A8" s="8">
        <f t="shared" si="0"/>
        <v>4</v>
      </c>
      <c r="B8" s="3">
        <v>46051.550810185188</v>
      </c>
      <c r="C8" s="8" t="s">
        <v>37</v>
      </c>
      <c r="D8" s="8" t="s">
        <v>18</v>
      </c>
      <c r="E8" s="8" t="s">
        <v>38</v>
      </c>
      <c r="F8" s="8" t="s">
        <v>39</v>
      </c>
      <c r="G8" s="8" t="s">
        <v>21</v>
      </c>
      <c r="H8" s="8" t="s">
        <v>40</v>
      </c>
      <c r="I8" s="8" t="s">
        <v>41</v>
      </c>
      <c r="J8" s="8" t="s">
        <v>42</v>
      </c>
      <c r="K8" s="8" t="s">
        <v>43</v>
      </c>
      <c r="L8" s="8" t="s">
        <v>44</v>
      </c>
      <c r="M8" s="8" t="s">
        <v>134</v>
      </c>
    </row>
    <row r="9" spans="1:13" ht="35.25" customHeight="1" x14ac:dyDescent="0.2">
      <c r="A9" s="8">
        <f t="shared" si="0"/>
        <v>5</v>
      </c>
      <c r="B9" s="3">
        <v>46050.577592592592</v>
      </c>
      <c r="C9" s="8" t="s">
        <v>48</v>
      </c>
      <c r="D9" s="8" t="s">
        <v>18</v>
      </c>
      <c r="E9" s="8" t="s">
        <v>49</v>
      </c>
      <c r="F9" s="8" t="s">
        <v>46</v>
      </c>
      <c r="G9" s="8" t="s">
        <v>21</v>
      </c>
      <c r="H9" s="8" t="s">
        <v>50</v>
      </c>
      <c r="I9" s="8" t="s">
        <v>51</v>
      </c>
      <c r="J9" s="8" t="s">
        <v>52</v>
      </c>
      <c r="K9" s="8" t="s">
        <v>53</v>
      </c>
      <c r="L9" s="8" t="s">
        <v>47</v>
      </c>
      <c r="M9" s="8" t="s">
        <v>135</v>
      </c>
    </row>
    <row r="10" spans="1:13" ht="35.25" customHeight="1" x14ac:dyDescent="0.2">
      <c r="A10" s="8">
        <f t="shared" si="0"/>
        <v>6</v>
      </c>
      <c r="B10" s="3">
        <v>46058.679120370369</v>
      </c>
      <c r="C10" s="8" t="s">
        <v>54</v>
      </c>
      <c r="D10" s="8" t="s">
        <v>18</v>
      </c>
      <c r="E10" s="8" t="s">
        <v>55</v>
      </c>
      <c r="F10" s="8" t="s">
        <v>56</v>
      </c>
      <c r="G10" s="8" t="s">
        <v>21</v>
      </c>
      <c r="H10" s="8" t="s">
        <v>57</v>
      </c>
      <c r="I10" s="8" t="s">
        <v>58</v>
      </c>
      <c r="J10" s="8" t="s">
        <v>59</v>
      </c>
      <c r="K10" s="8" t="s">
        <v>60</v>
      </c>
      <c r="L10" s="8" t="s">
        <v>61</v>
      </c>
      <c r="M10" s="8" t="s">
        <v>136</v>
      </c>
    </row>
    <row r="11" spans="1:13" ht="35.25" customHeight="1" x14ac:dyDescent="0.2">
      <c r="A11" s="8">
        <f t="shared" si="0"/>
        <v>7</v>
      </c>
      <c r="B11" s="3">
        <v>46058.565428240741</v>
      </c>
      <c r="C11" s="8" t="s">
        <v>62</v>
      </c>
      <c r="D11" s="8"/>
      <c r="E11" s="8" t="s">
        <v>63</v>
      </c>
      <c r="F11" s="8" t="s">
        <v>64</v>
      </c>
      <c r="G11" s="8" t="s">
        <v>21</v>
      </c>
      <c r="H11" s="8" t="s">
        <v>65</v>
      </c>
      <c r="I11" s="8" t="s">
        <v>33</v>
      </c>
      <c r="J11" s="8" t="s">
        <v>66</v>
      </c>
      <c r="K11" s="8" t="s">
        <v>67</v>
      </c>
      <c r="L11" s="8" t="s">
        <v>68</v>
      </c>
      <c r="M11" s="8" t="s">
        <v>137</v>
      </c>
    </row>
    <row r="12" spans="1:13" ht="35.25" customHeight="1" x14ac:dyDescent="0.2">
      <c r="A12" s="8">
        <f t="shared" si="0"/>
        <v>8</v>
      </c>
      <c r="B12" s="3">
        <v>46058.497245370374</v>
      </c>
      <c r="C12" s="8" t="s">
        <v>69</v>
      </c>
      <c r="D12" s="8" t="s">
        <v>45</v>
      </c>
      <c r="E12" s="8" t="s">
        <v>70</v>
      </c>
      <c r="F12" s="8" t="s">
        <v>71</v>
      </c>
      <c r="G12" s="8" t="s">
        <v>21</v>
      </c>
      <c r="H12" s="8" t="s">
        <v>72</v>
      </c>
      <c r="I12" s="8" t="s">
        <v>73</v>
      </c>
      <c r="J12" s="8" t="s">
        <v>34</v>
      </c>
      <c r="K12" s="8" t="s">
        <v>74</v>
      </c>
      <c r="L12" s="8" t="s">
        <v>75</v>
      </c>
      <c r="M12" s="8" t="s">
        <v>45</v>
      </c>
    </row>
    <row r="13" spans="1:13" ht="35.25" customHeight="1" x14ac:dyDescent="0.2">
      <c r="A13" s="8">
        <f t="shared" si="0"/>
        <v>9</v>
      </c>
      <c r="B13" s="3">
        <v>46059.530810185184</v>
      </c>
      <c r="C13" s="8" t="s">
        <v>76</v>
      </c>
      <c r="D13" s="8"/>
      <c r="E13" s="8" t="s">
        <v>77</v>
      </c>
      <c r="F13" s="8" t="s">
        <v>78</v>
      </c>
      <c r="G13" s="8" t="s">
        <v>21</v>
      </c>
      <c r="H13" s="8" t="s">
        <v>79</v>
      </c>
      <c r="I13" s="8" t="s">
        <v>80</v>
      </c>
      <c r="J13" s="8" t="s">
        <v>34</v>
      </c>
      <c r="K13" s="8" t="s">
        <v>81</v>
      </c>
      <c r="L13" s="8" t="s">
        <v>82</v>
      </c>
      <c r="M13" s="8" t="s">
        <v>136</v>
      </c>
    </row>
    <row r="14" spans="1:13" ht="35.25" customHeight="1" x14ac:dyDescent="0.2">
      <c r="A14" s="8">
        <f t="shared" si="0"/>
        <v>10</v>
      </c>
      <c r="B14" s="3">
        <v>46059.649074074077</v>
      </c>
      <c r="C14" s="8" t="s">
        <v>83</v>
      </c>
      <c r="D14" s="8"/>
      <c r="E14" s="8" t="s">
        <v>84</v>
      </c>
      <c r="F14" s="8" t="s">
        <v>85</v>
      </c>
      <c r="G14" s="8" t="s">
        <v>21</v>
      </c>
      <c r="H14" s="8" t="s">
        <v>86</v>
      </c>
      <c r="I14" s="8" t="s">
        <v>80</v>
      </c>
      <c r="J14" s="8" t="s">
        <v>87</v>
      </c>
      <c r="K14" s="8" t="s">
        <v>88</v>
      </c>
      <c r="L14" s="8" t="s">
        <v>89</v>
      </c>
      <c r="M14" s="8" t="s">
        <v>138</v>
      </c>
    </row>
    <row r="15" spans="1:13" ht="35.25" customHeight="1" x14ac:dyDescent="0.2">
      <c r="A15" s="8">
        <f t="shared" si="0"/>
        <v>11</v>
      </c>
      <c r="B15" s="3">
        <v>46059.653194444443</v>
      </c>
      <c r="C15" s="8" t="s">
        <v>90</v>
      </c>
      <c r="D15" s="8"/>
      <c r="E15" s="8" t="s">
        <v>91</v>
      </c>
      <c r="F15" s="8" t="s">
        <v>85</v>
      </c>
      <c r="G15" s="8" t="s">
        <v>21</v>
      </c>
      <c r="H15" s="8" t="s">
        <v>86</v>
      </c>
      <c r="I15" s="8" t="s">
        <v>66</v>
      </c>
      <c r="J15" s="8" t="s">
        <v>92</v>
      </c>
      <c r="K15" s="8" t="s">
        <v>88</v>
      </c>
      <c r="L15" s="8" t="s">
        <v>89</v>
      </c>
      <c r="M15" s="8" t="s">
        <v>138</v>
      </c>
    </row>
    <row r="16" spans="1:13" ht="35.25" customHeight="1" x14ac:dyDescent="0.2">
      <c r="A16" s="8">
        <f t="shared" si="0"/>
        <v>12</v>
      </c>
      <c r="B16" s="3">
        <v>46052.838275462964</v>
      </c>
      <c r="C16" s="8" t="s">
        <v>93</v>
      </c>
      <c r="D16" s="8" t="s">
        <v>45</v>
      </c>
      <c r="E16" s="8" t="s">
        <v>94</v>
      </c>
      <c r="F16" s="8" t="s">
        <v>95</v>
      </c>
      <c r="G16" s="8" t="s">
        <v>21</v>
      </c>
      <c r="H16" s="8" t="s">
        <v>96</v>
      </c>
      <c r="I16" s="8" t="s">
        <v>23</v>
      </c>
      <c r="J16" s="8" t="s">
        <v>97</v>
      </c>
      <c r="K16" s="8" t="s">
        <v>98</v>
      </c>
      <c r="L16" s="8" t="s">
        <v>99</v>
      </c>
      <c r="M16" s="8" t="s">
        <v>45</v>
      </c>
    </row>
    <row r="17" spans="1:13" ht="35.25" customHeight="1" x14ac:dyDescent="0.2">
      <c r="A17" s="8">
        <f t="shared" si="0"/>
        <v>13</v>
      </c>
      <c r="B17" s="3">
        <v>46052.636863425927</v>
      </c>
      <c r="C17" s="8" t="s">
        <v>100</v>
      </c>
      <c r="D17" s="8" t="s">
        <v>45</v>
      </c>
      <c r="E17" s="8" t="s">
        <v>101</v>
      </c>
      <c r="F17" s="8" t="s">
        <v>95</v>
      </c>
      <c r="G17" s="8" t="s">
        <v>21</v>
      </c>
      <c r="H17" s="8" t="s">
        <v>96</v>
      </c>
      <c r="I17" s="8" t="s">
        <v>23</v>
      </c>
      <c r="J17" s="8" t="s">
        <v>97</v>
      </c>
      <c r="K17" s="8" t="s">
        <v>98</v>
      </c>
      <c r="L17" s="8" t="s">
        <v>99</v>
      </c>
      <c r="M17" s="8" t="s">
        <v>45</v>
      </c>
    </row>
    <row r="18" spans="1:13" ht="35.25" customHeight="1" x14ac:dyDescent="0.2">
      <c r="A18" s="8">
        <f t="shared" si="0"/>
        <v>14</v>
      </c>
      <c r="B18" s="3">
        <v>46050.722280092596</v>
      </c>
      <c r="C18" s="8" t="s">
        <v>102</v>
      </c>
      <c r="D18" s="8" t="s">
        <v>18</v>
      </c>
      <c r="E18" s="8" t="s">
        <v>103</v>
      </c>
      <c r="F18" s="8" t="s">
        <v>104</v>
      </c>
      <c r="G18" s="8" t="s">
        <v>21</v>
      </c>
      <c r="H18" s="8" t="s">
        <v>105</v>
      </c>
      <c r="I18" s="8" t="s">
        <v>106</v>
      </c>
      <c r="J18" s="8" t="s">
        <v>107</v>
      </c>
      <c r="K18" s="8" t="s">
        <v>108</v>
      </c>
      <c r="L18" s="8" t="s">
        <v>109</v>
      </c>
      <c r="M18" s="8" t="s">
        <v>133</v>
      </c>
    </row>
    <row r="19" spans="1:13" ht="35.25" customHeight="1" x14ac:dyDescent="0.2">
      <c r="A19" s="8">
        <f t="shared" si="0"/>
        <v>15</v>
      </c>
      <c r="B19" s="3">
        <v>46056.732858796298</v>
      </c>
      <c r="C19" s="8" t="s">
        <v>110</v>
      </c>
      <c r="D19" s="8" t="s">
        <v>45</v>
      </c>
      <c r="E19" s="8" t="s">
        <v>111</v>
      </c>
      <c r="F19" s="8" t="s">
        <v>104</v>
      </c>
      <c r="G19" s="8" t="s">
        <v>21</v>
      </c>
      <c r="H19" s="8" t="s">
        <v>112</v>
      </c>
      <c r="I19" s="8" t="s">
        <v>113</v>
      </c>
      <c r="J19" s="8" t="s">
        <v>107</v>
      </c>
      <c r="K19" s="8" t="s">
        <v>108</v>
      </c>
      <c r="L19" s="8" t="s">
        <v>109</v>
      </c>
      <c r="M19" s="8" t="s">
        <v>133</v>
      </c>
    </row>
    <row r="20" spans="1:13" ht="35.25" customHeight="1" x14ac:dyDescent="0.2">
      <c r="A20" s="8">
        <f t="shared" si="0"/>
        <v>16</v>
      </c>
      <c r="B20" s="3">
        <v>46056.730370370373</v>
      </c>
      <c r="C20" s="8" t="s">
        <v>115</v>
      </c>
      <c r="D20" s="8" t="s">
        <v>45</v>
      </c>
      <c r="E20" s="8" t="s">
        <v>114</v>
      </c>
      <c r="F20" s="8" t="s">
        <v>104</v>
      </c>
      <c r="G20" s="8" t="s">
        <v>21</v>
      </c>
      <c r="H20" s="8" t="s">
        <v>112</v>
      </c>
      <c r="I20" s="8" t="s">
        <v>113</v>
      </c>
      <c r="J20" s="8" t="s">
        <v>107</v>
      </c>
      <c r="K20" s="8" t="s">
        <v>108</v>
      </c>
      <c r="L20" s="8" t="s">
        <v>109</v>
      </c>
      <c r="M20" s="8" t="s">
        <v>133</v>
      </c>
    </row>
    <row r="21" spans="1:13" ht="35.25" customHeight="1" x14ac:dyDescent="0.2">
      <c r="A21" s="8">
        <f t="shared" si="0"/>
        <v>17</v>
      </c>
      <c r="B21" s="3">
        <v>46059.615856481483</v>
      </c>
      <c r="C21" s="8" t="s">
        <v>116</v>
      </c>
      <c r="D21" s="8"/>
      <c r="E21" s="8" t="s">
        <v>117</v>
      </c>
      <c r="F21" s="8" t="s">
        <v>118</v>
      </c>
      <c r="G21" s="8" t="s">
        <v>21</v>
      </c>
      <c r="H21" s="8" t="s">
        <v>119</v>
      </c>
      <c r="I21" s="8" t="s">
        <v>80</v>
      </c>
      <c r="J21" s="8" t="s">
        <v>92</v>
      </c>
      <c r="K21" s="8" t="s">
        <v>120</v>
      </c>
      <c r="L21" s="8" t="s">
        <v>121</v>
      </c>
      <c r="M21" s="8" t="s">
        <v>135</v>
      </c>
    </row>
    <row r="22" spans="1:13" ht="35.25" customHeight="1" x14ac:dyDescent="0.2">
      <c r="A22" s="8">
        <f t="shared" ref="A22:A29" si="1">A21+1</f>
        <v>18</v>
      </c>
      <c r="B22" s="3">
        <v>46057.622071759259</v>
      </c>
      <c r="C22" s="8" t="s">
        <v>122</v>
      </c>
      <c r="D22" s="8" t="s">
        <v>45</v>
      </c>
      <c r="E22" s="8" t="s">
        <v>123</v>
      </c>
      <c r="F22" s="8" t="s">
        <v>124</v>
      </c>
      <c r="G22" s="8" t="s">
        <v>21</v>
      </c>
      <c r="H22" s="8" t="s">
        <v>125</v>
      </c>
      <c r="I22" s="8" t="s">
        <v>126</v>
      </c>
      <c r="J22" s="8" t="s">
        <v>127</v>
      </c>
      <c r="K22" s="8" t="s">
        <v>128</v>
      </c>
      <c r="L22" s="8" t="s">
        <v>129</v>
      </c>
      <c r="M22" s="8" t="s">
        <v>136</v>
      </c>
    </row>
    <row r="23" spans="1:13" ht="35.25" customHeight="1" x14ac:dyDescent="0.2">
      <c r="A23" s="8">
        <f t="shared" si="1"/>
        <v>19</v>
      </c>
      <c r="B23" s="3">
        <v>46057.618946759256</v>
      </c>
      <c r="C23" s="8" t="s">
        <v>130</v>
      </c>
      <c r="D23" s="8" t="s">
        <v>45</v>
      </c>
      <c r="E23" s="8" t="s">
        <v>131</v>
      </c>
      <c r="F23" s="8" t="s">
        <v>124</v>
      </c>
      <c r="G23" s="8" t="s">
        <v>21</v>
      </c>
      <c r="H23" s="8" t="s">
        <v>132</v>
      </c>
      <c r="I23" s="8" t="s">
        <v>126</v>
      </c>
      <c r="J23" s="8" t="s">
        <v>127</v>
      </c>
      <c r="K23" s="8" t="s">
        <v>128</v>
      </c>
      <c r="L23" s="8" t="s">
        <v>129</v>
      </c>
      <c r="M23" s="8" t="s">
        <v>136</v>
      </c>
    </row>
    <row r="24" spans="1:13" ht="47.25" customHeight="1" x14ac:dyDescent="0.2">
      <c r="A24" s="8">
        <f t="shared" si="1"/>
        <v>20</v>
      </c>
      <c r="B24" s="3"/>
      <c r="C24" s="9">
        <v>290444</v>
      </c>
      <c r="D24" s="8"/>
      <c r="E24" s="9" t="s">
        <v>139</v>
      </c>
      <c r="F24" s="8"/>
      <c r="G24" s="8" t="s">
        <v>162</v>
      </c>
      <c r="H24" s="10" t="s">
        <v>141</v>
      </c>
      <c r="I24" s="12" t="s">
        <v>148</v>
      </c>
      <c r="J24" s="13" t="s">
        <v>34</v>
      </c>
      <c r="K24" s="8"/>
      <c r="L24" s="8"/>
      <c r="M24" s="11" t="s">
        <v>143</v>
      </c>
    </row>
    <row r="25" spans="1:13" ht="76.5" customHeight="1" x14ac:dyDescent="0.2">
      <c r="A25" s="8">
        <f t="shared" si="1"/>
        <v>21</v>
      </c>
      <c r="B25" s="3"/>
      <c r="C25" s="9">
        <v>287088</v>
      </c>
      <c r="D25" s="8"/>
      <c r="E25" s="9" t="s">
        <v>140</v>
      </c>
      <c r="F25" s="8"/>
      <c r="G25" s="8" t="s">
        <v>162</v>
      </c>
      <c r="H25" s="10" t="s">
        <v>142</v>
      </c>
      <c r="I25" s="12" t="s">
        <v>149</v>
      </c>
      <c r="J25" s="13" t="s">
        <v>34</v>
      </c>
      <c r="K25" s="8"/>
      <c r="L25" s="8"/>
      <c r="M25" s="11" t="s">
        <v>144</v>
      </c>
    </row>
    <row r="26" spans="1:13" ht="86.25" customHeight="1" x14ac:dyDescent="0.2">
      <c r="A26" s="8">
        <f t="shared" si="1"/>
        <v>22</v>
      </c>
      <c r="B26" s="3"/>
      <c r="C26" s="9">
        <v>286761</v>
      </c>
      <c r="D26" s="8"/>
      <c r="E26" s="9" t="s">
        <v>150</v>
      </c>
      <c r="F26" s="8"/>
      <c r="G26" s="8" t="s">
        <v>162</v>
      </c>
      <c r="H26" s="9" t="s">
        <v>151</v>
      </c>
      <c r="I26" s="12" t="s">
        <v>153</v>
      </c>
      <c r="J26" s="13" t="s">
        <v>34</v>
      </c>
      <c r="K26" s="8"/>
      <c r="L26" s="8"/>
      <c r="M26" s="11" t="s">
        <v>152</v>
      </c>
    </row>
    <row r="27" spans="1:13" ht="60" customHeight="1" x14ac:dyDescent="0.2">
      <c r="A27" s="8">
        <f t="shared" si="1"/>
        <v>23</v>
      </c>
      <c r="B27" s="3"/>
      <c r="C27" s="9">
        <v>286836</v>
      </c>
      <c r="D27" s="8"/>
      <c r="E27" s="9" t="s">
        <v>145</v>
      </c>
      <c r="F27" s="8"/>
      <c r="G27" s="8" t="s">
        <v>162</v>
      </c>
      <c r="H27" s="9" t="s">
        <v>146</v>
      </c>
      <c r="I27" s="12" t="s">
        <v>149</v>
      </c>
      <c r="J27" s="13" t="s">
        <v>34</v>
      </c>
      <c r="K27" s="8"/>
      <c r="L27" s="8"/>
      <c r="M27" s="11" t="s">
        <v>147</v>
      </c>
    </row>
    <row r="28" spans="1:13" ht="40.5" customHeight="1" x14ac:dyDescent="0.2">
      <c r="A28" s="8">
        <f t="shared" si="1"/>
        <v>24</v>
      </c>
      <c r="B28" s="3"/>
      <c r="C28" s="9">
        <v>287800</v>
      </c>
      <c r="D28" s="8"/>
      <c r="E28" s="9" t="s">
        <v>154</v>
      </c>
      <c r="F28" s="8"/>
      <c r="G28" s="8" t="s">
        <v>162</v>
      </c>
      <c r="H28" s="9" t="s">
        <v>155</v>
      </c>
      <c r="I28" s="12" t="s">
        <v>157</v>
      </c>
      <c r="J28" s="13" t="s">
        <v>34</v>
      </c>
      <c r="K28" s="8"/>
      <c r="L28" s="8"/>
      <c r="M28" s="11" t="s">
        <v>156</v>
      </c>
    </row>
    <row r="29" spans="1:13" ht="67.5" customHeight="1" x14ac:dyDescent="0.2">
      <c r="A29" s="8">
        <f t="shared" si="1"/>
        <v>25</v>
      </c>
      <c r="B29" s="3"/>
      <c r="C29" s="9">
        <v>286570</v>
      </c>
      <c r="D29" s="8"/>
      <c r="E29" s="9" t="s">
        <v>158</v>
      </c>
      <c r="F29" s="8"/>
      <c r="G29" s="8" t="s">
        <v>162</v>
      </c>
      <c r="H29" s="10" t="s">
        <v>159</v>
      </c>
      <c r="I29" s="12" t="s">
        <v>161</v>
      </c>
      <c r="J29" s="13" t="s">
        <v>34</v>
      </c>
      <c r="K29" s="8"/>
      <c r="L29" s="8"/>
      <c r="M29" s="11" t="s">
        <v>160</v>
      </c>
    </row>
    <row r="30" spans="1:13" ht="24" customHeight="1" x14ac:dyDescent="0.2">
      <c r="A30" s="8"/>
      <c r="B30" s="3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</sheetData>
  <mergeCells count="1">
    <mergeCell ref="B1:M1"/>
  </mergeCells>
  <pageMargins left="3.937007874015748E-2" right="3.937007874015748E-2" top="3.937007874015748E-2" bottom="3.937007874015748E-2" header="3.937007874015748E-2" footer="3.937007874015748E-2"/>
  <pageSetup paperSize="9" scale="71" orientation="landscape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Sheet0</vt:lpstr>
      <vt:lpstr>__bookmark_1</vt:lpstr>
      <vt:lpstr>Sheet0!Print_Area</vt:lpstr>
      <vt:lpstr>Sheet0!Print_Titles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cp:lastPrinted>2026-02-06T13:20:49Z</cp:lastPrinted>
  <dcterms:created xsi:type="dcterms:W3CDTF">2026-02-06T12:54:30Z</dcterms:created>
  <dcterms:modified xsi:type="dcterms:W3CDTF">2026-02-06T13:29:12Z</dcterms:modified>
</cp:coreProperties>
</file>
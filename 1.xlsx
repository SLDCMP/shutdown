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D:\NEXT DAY SHUTDOWN\"/>
    </mc:Choice>
  </mc:AlternateContent>
  <bookViews>
    <workbookView xWindow="0" yWindow="0" windowWidth="17895" windowHeight="7560"/>
  </bookViews>
  <sheets>
    <sheet name="Sheet0" sheetId="1" r:id="rId1"/>
  </sheets>
  <definedNames>
    <definedName name="__bookmark_1">Sheet0!$A$1:$M$40</definedName>
    <definedName name="_xlnm.Print_Area" localSheetId="0">Sheet0!$A$1:$M$40</definedName>
    <definedName name="_xlnm.Print_Titles" localSheetId="0">Sheet0!$4:$4</definedName>
  </definedNames>
  <calcPr calcId="162913"/>
</workbook>
</file>

<file path=xl/calcChain.xml><?xml version="1.0" encoding="utf-8"?>
<calcChain xmlns="http://schemas.openxmlformats.org/spreadsheetml/2006/main">
  <c r="A6" i="1" l="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alcChain>
</file>

<file path=xl/sharedStrings.xml><?xml version="1.0" encoding="utf-8"?>
<sst xmlns="http://schemas.openxmlformats.org/spreadsheetml/2006/main" count="354" uniqueCount="227">
  <si>
    <t>STATE LOAD DESPATCH CENTRE 
Madhya Pradesh Power Transmission Company Limited, Jabalpur</t>
  </si>
  <si>
    <t>From Date:</t>
  </si>
  <si>
    <t>Control Area :</t>
  </si>
  <si>
    <t>ALL</t>
  </si>
  <si>
    <t xml:space="preserve">Circle :  </t>
  </si>
  <si>
    <t>S.NO.</t>
  </si>
  <si>
    <t>APPLICATION DATE</t>
  </si>
  <si>
    <t>REQ_ID</t>
  </si>
  <si>
    <t>REQ TYPE</t>
  </si>
  <si>
    <t>ELEMENT</t>
  </si>
  <si>
    <t>SUBSTATION</t>
  </si>
  <si>
    <t>CATEGORY TYPE</t>
  </si>
  <si>
    <t>REASON FOR SHUT DOWN</t>
  </si>
  <si>
    <t>PROPOSED START DATE &amp; TIME</t>
  </si>
  <si>
    <t>PROPOSED STOP DATE &amp; TIME</t>
  </si>
  <si>
    <t>Availing Officer Name &amp; Mob. No.</t>
  </si>
  <si>
    <t>REMARK</t>
  </si>
  <si>
    <t>MR2511/0525</t>
  </si>
  <si>
    <t>220KV_220/132KV 160MVA X-MER-IV (CGL)</t>
  </si>
  <si>
    <t>220KV_BARWAHA</t>
  </si>
  <si>
    <t>NON-OCCM-MP</t>
  </si>
  <si>
    <t>S/d for Post Monsoon Maintenance Work</t>
  </si>
  <si>
    <t>25-11-2025 09:00:00</t>
  </si>
  <si>
    <t>25-11-2025 17:00:00</t>
  </si>
  <si>
    <t>Er. Imran Beg</t>
  </si>
  <si>
    <t>9425805200</t>
  </si>
  <si>
    <t>MR2511/0023</t>
  </si>
  <si>
    <t>Daily</t>
  </si>
  <si>
    <t>132KV_BEOHARI-RAMPUR NAIKEN_Ckt</t>
  </si>
  <si>
    <t>132KV_BEOHARI</t>
  </si>
  <si>
    <t>HOT LINE OPGW WORK</t>
  </si>
  <si>
    <t>03-11-2025 07:00:00</t>
  </si>
  <si>
    <t>30-11-2025 19:00:00</t>
  </si>
  <si>
    <t>G.L SAHU</t>
  </si>
  <si>
    <t>9425805102</t>
  </si>
  <si>
    <t>MR2511/0531</t>
  </si>
  <si>
    <t>220KV_220kV Bhopal-Ganjbasoda ckt</t>
  </si>
  <si>
    <t>400KV_BHOPAL4</t>
  </si>
  <si>
    <t>For 35 year old disc insulator replacement work.</t>
  </si>
  <si>
    <t>20-12-2025 18:00:00</t>
  </si>
  <si>
    <t>Rajkumar Bhusare</t>
  </si>
  <si>
    <t>9425820042</t>
  </si>
  <si>
    <t>Continuous</t>
  </si>
  <si>
    <t>220KV_220KV DAMOH - KATNI LINE</t>
  </si>
  <si>
    <t>TOWER STRENGTHENING WORK</t>
  </si>
  <si>
    <t>24-11-2025 09:00:00</t>
  </si>
  <si>
    <t>29-11-2025 18:00:00</t>
  </si>
  <si>
    <t>M.M. BAIG</t>
  </si>
  <si>
    <t>9425805067</t>
  </si>
  <si>
    <t>MR2511/0030</t>
  </si>
  <si>
    <t>132KV_132kV - Deolond - Beohari Ckt</t>
  </si>
  <si>
    <t>132KV_DEVLOND</t>
  </si>
  <si>
    <t>OPGW Work</t>
  </si>
  <si>
    <t>G.L Sahu</t>
  </si>
  <si>
    <t>MR2511/0031</t>
  </si>
  <si>
    <t>132KV_132kV Deolond - Jhinna Ckt</t>
  </si>
  <si>
    <t>MR2511/0529</t>
  </si>
  <si>
    <t>220KV_220KV BUS COUPLER</t>
  </si>
  <si>
    <t>220KV_GUDGAON2</t>
  </si>
  <si>
    <t>TAN DELTA &amp; CAP MEASUREMENT</t>
  </si>
  <si>
    <t>25-11-2025 11:00:00</t>
  </si>
  <si>
    <t>25-11-2025 13:00:00</t>
  </si>
  <si>
    <t>ER SANJAY KUMAR PAWAR</t>
  </si>
  <si>
    <t>9425802293</t>
  </si>
  <si>
    <t>MR2511/0530</t>
  </si>
  <si>
    <t>220KV_220KV BUS TIE</t>
  </si>
  <si>
    <t>TAN DELTA AND CAP MEASUREMENT</t>
  </si>
  <si>
    <t>25-11-2025 14:00:00</t>
  </si>
  <si>
    <t>25-11-2025 16:00:00</t>
  </si>
  <si>
    <t>MR2511/0517</t>
  </si>
  <si>
    <t>132KV_63 MVA BBL X-mer</t>
  </si>
  <si>
    <t>132KV_HATTA</t>
  </si>
  <si>
    <t>CT Replacemant work</t>
  </si>
  <si>
    <t>B K Sahu</t>
  </si>
  <si>
    <t>9425801433</t>
  </si>
  <si>
    <t>MR2511/0441</t>
  </si>
  <si>
    <t>132KV_132 kV Jabalpur- Madhotal Ckt-I</t>
  </si>
  <si>
    <t>220KV_JABALPUR</t>
  </si>
  <si>
    <t>Tower erection &amp; stringing work at loc. 30R, 31R &amp;</t>
  </si>
  <si>
    <t>21-11-2025 08:00:00</t>
  </si>
  <si>
    <t>28-11-2025 16:00:00</t>
  </si>
  <si>
    <t>Jitendra Tiwari</t>
  </si>
  <si>
    <t>9425805298</t>
  </si>
  <si>
    <t>MR2511/0443</t>
  </si>
  <si>
    <t>132KV_132 kV Jabalpur- Madhotal ckt-II</t>
  </si>
  <si>
    <t>Tower erection &amp; stringing at loc. 30R, 31R &amp; 32R</t>
  </si>
  <si>
    <t>400KV_KATNI4</t>
  </si>
  <si>
    <t>OCCM-MP</t>
  </si>
  <si>
    <t>MR2510/0488</t>
  </si>
  <si>
    <t>400KV_400KV KATNI - DAMOH LINE</t>
  </si>
  <si>
    <t>MR2510/0550</t>
  </si>
  <si>
    <t>MR2511/0532</t>
  </si>
  <si>
    <t>132KV_132 kV Chhatarpurâ¿¿Khajuraho  Ckt-1 Tap  Lovkushnagar Line.</t>
  </si>
  <si>
    <t>132KV_LAUNDI</t>
  </si>
  <si>
    <t>AH/VD Tightening &amp; other line maintenance work</t>
  </si>
  <si>
    <t>25-11-2025 10:00:00</t>
  </si>
  <si>
    <t>25-11-2025 18:00:00</t>
  </si>
  <si>
    <t>Manoj Kumar Tiwari</t>
  </si>
  <si>
    <t>9425804993</t>
  </si>
  <si>
    <t>MR2511/0499</t>
  </si>
  <si>
    <t>132KV_JABALPUR NO.2</t>
  </si>
  <si>
    <t>132KV_MADHOTAL</t>
  </si>
  <si>
    <t>Main &amp; auxiliary  Isolator replacement work</t>
  </si>
  <si>
    <t>24-11-2025 10:00:00</t>
  </si>
  <si>
    <t>ER. SHRI A.K. PANDEY</t>
  </si>
  <si>
    <t>9424645081</t>
  </si>
  <si>
    <t>MR2511/0180</t>
  </si>
  <si>
    <t>220KV_Only Main CB of Nagda-Nagra ckt-2 bay</t>
  </si>
  <si>
    <t>400KV_NAGDA4</t>
  </si>
  <si>
    <t>For replacement of main CB of nagra ckt-2 bay</t>
  </si>
  <si>
    <t>10-11-2025 09:00:00</t>
  </si>
  <si>
    <t>30-11-2025 17:00:00</t>
  </si>
  <si>
    <t>Sunil Bamniya</t>
  </si>
  <si>
    <t>9425820045</t>
  </si>
  <si>
    <t>MR2511/0524</t>
  </si>
  <si>
    <t>40MVA_132/33KV_EMCO_X'mer_1</t>
  </si>
  <si>
    <t>132KV_NAGOD</t>
  </si>
  <si>
    <t>POST MANSOON MAINTENANCE WORK ON 50 MVA X-MER TAL</t>
  </si>
  <si>
    <t>ARUN KOL</t>
  </si>
  <si>
    <t>8319677721</t>
  </si>
  <si>
    <t>MR2511/0519</t>
  </si>
  <si>
    <t>132KV_50MVA XMER NO 02</t>
  </si>
  <si>
    <t>220KV_PICHHORE</t>
  </si>
  <si>
    <t>XMER OIL TOPPING WORK</t>
  </si>
  <si>
    <t>25-11-2025 12:00:00</t>
  </si>
  <si>
    <t>Virendra K ahirwar</t>
  </si>
  <si>
    <t>9425801438</t>
  </si>
  <si>
    <t>MR2510/0205</t>
  </si>
  <si>
    <t>400KV_400KV Rajgarh- SSP Ckt-2</t>
  </si>
  <si>
    <t>400KV_RAJGARH-PG</t>
  </si>
  <si>
    <t>NON-OCCM-WR</t>
  </si>
  <si>
    <t>Old disc insulator replacement work</t>
  </si>
  <si>
    <t>16-11-2025 08:00:00</t>
  </si>
  <si>
    <t>30-11-2025 18:00:00</t>
  </si>
  <si>
    <t>V.RPanadia</t>
  </si>
  <si>
    <t>8120516165</t>
  </si>
  <si>
    <t>MR2511/0528</t>
  </si>
  <si>
    <t>132KV_132KV Rajmilan-Janakpur ckt</t>
  </si>
  <si>
    <t>132KV_RAJMILAN</t>
  </si>
  <si>
    <t>Disc string replacement work</t>
  </si>
  <si>
    <t>25-11-2025 08:00:00</t>
  </si>
  <si>
    <t>MR2511/0523</t>
  </si>
  <si>
    <t>132KV_132 kv Rewa Interconnector Ckt-1   Feeder</t>
  </si>
  <si>
    <t>220KV_REWA</t>
  </si>
  <si>
    <t>replacement of flash over disc at loc. no. 27, 29</t>
  </si>
  <si>
    <t>Mr. Ajay Kumar Chaurasia</t>
  </si>
  <si>
    <t>9425805081</t>
  </si>
  <si>
    <t>MR2511/0026</t>
  </si>
  <si>
    <t>132KV_132KV REWA-RAMPUR NAIKIN CKT</t>
  </si>
  <si>
    <t>OPGW HOT LINE WORK</t>
  </si>
  <si>
    <t>MR2511/0533</t>
  </si>
  <si>
    <t>132KV_132 kv Satna  â¿¿  Rampur Baghelan line</t>
  </si>
  <si>
    <t>132KV_SATNA1</t>
  </si>
  <si>
    <t>Line maintenance work</t>
  </si>
  <si>
    <t>Mr. R.K.Prajapati</t>
  </si>
  <si>
    <t>9407070182</t>
  </si>
  <si>
    <t>MR2511/0484</t>
  </si>
  <si>
    <t>400KV_SARNI INDIRASAGAR LINE</t>
  </si>
  <si>
    <t>400KV_SATPURA TPS</t>
  </si>
  <si>
    <t>OPGW STRINGING WORK</t>
  </si>
  <si>
    <t>25-11-2025 07:00:00</t>
  </si>
  <si>
    <t>25-12-2025 19:00:00</t>
  </si>
  <si>
    <t>SHIV KUMAR</t>
  </si>
  <si>
    <t>9425806917</t>
  </si>
  <si>
    <t>MR2511/0518</t>
  </si>
  <si>
    <t>40MVA_132/33KV_GEC_X'mer_3</t>
  </si>
  <si>
    <t>132KV_SHAHPURA</t>
  </si>
  <si>
    <t>POST MANSOON MAINTANANCE WORK</t>
  </si>
  <si>
    <t>H L KOSHTA</t>
  </si>
  <si>
    <t>7587951105</t>
  </si>
  <si>
    <t>MR2511/0494</t>
  </si>
  <si>
    <t>220KV_220KV Shivpuri SeiSunshine Ckt IInd</t>
  </si>
  <si>
    <t>220KV_SHIVPURI</t>
  </si>
  <si>
    <t>for ABT meter calibration in GSS end.</t>
  </si>
  <si>
    <t>25-11-2025 23:00:00</t>
  </si>
  <si>
    <t>SURAJ PAWAR</t>
  </si>
  <si>
    <t>9425814079</t>
  </si>
  <si>
    <t>MR2511/0527</t>
  </si>
  <si>
    <t>132KV_132/33KV 20 MVA GEC X-MER</t>
  </si>
  <si>
    <t>220KV_SIDHI</t>
  </si>
  <si>
    <t>POST MANSOON MAINTENCE AND TESTING WORK</t>
  </si>
  <si>
    <t>ARSHAD QURESHI</t>
  </si>
  <si>
    <t>7000771014</t>
  </si>
  <si>
    <t>MR2511/0025</t>
  </si>
  <si>
    <t>132KV_132KV REWA-Jhinna</t>
  </si>
  <si>
    <t>MR2511/0520</t>
  </si>
  <si>
    <t>220KV_160 MVA IMP X-Mer</t>
  </si>
  <si>
    <t>220KV_SIRMOUR</t>
  </si>
  <si>
    <t>For Oil Topping Work</t>
  </si>
  <si>
    <t>25-11-2025 15:00:00</t>
  </si>
  <si>
    <t>Sh. Kanisk Singh</t>
  </si>
  <si>
    <t>9425804656</t>
  </si>
  <si>
    <t>ok, through sub ld</t>
  </si>
  <si>
    <t>data confirmation required from communication</t>
  </si>
  <si>
    <t>real time</t>
  </si>
  <si>
    <t>ok</t>
  </si>
  <si>
    <t>as opportunity s/d</t>
  </si>
  <si>
    <t>sub ld</t>
  </si>
  <si>
    <t>deferred due to s/d on 132kv Rewa-Rewa IC 1</t>
  </si>
  <si>
    <t>ok, if required rewa-rampur baghelan ckt shall be taken into service</t>
  </si>
  <si>
    <t>o&amp;m consent erquired</t>
  </si>
  <si>
    <t>ABT consent required</t>
  </si>
  <si>
    <t xml:space="preserve">deferred till 27th due to s/d on 400kv bus at Bina ss </t>
  </si>
  <si>
    <t>confirm the data/telemetry availability during the work</t>
  </si>
  <si>
    <t>220KV-MORENA-SABALGARH-1</t>
  </si>
  <si>
    <t>Bay and line equipment CT, CV, LA and line isolators annual testing and maintenance work</t>
  </si>
  <si>
    <t xml:space="preserve">OK THROUGH SUB LD
All other lines at Sabalgarh to be in service with AR enabled. Morena to be informed. Load to be managed by SLDC MP
</t>
  </si>
  <si>
    <t>220KV-KHANDWA-CHHEGAON-2</t>
  </si>
  <si>
    <t>220KV-REWA-REWA-MP-2</t>
  </si>
  <si>
    <t>400KV-SSP-RAJGARH-2</t>
  </si>
  <si>
    <t>FOR LINE MAINTENANCE WORK i.e. CLEANING OF DISC INSULATORS DURING LINE PATROLLING , REPLACEMENT OF FLASHOVERED DISC INSULATORS, TREE BRANCH CUTTING ETC AT VARIOUS TOWER LOCATIONS</t>
  </si>
  <si>
    <t>for old disc replacement Work &amp; other line maintenance work</t>
  </si>
  <si>
    <t xml:space="preserve">REAL TIME
All other lines at Chhegaon to be in service with AR enabled. No other element shall be effected. WR2 to be informed. Load to be managed by SLDC MP
</t>
  </si>
  <si>
    <t>REAL TIME
ckt-1 to be in service. SLDC MP to manage the load in case of contingency</t>
  </si>
  <si>
    <t xml:space="preserve">OK THROUGH SUB LD
400kV SSP-RAJGARH-PG-T1 (Sensitivity of 27%) and All other ckts at SSP/Rajgarh will be in service. Guj/ WR-2 to be informed. 
</t>
  </si>
  <si>
    <t>25-11-2025 17:59:00</t>
  </si>
  <si>
    <t>400KV-DAMOH-BIRSINGPUR-2</t>
  </si>
  <si>
    <t>POWERGRID_WR2</t>
  </si>
  <si>
    <t xml:space="preserve">DEFERRED DUE TO S/D ON KATNI-DAMOH LINE
400kV DAMOH-PG-BIRSINGPUR-T1 (Senitivity of 26%) and  All other lines at 400 kV Damoh/Birsingpur to be in service. No other element shall be effected. SLDC MP to be informed.
</t>
  </si>
  <si>
    <t>BINA-MP - 400KV - BUS 1</t>
  </si>
  <si>
    <t>STRINGING &amp; EXTENSION WORK OF MAIN BUS</t>
  </si>
  <si>
    <t xml:space="preserve">CONTINUOS
All elements will be in service with Bus-2, In case N-1 Bhopal-2, JP Bina, Bina(PG)-2, ICT-3 will be in service and all other elements  Bina(PG)-1,2,4, ICT-1,2 would be out. Load will be managed by SLDC MP.  
</t>
  </si>
  <si>
    <t>25-11-2025 16:59:00</t>
  </si>
  <si>
    <t>400KV-SSP-RAJGARH-1</t>
  </si>
  <si>
    <t>A/R off required in NON AUTO MODE.</t>
  </si>
  <si>
    <t>OK LINE TO BE IN SERVICE
A/R in NA, Line to be in service</t>
  </si>
  <si>
    <t>WR OCCM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</si>
</sst>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1010809]dd\-mm\-yyyy"/>
  </numFmts>
  <fonts count="9" x14ac:knownFonts="1">
    <font>
      <sz val="11"/>
      <color indexed="8"/>
      <name val="Calibri"/>
      <family val="2"/>
      <scheme val="minor"/>
    </font>
    <font>
      <b/>
      <sz val="10"/>
      <color rgb="FF000000"/>
      <name val="Arial"/>
      <family val="2"/>
    </font>
    <font>
      <b/>
      <sz val="12"/>
      <color rgb="FF000000"/>
      <name val="Arial"/>
      <family val="2"/>
    </font>
    <font>
      <sz val="11"/>
      <name val="Calibri"/>
      <family val="2"/>
    </font>
    <font>
      <sz val="10"/>
      <color rgb="FF000000"/>
      <name val="Arial"/>
      <family val="2"/>
    </font>
    <font>
      <b/>
      <sz val="18"/>
      <color rgb="FF000000"/>
      <name val="Arial"/>
      <family val="2"/>
    </font>
    <font>
      <sz val="11"/>
      <name val="Calibri"/>
      <family val="2"/>
      <scheme val="minor"/>
    </font>
    <font>
      <sz val="10"/>
      <name val="Calibri"/>
      <family val="2"/>
      <scheme val="minor"/>
    </font>
    <font>
      <sz val="9"/>
      <name val="Calibri"/>
      <family val="2"/>
      <scheme val="minor"/>
    </font>
  </fonts>
  <fills count="4">
    <fill>
      <patternFill patternType="none"/>
    </fill>
    <fill>
      <patternFill patternType="gray125"/>
    </fill>
    <fill>
      <patternFill patternType="solid">
        <fgColor rgb="FFFFFFFF"/>
      </patternFill>
    </fill>
    <fill>
      <patternFill patternType="solid">
        <fgColor rgb="FFFFFF00"/>
        <bgColor indexed="64"/>
      </patternFill>
    </fill>
  </fills>
  <borders count="5">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5">
    <xf numFmtId="0" fontId="0" fillId="0" borderId="0" xfId="0"/>
    <xf numFmtId="0" fontId="1" fillId="2" borderId="1" xfId="0" applyFont="1" applyFill="1" applyBorder="1" applyAlignment="1">
      <alignment horizontal="center" vertical="center"/>
    </xf>
    <xf numFmtId="164" fontId="1" fillId="2" borderId="1" xfId="0" applyNumberFormat="1" applyFont="1" applyFill="1" applyBorder="1" applyAlignment="1">
      <alignment horizontal="center" vertical="center"/>
    </xf>
    <xf numFmtId="164" fontId="4" fillId="0" borderId="1" xfId="0" applyNumberFormat="1" applyFont="1" applyBorder="1" applyAlignment="1">
      <alignment horizontal="center" vertical="center"/>
    </xf>
    <xf numFmtId="0" fontId="1" fillId="2" borderId="1" xfId="0" applyFont="1" applyFill="1" applyBorder="1" applyAlignment="1">
      <alignment horizontal="center" vertical="center" wrapText="1"/>
    </xf>
    <xf numFmtId="0" fontId="0" fillId="0" borderId="0" xfId="0" applyAlignment="1">
      <alignment wrapText="1"/>
    </xf>
    <xf numFmtId="0" fontId="2" fillId="2" borderId="1" xfId="0" applyFont="1" applyFill="1" applyBorder="1" applyAlignment="1">
      <alignment horizontal="center" vertical="center" wrapText="1"/>
    </xf>
    <xf numFmtId="0" fontId="3" fillId="0" borderId="2" xfId="0" applyFont="1" applyBorder="1"/>
    <xf numFmtId="0" fontId="3" fillId="0" borderId="3" xfId="0" applyFont="1" applyBorder="1"/>
    <xf numFmtId="164" fontId="5" fillId="2" borderId="1" xfId="0" applyNumberFormat="1" applyFont="1" applyFill="1" applyBorder="1" applyAlignment="1">
      <alignment horizontal="center" vertical="center"/>
    </xf>
    <xf numFmtId="0" fontId="6" fillId="3" borderId="4" xfId="0" applyFont="1" applyFill="1" applyBorder="1" applyAlignment="1">
      <alignment horizontal="center" vertical="center" wrapText="1"/>
    </xf>
    <xf numFmtId="0" fontId="7" fillId="3" borderId="4" xfId="0" applyFont="1" applyFill="1" applyBorder="1" applyAlignment="1">
      <alignment horizontal="center" vertical="center" wrapText="1"/>
    </xf>
    <xf numFmtId="0" fontId="6" fillId="3" borderId="4" xfId="0" applyFont="1" applyFill="1" applyBorder="1" applyAlignment="1">
      <alignment vertical="top" wrapText="1"/>
    </xf>
    <xf numFmtId="0" fontId="1" fillId="2" borderId="1" xfId="0" quotePrefix="1" applyFont="1" applyFill="1" applyBorder="1" applyAlignment="1">
      <alignment horizontal="center" vertical="center" wrapText="1"/>
    </xf>
    <xf numFmtId="0" fontId="8" fillId="3" borderId="4"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xdr:col>
      <xdr:colOff>224333</xdr:colOff>
      <xdr:row>1</xdr:row>
      <xdr:rowOff>3335</xdr:rowOff>
    </xdr:to>
    <xdr:pic>
      <xdr:nvPicPr>
        <xdr:cNvPr id="2" name="Picture 1" descr="Picture">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stretch>
          <a:fillRect/>
        </a:stretch>
      </xdr:blipFill>
      <xdr:spPr>
        <a:xfrm>
          <a:off x="0" y="0"/>
          <a:ext cx="0" cy="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40"/>
  <sheetViews>
    <sheetView tabSelected="1" workbookViewId="0">
      <selection activeCell="P2" sqref="P2"/>
    </sheetView>
  </sheetViews>
  <sheetFormatPr defaultRowHeight="15" x14ac:dyDescent="0.25"/>
  <cols>
    <col min="1" max="1" width="5.7109375" customWidth="1"/>
    <col min="2" max="2" width="10.28515625" customWidth="1"/>
    <col min="3" max="3" width="7.28515625" customWidth="1"/>
    <col min="4" max="4" width="7.7109375" customWidth="1"/>
    <col min="5" max="5" width="31.140625" style="5" customWidth="1"/>
    <col min="6" max="6" width="18.42578125" customWidth="1"/>
    <col min="7" max="7" width="10.28515625" customWidth="1"/>
    <col min="8" max="8" width="27.5703125" customWidth="1"/>
    <col min="9" max="9" width="11.7109375" customWidth="1"/>
    <col min="10" max="10" width="10.5703125" customWidth="1"/>
    <col min="11" max="11" width="9" customWidth="1"/>
    <col min="12" max="12" width="5.7109375" customWidth="1"/>
    <col min="13" max="13" width="32" style="5" customWidth="1"/>
  </cols>
  <sheetData>
    <row r="1" spans="1:13" ht="43.7" customHeight="1" x14ac:dyDescent="0.25">
      <c r="A1" s="1"/>
      <c r="B1" s="6" t="s">
        <v>0</v>
      </c>
      <c r="C1" s="7"/>
      <c r="D1" s="7"/>
      <c r="E1" s="7"/>
      <c r="F1" s="7"/>
      <c r="G1" s="7"/>
      <c r="H1" s="7"/>
      <c r="I1" s="7"/>
      <c r="J1" s="7"/>
      <c r="K1" s="7"/>
      <c r="L1" s="7"/>
      <c r="M1" s="8"/>
    </row>
    <row r="2" spans="1:13" ht="42" customHeight="1" x14ac:dyDescent="0.25">
      <c r="A2" s="4" t="s">
        <v>1</v>
      </c>
      <c r="B2" s="2">
        <v>45986</v>
      </c>
      <c r="C2" s="1"/>
      <c r="D2" s="1"/>
      <c r="E2" s="9">
        <v>45986</v>
      </c>
      <c r="F2" s="1"/>
      <c r="G2" s="1"/>
      <c r="H2" s="1"/>
      <c r="I2" s="1"/>
      <c r="J2" s="1"/>
      <c r="K2" s="1"/>
      <c r="L2" s="1"/>
      <c r="M2" s="4"/>
    </row>
    <row r="3" spans="1:13" ht="42" customHeight="1" x14ac:dyDescent="0.25">
      <c r="A3" s="4" t="s">
        <v>2</v>
      </c>
      <c r="B3" s="4" t="s">
        <v>3</v>
      </c>
      <c r="C3" s="4" t="s">
        <v>4</v>
      </c>
      <c r="D3" s="4" t="s">
        <v>3</v>
      </c>
      <c r="E3" s="4"/>
      <c r="F3" s="1"/>
      <c r="G3" s="1"/>
      <c r="H3" s="1"/>
      <c r="I3" s="1"/>
      <c r="J3" s="1"/>
      <c r="K3" s="1"/>
      <c r="L3" s="1"/>
      <c r="M3" s="4"/>
    </row>
    <row r="4" spans="1:13" ht="42" customHeight="1" x14ac:dyDescent="0.25">
      <c r="A4" s="4" t="s">
        <v>5</v>
      </c>
      <c r="B4" s="4" t="s">
        <v>6</v>
      </c>
      <c r="C4" s="4" t="s">
        <v>7</v>
      </c>
      <c r="D4" s="4" t="s">
        <v>8</v>
      </c>
      <c r="E4" s="4" t="s">
        <v>9</v>
      </c>
      <c r="F4" s="4" t="s">
        <v>10</v>
      </c>
      <c r="G4" s="4" t="s">
        <v>11</v>
      </c>
      <c r="H4" s="4" t="s">
        <v>12</v>
      </c>
      <c r="I4" s="4" t="s">
        <v>13</v>
      </c>
      <c r="J4" s="4" t="s">
        <v>14</v>
      </c>
      <c r="K4" s="4" t="s">
        <v>15</v>
      </c>
      <c r="L4" s="4"/>
      <c r="M4" s="4" t="s">
        <v>16</v>
      </c>
    </row>
    <row r="5" spans="1:13" ht="34.5" customHeight="1" x14ac:dyDescent="0.25">
      <c r="A5" s="4">
        <v>1</v>
      </c>
      <c r="B5" s="3">
        <v>45985.56627314815</v>
      </c>
      <c r="C5" s="4" t="s">
        <v>17</v>
      </c>
      <c r="D5" s="4"/>
      <c r="E5" s="4" t="s">
        <v>18</v>
      </c>
      <c r="F5" s="4" t="s">
        <v>19</v>
      </c>
      <c r="G5" s="4" t="s">
        <v>20</v>
      </c>
      <c r="H5" s="4" t="s">
        <v>21</v>
      </c>
      <c r="I5" s="4" t="s">
        <v>22</v>
      </c>
      <c r="J5" s="4" t="s">
        <v>23</v>
      </c>
      <c r="K5" s="4" t="s">
        <v>24</v>
      </c>
      <c r="L5" s="4" t="s">
        <v>25</v>
      </c>
      <c r="M5" s="4" t="s">
        <v>192</v>
      </c>
    </row>
    <row r="6" spans="1:13" ht="34.5" customHeight="1" x14ac:dyDescent="0.25">
      <c r="A6" s="4">
        <f>A5+1</f>
        <v>2</v>
      </c>
      <c r="B6" s="3">
        <v>45963.700092592589</v>
      </c>
      <c r="C6" s="4" t="s">
        <v>26</v>
      </c>
      <c r="D6" s="4" t="s">
        <v>27</v>
      </c>
      <c r="E6" s="4" t="s">
        <v>28</v>
      </c>
      <c r="F6" s="4" t="s">
        <v>29</v>
      </c>
      <c r="G6" s="4" t="s">
        <v>20</v>
      </c>
      <c r="H6" s="4" t="s">
        <v>30</v>
      </c>
      <c r="I6" s="4" t="s">
        <v>31</v>
      </c>
      <c r="J6" s="4" t="s">
        <v>32</v>
      </c>
      <c r="K6" s="4" t="s">
        <v>33</v>
      </c>
      <c r="L6" s="4" t="s">
        <v>34</v>
      </c>
      <c r="M6" s="4" t="s">
        <v>193</v>
      </c>
    </row>
    <row r="7" spans="1:13" ht="34.5" customHeight="1" x14ac:dyDescent="0.25">
      <c r="A7" s="4">
        <f t="shared" ref="A7:A30" si="0">A6+1</f>
        <v>3</v>
      </c>
      <c r="B7" s="3">
        <v>45985.656458333331</v>
      </c>
      <c r="C7" s="4" t="s">
        <v>35</v>
      </c>
      <c r="D7" s="4" t="s">
        <v>27</v>
      </c>
      <c r="E7" s="4" t="s">
        <v>36</v>
      </c>
      <c r="F7" s="4" t="s">
        <v>37</v>
      </c>
      <c r="G7" s="4" t="s">
        <v>20</v>
      </c>
      <c r="H7" s="4" t="s">
        <v>38</v>
      </c>
      <c r="I7" s="4" t="s">
        <v>22</v>
      </c>
      <c r="J7" s="4" t="s">
        <v>39</v>
      </c>
      <c r="K7" s="4" t="s">
        <v>40</v>
      </c>
      <c r="L7" s="4" t="s">
        <v>41</v>
      </c>
      <c r="M7" s="4" t="s">
        <v>202</v>
      </c>
    </row>
    <row r="8" spans="1:13" ht="34.5" customHeight="1" x14ac:dyDescent="0.25">
      <c r="A8" s="4">
        <f t="shared" si="0"/>
        <v>4</v>
      </c>
      <c r="B8" s="3">
        <v>45964.491226851853</v>
      </c>
      <c r="C8" s="4" t="s">
        <v>49</v>
      </c>
      <c r="D8" s="4" t="s">
        <v>27</v>
      </c>
      <c r="E8" s="4" t="s">
        <v>50</v>
      </c>
      <c r="F8" s="4" t="s">
        <v>51</v>
      </c>
      <c r="G8" s="4" t="s">
        <v>20</v>
      </c>
      <c r="H8" s="4" t="s">
        <v>52</v>
      </c>
      <c r="I8" s="4" t="s">
        <v>31</v>
      </c>
      <c r="J8" s="4" t="s">
        <v>32</v>
      </c>
      <c r="K8" s="4" t="s">
        <v>53</v>
      </c>
      <c r="L8" s="4" t="s">
        <v>34</v>
      </c>
      <c r="M8" s="4" t="s">
        <v>193</v>
      </c>
    </row>
    <row r="9" spans="1:13" ht="34.5" customHeight="1" x14ac:dyDescent="0.25">
      <c r="A9" s="4">
        <f t="shared" si="0"/>
        <v>5</v>
      </c>
      <c r="B9" s="3">
        <v>45964.492615740739</v>
      </c>
      <c r="C9" s="4" t="s">
        <v>54</v>
      </c>
      <c r="D9" s="4" t="s">
        <v>27</v>
      </c>
      <c r="E9" s="4" t="s">
        <v>55</v>
      </c>
      <c r="F9" s="4" t="s">
        <v>51</v>
      </c>
      <c r="G9" s="4" t="s">
        <v>20</v>
      </c>
      <c r="H9" s="4" t="s">
        <v>52</v>
      </c>
      <c r="I9" s="4" t="s">
        <v>31</v>
      </c>
      <c r="J9" s="4" t="s">
        <v>32</v>
      </c>
      <c r="K9" s="4" t="s">
        <v>53</v>
      </c>
      <c r="L9" s="4" t="s">
        <v>34</v>
      </c>
      <c r="M9" s="4" t="s">
        <v>193</v>
      </c>
    </row>
    <row r="10" spans="1:13" ht="34.5" customHeight="1" x14ac:dyDescent="0.25">
      <c r="A10" s="4">
        <f t="shared" si="0"/>
        <v>6</v>
      </c>
      <c r="B10" s="3">
        <v>45985.639976851853</v>
      </c>
      <c r="C10" s="4" t="s">
        <v>56</v>
      </c>
      <c r="D10" s="4"/>
      <c r="E10" s="4" t="s">
        <v>57</v>
      </c>
      <c r="F10" s="4" t="s">
        <v>58</v>
      </c>
      <c r="G10" s="4" t="s">
        <v>20</v>
      </c>
      <c r="H10" s="4" t="s">
        <v>59</v>
      </c>
      <c r="I10" s="4" t="s">
        <v>60</v>
      </c>
      <c r="J10" s="4" t="s">
        <v>61</v>
      </c>
      <c r="K10" s="4" t="s">
        <v>62</v>
      </c>
      <c r="L10" s="4" t="s">
        <v>63</v>
      </c>
      <c r="M10" s="4" t="s">
        <v>192</v>
      </c>
    </row>
    <row r="11" spans="1:13" ht="34.5" customHeight="1" x14ac:dyDescent="0.25">
      <c r="A11" s="4">
        <f t="shared" si="0"/>
        <v>7</v>
      </c>
      <c r="B11" s="3">
        <v>45985.641041666669</v>
      </c>
      <c r="C11" s="4" t="s">
        <v>64</v>
      </c>
      <c r="D11" s="4"/>
      <c r="E11" s="4" t="s">
        <v>65</v>
      </c>
      <c r="F11" s="4" t="s">
        <v>58</v>
      </c>
      <c r="G11" s="4" t="s">
        <v>20</v>
      </c>
      <c r="H11" s="4" t="s">
        <v>66</v>
      </c>
      <c r="I11" s="4" t="s">
        <v>67</v>
      </c>
      <c r="J11" s="4" t="s">
        <v>68</v>
      </c>
      <c r="K11" s="4" t="s">
        <v>62</v>
      </c>
      <c r="L11" s="4" t="s">
        <v>63</v>
      </c>
      <c r="M11" s="4" t="s">
        <v>194</v>
      </c>
    </row>
    <row r="12" spans="1:13" ht="34.5" customHeight="1" x14ac:dyDescent="0.25">
      <c r="A12" s="4">
        <f t="shared" si="0"/>
        <v>8</v>
      </c>
      <c r="B12" s="3">
        <v>45985.50476851852</v>
      </c>
      <c r="C12" s="4" t="s">
        <v>69</v>
      </c>
      <c r="D12" s="4"/>
      <c r="E12" s="4" t="s">
        <v>70</v>
      </c>
      <c r="F12" s="4" t="s">
        <v>71</v>
      </c>
      <c r="G12" s="4" t="s">
        <v>20</v>
      </c>
      <c r="H12" s="4" t="s">
        <v>72</v>
      </c>
      <c r="I12" s="4" t="s">
        <v>60</v>
      </c>
      <c r="J12" s="4" t="s">
        <v>23</v>
      </c>
      <c r="K12" s="4" t="s">
        <v>73</v>
      </c>
      <c r="L12" s="4" t="s">
        <v>74</v>
      </c>
      <c r="M12" s="4" t="s">
        <v>195</v>
      </c>
    </row>
    <row r="13" spans="1:13" ht="34.5" customHeight="1" x14ac:dyDescent="0.25">
      <c r="A13" s="4">
        <f t="shared" si="0"/>
        <v>9</v>
      </c>
      <c r="B13" s="3">
        <v>45981.531319444446</v>
      </c>
      <c r="C13" s="4" t="s">
        <v>75</v>
      </c>
      <c r="D13" s="4" t="s">
        <v>42</v>
      </c>
      <c r="E13" s="4" t="s">
        <v>76</v>
      </c>
      <c r="F13" s="4" t="s">
        <v>77</v>
      </c>
      <c r="G13" s="4" t="s">
        <v>20</v>
      </c>
      <c r="H13" s="4" t="s">
        <v>78</v>
      </c>
      <c r="I13" s="4" t="s">
        <v>79</v>
      </c>
      <c r="J13" s="4" t="s">
        <v>80</v>
      </c>
      <c r="K13" s="4" t="s">
        <v>81</v>
      </c>
      <c r="L13" s="4" t="s">
        <v>82</v>
      </c>
      <c r="M13" s="4" t="s">
        <v>42</v>
      </c>
    </row>
    <row r="14" spans="1:13" ht="34.5" customHeight="1" x14ac:dyDescent="0.25">
      <c r="A14" s="4">
        <f t="shared" si="0"/>
        <v>10</v>
      </c>
      <c r="B14" s="3">
        <v>45981.532766203702</v>
      </c>
      <c r="C14" s="4" t="s">
        <v>83</v>
      </c>
      <c r="D14" s="4" t="s">
        <v>42</v>
      </c>
      <c r="E14" s="4" t="s">
        <v>84</v>
      </c>
      <c r="F14" s="4" t="s">
        <v>77</v>
      </c>
      <c r="G14" s="4" t="s">
        <v>20</v>
      </c>
      <c r="H14" s="4" t="s">
        <v>85</v>
      </c>
      <c r="I14" s="4" t="s">
        <v>79</v>
      </c>
      <c r="J14" s="4" t="s">
        <v>80</v>
      </c>
      <c r="K14" s="4" t="s">
        <v>81</v>
      </c>
      <c r="L14" s="4" t="s">
        <v>82</v>
      </c>
      <c r="M14" s="4" t="s">
        <v>42</v>
      </c>
    </row>
    <row r="15" spans="1:13" ht="34.5" customHeight="1" x14ac:dyDescent="0.25">
      <c r="A15" s="4">
        <f t="shared" si="0"/>
        <v>11</v>
      </c>
      <c r="B15" s="3">
        <v>45946.770590277774</v>
      </c>
      <c r="C15" s="4" t="s">
        <v>88</v>
      </c>
      <c r="D15" s="4" t="s">
        <v>42</v>
      </c>
      <c r="E15" s="4" t="s">
        <v>89</v>
      </c>
      <c r="F15" s="4" t="s">
        <v>86</v>
      </c>
      <c r="G15" s="4" t="s">
        <v>87</v>
      </c>
      <c r="H15" s="4" t="s">
        <v>44</v>
      </c>
      <c r="I15" s="4" t="s">
        <v>45</v>
      </c>
      <c r="J15" s="4" t="s">
        <v>46</v>
      </c>
      <c r="K15" s="4" t="s">
        <v>47</v>
      </c>
      <c r="L15" s="4" t="s">
        <v>48</v>
      </c>
      <c r="M15" s="4" t="s">
        <v>42</v>
      </c>
    </row>
    <row r="16" spans="1:13" ht="34.5" customHeight="1" x14ac:dyDescent="0.25">
      <c r="A16" s="4">
        <f t="shared" si="0"/>
        <v>12</v>
      </c>
      <c r="B16" s="3">
        <v>45953.714629629627</v>
      </c>
      <c r="C16" s="4" t="s">
        <v>90</v>
      </c>
      <c r="D16" s="4" t="s">
        <v>42</v>
      </c>
      <c r="E16" s="4" t="s">
        <v>43</v>
      </c>
      <c r="F16" s="4" t="s">
        <v>86</v>
      </c>
      <c r="G16" s="4" t="s">
        <v>20</v>
      </c>
      <c r="H16" s="4" t="s">
        <v>44</v>
      </c>
      <c r="I16" s="4" t="s">
        <v>45</v>
      </c>
      <c r="J16" s="4" t="s">
        <v>46</v>
      </c>
      <c r="K16" s="4" t="s">
        <v>47</v>
      </c>
      <c r="L16" s="4" t="s">
        <v>48</v>
      </c>
      <c r="M16" s="4" t="s">
        <v>42</v>
      </c>
    </row>
    <row r="17" spans="1:13" ht="34.5" customHeight="1" x14ac:dyDescent="0.25">
      <c r="A17" s="4">
        <f t="shared" si="0"/>
        <v>13</v>
      </c>
      <c r="B17" s="3">
        <v>45985.674861111111</v>
      </c>
      <c r="C17" s="4" t="s">
        <v>91</v>
      </c>
      <c r="D17" s="4"/>
      <c r="E17" s="4" t="s">
        <v>92</v>
      </c>
      <c r="F17" s="4" t="s">
        <v>93</v>
      </c>
      <c r="G17" s="4" t="s">
        <v>20</v>
      </c>
      <c r="H17" s="4" t="s">
        <v>94</v>
      </c>
      <c r="I17" s="4" t="s">
        <v>95</v>
      </c>
      <c r="J17" s="4" t="s">
        <v>96</v>
      </c>
      <c r="K17" s="4" t="s">
        <v>97</v>
      </c>
      <c r="L17" s="4" t="s">
        <v>98</v>
      </c>
      <c r="M17" s="4" t="s">
        <v>195</v>
      </c>
    </row>
    <row r="18" spans="1:13" ht="34.5" customHeight="1" x14ac:dyDescent="0.25">
      <c r="A18" s="4">
        <f t="shared" si="0"/>
        <v>14</v>
      </c>
      <c r="B18" s="3">
        <v>45983.717835648145</v>
      </c>
      <c r="C18" s="4" t="s">
        <v>99</v>
      </c>
      <c r="D18" s="4" t="s">
        <v>42</v>
      </c>
      <c r="E18" s="4" t="s">
        <v>100</v>
      </c>
      <c r="F18" s="4" t="s">
        <v>101</v>
      </c>
      <c r="G18" s="4" t="s">
        <v>20</v>
      </c>
      <c r="H18" s="4" t="s">
        <v>102</v>
      </c>
      <c r="I18" s="4" t="s">
        <v>103</v>
      </c>
      <c r="J18" s="4" t="s">
        <v>96</v>
      </c>
      <c r="K18" s="4" t="s">
        <v>104</v>
      </c>
      <c r="L18" s="4" t="s">
        <v>105</v>
      </c>
      <c r="M18" s="4" t="s">
        <v>196</v>
      </c>
    </row>
    <row r="19" spans="1:13" ht="34.5" customHeight="1" x14ac:dyDescent="0.25">
      <c r="A19" s="4">
        <f t="shared" si="0"/>
        <v>15</v>
      </c>
      <c r="B19" s="3">
        <v>45970.434675925928</v>
      </c>
      <c r="C19" s="4" t="s">
        <v>106</v>
      </c>
      <c r="D19" s="4" t="s">
        <v>42</v>
      </c>
      <c r="E19" s="4" t="s">
        <v>107</v>
      </c>
      <c r="F19" s="4" t="s">
        <v>108</v>
      </c>
      <c r="G19" s="4" t="s">
        <v>20</v>
      </c>
      <c r="H19" s="4" t="s">
        <v>109</v>
      </c>
      <c r="I19" s="4" t="s">
        <v>110</v>
      </c>
      <c r="J19" s="4" t="s">
        <v>111</v>
      </c>
      <c r="K19" s="4" t="s">
        <v>112</v>
      </c>
      <c r="L19" s="4" t="s">
        <v>113</v>
      </c>
      <c r="M19" s="4" t="s">
        <v>42</v>
      </c>
    </row>
    <row r="20" spans="1:13" ht="34.5" customHeight="1" x14ac:dyDescent="0.25">
      <c r="A20" s="4">
        <f t="shared" si="0"/>
        <v>16</v>
      </c>
      <c r="B20" s="3">
        <v>45985.561354166668</v>
      </c>
      <c r="C20" s="4" t="s">
        <v>114</v>
      </c>
      <c r="D20" s="4"/>
      <c r="E20" s="4" t="s">
        <v>115</v>
      </c>
      <c r="F20" s="4" t="s">
        <v>116</v>
      </c>
      <c r="G20" s="4" t="s">
        <v>20</v>
      </c>
      <c r="H20" s="4" t="s">
        <v>117</v>
      </c>
      <c r="I20" s="4" t="s">
        <v>60</v>
      </c>
      <c r="J20" s="4" t="s">
        <v>23</v>
      </c>
      <c r="K20" s="4" t="s">
        <v>118</v>
      </c>
      <c r="L20" s="4" t="s">
        <v>119</v>
      </c>
      <c r="M20" s="4" t="s">
        <v>195</v>
      </c>
    </row>
    <row r="21" spans="1:13" ht="34.5" customHeight="1" x14ac:dyDescent="0.25">
      <c r="A21" s="4">
        <f t="shared" si="0"/>
        <v>17</v>
      </c>
      <c r="B21" s="3">
        <v>45985.523657407408</v>
      </c>
      <c r="C21" s="4" t="s">
        <v>120</v>
      </c>
      <c r="D21" s="4"/>
      <c r="E21" s="4" t="s">
        <v>121</v>
      </c>
      <c r="F21" s="4" t="s">
        <v>122</v>
      </c>
      <c r="G21" s="4" t="s">
        <v>20</v>
      </c>
      <c r="H21" s="4" t="s">
        <v>123</v>
      </c>
      <c r="I21" s="4" t="s">
        <v>124</v>
      </c>
      <c r="J21" s="4" t="s">
        <v>67</v>
      </c>
      <c r="K21" s="4" t="s">
        <v>125</v>
      </c>
      <c r="L21" s="4" t="s">
        <v>126</v>
      </c>
      <c r="M21" s="4" t="s">
        <v>197</v>
      </c>
    </row>
    <row r="22" spans="1:13" ht="34.5" customHeight="1" x14ac:dyDescent="0.25">
      <c r="A22" s="4">
        <f t="shared" si="0"/>
        <v>18</v>
      </c>
      <c r="B22" s="3">
        <v>45938.524513888886</v>
      </c>
      <c r="C22" s="4" t="s">
        <v>127</v>
      </c>
      <c r="D22" s="4" t="s">
        <v>27</v>
      </c>
      <c r="E22" s="4" t="s">
        <v>128</v>
      </c>
      <c r="F22" s="4" t="s">
        <v>129</v>
      </c>
      <c r="G22" s="4" t="s">
        <v>130</v>
      </c>
      <c r="H22" s="4" t="s">
        <v>131</v>
      </c>
      <c r="I22" s="4" t="s">
        <v>132</v>
      </c>
      <c r="J22" s="4" t="s">
        <v>133</v>
      </c>
      <c r="K22" s="4" t="s">
        <v>134</v>
      </c>
      <c r="L22" s="4" t="s">
        <v>135</v>
      </c>
      <c r="M22" s="4" t="s">
        <v>192</v>
      </c>
    </row>
    <row r="23" spans="1:13" ht="34.5" customHeight="1" x14ac:dyDescent="0.25">
      <c r="A23" s="4">
        <f t="shared" si="0"/>
        <v>19</v>
      </c>
      <c r="B23" s="3">
        <v>45985.591886574075</v>
      </c>
      <c r="C23" s="4" t="s">
        <v>136</v>
      </c>
      <c r="D23" s="4"/>
      <c r="E23" s="4" t="s">
        <v>137</v>
      </c>
      <c r="F23" s="4" t="s">
        <v>138</v>
      </c>
      <c r="G23" s="4" t="s">
        <v>20</v>
      </c>
      <c r="H23" s="4" t="s">
        <v>139</v>
      </c>
      <c r="I23" s="4" t="s">
        <v>140</v>
      </c>
      <c r="J23" s="4" t="s">
        <v>23</v>
      </c>
      <c r="K23" s="4" t="s">
        <v>33</v>
      </c>
      <c r="L23" s="4" t="s">
        <v>34</v>
      </c>
      <c r="M23" s="4" t="s">
        <v>195</v>
      </c>
    </row>
    <row r="24" spans="1:13" ht="34.5" customHeight="1" x14ac:dyDescent="0.25">
      <c r="A24" s="4">
        <f t="shared" si="0"/>
        <v>20</v>
      </c>
      <c r="B24" s="3">
        <v>45985.56046296296</v>
      </c>
      <c r="C24" s="4" t="s">
        <v>141</v>
      </c>
      <c r="D24" s="4"/>
      <c r="E24" s="4" t="s">
        <v>142</v>
      </c>
      <c r="F24" s="4" t="s">
        <v>143</v>
      </c>
      <c r="G24" s="4" t="s">
        <v>20</v>
      </c>
      <c r="H24" s="4" t="s">
        <v>144</v>
      </c>
      <c r="I24" s="4" t="s">
        <v>95</v>
      </c>
      <c r="J24" s="4" t="s">
        <v>23</v>
      </c>
      <c r="K24" s="4" t="s">
        <v>145</v>
      </c>
      <c r="L24" s="4" t="s">
        <v>146</v>
      </c>
      <c r="M24" s="4" t="s">
        <v>199</v>
      </c>
    </row>
    <row r="25" spans="1:13" ht="34.5" customHeight="1" x14ac:dyDescent="0.25">
      <c r="A25" s="4">
        <f t="shared" si="0"/>
        <v>21</v>
      </c>
      <c r="B25" s="3">
        <v>45963.714502314811</v>
      </c>
      <c r="C25" s="4" t="s">
        <v>147</v>
      </c>
      <c r="D25" s="4" t="s">
        <v>27</v>
      </c>
      <c r="E25" s="4" t="s">
        <v>148</v>
      </c>
      <c r="F25" s="4" t="s">
        <v>143</v>
      </c>
      <c r="G25" s="4" t="s">
        <v>20</v>
      </c>
      <c r="H25" s="4" t="s">
        <v>149</v>
      </c>
      <c r="I25" s="4" t="s">
        <v>31</v>
      </c>
      <c r="J25" s="4" t="s">
        <v>32</v>
      </c>
      <c r="K25" s="4" t="s">
        <v>33</v>
      </c>
      <c r="L25" s="4" t="s">
        <v>34</v>
      </c>
      <c r="M25" s="4" t="s">
        <v>193</v>
      </c>
    </row>
    <row r="26" spans="1:13" ht="34.5" customHeight="1" x14ac:dyDescent="0.25">
      <c r="A26" s="4">
        <f t="shared" si="0"/>
        <v>22</v>
      </c>
      <c r="B26" s="3">
        <v>45985.67633101852</v>
      </c>
      <c r="C26" s="4" t="s">
        <v>150</v>
      </c>
      <c r="D26" s="4"/>
      <c r="E26" s="4" t="s">
        <v>151</v>
      </c>
      <c r="F26" s="4" t="s">
        <v>152</v>
      </c>
      <c r="G26" s="4" t="s">
        <v>20</v>
      </c>
      <c r="H26" s="4" t="s">
        <v>153</v>
      </c>
      <c r="I26" s="4" t="s">
        <v>60</v>
      </c>
      <c r="J26" s="4" t="s">
        <v>23</v>
      </c>
      <c r="K26" s="4" t="s">
        <v>154</v>
      </c>
      <c r="L26" s="4" t="s">
        <v>155</v>
      </c>
      <c r="M26" s="4" t="s">
        <v>198</v>
      </c>
    </row>
    <row r="27" spans="1:13" ht="34.5" customHeight="1" x14ac:dyDescent="0.25">
      <c r="A27" s="4">
        <f t="shared" si="0"/>
        <v>23</v>
      </c>
      <c r="B27" s="3">
        <v>45982.62771990741</v>
      </c>
      <c r="C27" s="4" t="s">
        <v>156</v>
      </c>
      <c r="D27" s="4" t="s">
        <v>27</v>
      </c>
      <c r="E27" s="4" t="s">
        <v>157</v>
      </c>
      <c r="F27" s="4" t="s">
        <v>158</v>
      </c>
      <c r="G27" s="4" t="s">
        <v>20</v>
      </c>
      <c r="H27" s="4" t="s">
        <v>159</v>
      </c>
      <c r="I27" s="4" t="s">
        <v>160</v>
      </c>
      <c r="J27" s="4" t="s">
        <v>161</v>
      </c>
      <c r="K27" s="4" t="s">
        <v>162</v>
      </c>
      <c r="L27" s="4" t="s">
        <v>163</v>
      </c>
      <c r="M27" s="4" t="s">
        <v>203</v>
      </c>
    </row>
    <row r="28" spans="1:13" ht="34.5" customHeight="1" x14ac:dyDescent="0.25">
      <c r="A28" s="4">
        <f t="shared" si="0"/>
        <v>24</v>
      </c>
      <c r="B28" s="3">
        <v>45985.522106481483</v>
      </c>
      <c r="C28" s="4" t="s">
        <v>164</v>
      </c>
      <c r="D28" s="4"/>
      <c r="E28" s="4" t="s">
        <v>165</v>
      </c>
      <c r="F28" s="4" t="s">
        <v>166</v>
      </c>
      <c r="G28" s="4" t="s">
        <v>20</v>
      </c>
      <c r="H28" s="4" t="s">
        <v>167</v>
      </c>
      <c r="I28" s="4" t="s">
        <v>95</v>
      </c>
      <c r="J28" s="4" t="s">
        <v>96</v>
      </c>
      <c r="K28" s="4" t="s">
        <v>168</v>
      </c>
      <c r="L28" s="4" t="s">
        <v>169</v>
      </c>
      <c r="M28" s="4" t="s">
        <v>200</v>
      </c>
    </row>
    <row r="29" spans="1:13" ht="34.5" customHeight="1" x14ac:dyDescent="0.25">
      <c r="A29" s="4">
        <f t="shared" si="0"/>
        <v>25</v>
      </c>
      <c r="B29" s="3">
        <v>45983.613900462966</v>
      </c>
      <c r="C29" s="4" t="s">
        <v>170</v>
      </c>
      <c r="D29" s="4"/>
      <c r="E29" s="4" t="s">
        <v>171</v>
      </c>
      <c r="F29" s="4" t="s">
        <v>172</v>
      </c>
      <c r="G29" s="4" t="s">
        <v>20</v>
      </c>
      <c r="H29" s="4" t="s">
        <v>173</v>
      </c>
      <c r="I29" s="4" t="s">
        <v>68</v>
      </c>
      <c r="J29" s="4" t="s">
        <v>174</v>
      </c>
      <c r="K29" s="4" t="s">
        <v>175</v>
      </c>
      <c r="L29" s="4" t="s">
        <v>176</v>
      </c>
      <c r="M29" s="4" t="s">
        <v>201</v>
      </c>
    </row>
    <row r="30" spans="1:13" ht="34.5" customHeight="1" x14ac:dyDescent="0.25">
      <c r="A30" s="4">
        <f t="shared" si="0"/>
        <v>26</v>
      </c>
      <c r="B30" s="3">
        <v>45985.587465277778</v>
      </c>
      <c r="C30" s="4" t="s">
        <v>177</v>
      </c>
      <c r="D30" s="4"/>
      <c r="E30" s="4" t="s">
        <v>178</v>
      </c>
      <c r="F30" s="4" t="s">
        <v>179</v>
      </c>
      <c r="G30" s="4" t="s">
        <v>20</v>
      </c>
      <c r="H30" s="4" t="s">
        <v>180</v>
      </c>
      <c r="I30" s="4" t="s">
        <v>22</v>
      </c>
      <c r="J30" s="4" t="s">
        <v>96</v>
      </c>
      <c r="K30" s="4" t="s">
        <v>181</v>
      </c>
      <c r="L30" s="4" t="s">
        <v>182</v>
      </c>
      <c r="M30" s="4" t="s">
        <v>195</v>
      </c>
    </row>
    <row r="31" spans="1:13" ht="34.5" customHeight="1" x14ac:dyDescent="0.25">
      <c r="A31" s="4">
        <f t="shared" ref="A31" si="1">A30+1</f>
        <v>27</v>
      </c>
      <c r="B31" s="3">
        <v>45963.711967592593</v>
      </c>
      <c r="C31" s="4" t="s">
        <v>183</v>
      </c>
      <c r="D31" s="4" t="s">
        <v>27</v>
      </c>
      <c r="E31" s="4" t="s">
        <v>184</v>
      </c>
      <c r="F31" s="4" t="s">
        <v>179</v>
      </c>
      <c r="G31" s="4" t="s">
        <v>20</v>
      </c>
      <c r="H31" s="4" t="s">
        <v>149</v>
      </c>
      <c r="I31" s="4" t="s">
        <v>31</v>
      </c>
      <c r="J31" s="4" t="s">
        <v>32</v>
      </c>
      <c r="K31" s="4" t="s">
        <v>33</v>
      </c>
      <c r="L31" s="4" t="s">
        <v>34</v>
      </c>
      <c r="M31" s="4" t="s">
        <v>193</v>
      </c>
    </row>
    <row r="32" spans="1:13" ht="34.5" customHeight="1" x14ac:dyDescent="0.25">
      <c r="A32" s="4">
        <f t="shared" ref="A32:A39" si="2">A31+1</f>
        <v>28</v>
      </c>
      <c r="B32" s="3">
        <v>45985.524953703702</v>
      </c>
      <c r="C32" s="4" t="s">
        <v>185</v>
      </c>
      <c r="D32" s="4"/>
      <c r="E32" s="4" t="s">
        <v>186</v>
      </c>
      <c r="F32" s="4" t="s">
        <v>187</v>
      </c>
      <c r="G32" s="4" t="s">
        <v>87</v>
      </c>
      <c r="H32" s="4" t="s">
        <v>188</v>
      </c>
      <c r="I32" s="4" t="s">
        <v>61</v>
      </c>
      <c r="J32" s="4" t="s">
        <v>189</v>
      </c>
      <c r="K32" s="4" t="s">
        <v>190</v>
      </c>
      <c r="L32" s="4" t="s">
        <v>191</v>
      </c>
      <c r="M32" s="4" t="s">
        <v>195</v>
      </c>
    </row>
    <row r="33" spans="1:13" ht="86.25" customHeight="1" x14ac:dyDescent="0.25">
      <c r="A33" s="4">
        <f t="shared" si="2"/>
        <v>29</v>
      </c>
      <c r="B33" s="3"/>
      <c r="C33" s="10">
        <v>278871</v>
      </c>
      <c r="D33" s="4"/>
      <c r="E33" s="10" t="s">
        <v>204</v>
      </c>
      <c r="F33" s="4"/>
      <c r="G33" s="4" t="s">
        <v>226</v>
      </c>
      <c r="H33" s="11" t="s">
        <v>205</v>
      </c>
      <c r="I33" s="13" t="s">
        <v>22</v>
      </c>
      <c r="J33" s="13" t="s">
        <v>96</v>
      </c>
      <c r="K33" s="4"/>
      <c r="L33" s="4"/>
      <c r="M33" s="12" t="s">
        <v>206</v>
      </c>
    </row>
    <row r="34" spans="1:13" ht="89.25" customHeight="1" x14ac:dyDescent="0.25">
      <c r="A34" s="4">
        <f t="shared" si="2"/>
        <v>30</v>
      </c>
      <c r="B34" s="3"/>
      <c r="C34" s="10">
        <v>269476</v>
      </c>
      <c r="D34" s="4"/>
      <c r="E34" s="10" t="s">
        <v>207</v>
      </c>
      <c r="F34" s="4"/>
      <c r="G34" s="4" t="s">
        <v>226</v>
      </c>
      <c r="H34" s="14" t="s">
        <v>210</v>
      </c>
      <c r="I34" s="13" t="s">
        <v>140</v>
      </c>
      <c r="J34" s="13" t="s">
        <v>96</v>
      </c>
      <c r="K34" s="4"/>
      <c r="L34" s="4"/>
      <c r="M34" s="12" t="s">
        <v>212</v>
      </c>
    </row>
    <row r="35" spans="1:13" ht="78" customHeight="1" x14ac:dyDescent="0.25">
      <c r="A35" s="4">
        <f t="shared" si="2"/>
        <v>31</v>
      </c>
      <c r="B35" s="3"/>
      <c r="C35" s="10">
        <v>269477</v>
      </c>
      <c r="D35" s="4"/>
      <c r="E35" s="10" t="s">
        <v>208</v>
      </c>
      <c r="F35" s="4"/>
      <c r="G35" s="4" t="s">
        <v>226</v>
      </c>
      <c r="H35" s="14" t="s">
        <v>210</v>
      </c>
      <c r="I35" s="13" t="s">
        <v>95</v>
      </c>
      <c r="J35" s="13" t="s">
        <v>23</v>
      </c>
      <c r="K35" s="4"/>
      <c r="L35" s="4"/>
      <c r="M35" s="12" t="s">
        <v>213</v>
      </c>
    </row>
    <row r="36" spans="1:13" ht="84" customHeight="1" x14ac:dyDescent="0.25">
      <c r="A36" s="4">
        <f t="shared" si="2"/>
        <v>32</v>
      </c>
      <c r="B36" s="3"/>
      <c r="C36" s="10">
        <v>272709</v>
      </c>
      <c r="D36" s="4"/>
      <c r="E36" s="10" t="s">
        <v>209</v>
      </c>
      <c r="F36" s="4"/>
      <c r="G36" s="4" t="s">
        <v>226</v>
      </c>
      <c r="H36" s="14" t="s">
        <v>211</v>
      </c>
      <c r="I36" s="13" t="s">
        <v>140</v>
      </c>
      <c r="J36" s="13" t="s">
        <v>215</v>
      </c>
      <c r="K36" s="4"/>
      <c r="L36" s="4"/>
      <c r="M36" s="12" t="s">
        <v>214</v>
      </c>
    </row>
    <row r="37" spans="1:13" ht="102" customHeight="1" x14ac:dyDescent="0.25">
      <c r="A37" s="4">
        <f t="shared" si="2"/>
        <v>33</v>
      </c>
      <c r="B37" s="3"/>
      <c r="C37" s="10">
        <v>269043</v>
      </c>
      <c r="D37" s="4"/>
      <c r="E37" s="10" t="s">
        <v>216</v>
      </c>
      <c r="F37" s="4"/>
      <c r="G37" s="4" t="s">
        <v>226</v>
      </c>
      <c r="H37" s="10" t="s">
        <v>217</v>
      </c>
      <c r="I37" s="13" t="s">
        <v>22</v>
      </c>
      <c r="J37" s="13" t="s">
        <v>96</v>
      </c>
      <c r="K37" s="4"/>
      <c r="L37" s="4"/>
      <c r="M37" s="12" t="s">
        <v>218</v>
      </c>
    </row>
    <row r="38" spans="1:13" ht="90.75" customHeight="1" x14ac:dyDescent="0.25">
      <c r="A38" s="4">
        <f t="shared" si="2"/>
        <v>34</v>
      </c>
      <c r="B38" s="3"/>
      <c r="C38" s="10">
        <v>278750</v>
      </c>
      <c r="D38" s="4"/>
      <c r="E38" s="10" t="s">
        <v>219</v>
      </c>
      <c r="F38" s="4"/>
      <c r="G38" s="4" t="s">
        <v>226</v>
      </c>
      <c r="H38" s="10" t="s">
        <v>220</v>
      </c>
      <c r="I38" s="13" t="s">
        <v>103</v>
      </c>
      <c r="J38" s="13" t="s">
        <v>222</v>
      </c>
      <c r="K38" s="4"/>
      <c r="L38" s="4"/>
      <c r="M38" s="12" t="s">
        <v>221</v>
      </c>
    </row>
    <row r="39" spans="1:13" ht="34.5" customHeight="1" x14ac:dyDescent="0.25">
      <c r="A39" s="4">
        <f t="shared" si="2"/>
        <v>35</v>
      </c>
      <c r="B39" s="3"/>
      <c r="C39" s="10">
        <v>278597</v>
      </c>
      <c r="D39" s="4"/>
      <c r="E39" s="10" t="s">
        <v>223</v>
      </c>
      <c r="F39" s="4"/>
      <c r="G39" s="4" t="s">
        <v>226</v>
      </c>
      <c r="H39" s="10" t="s">
        <v>224</v>
      </c>
      <c r="I39" s="13" t="s">
        <v>160</v>
      </c>
      <c r="J39" s="13" t="s">
        <v>215</v>
      </c>
      <c r="K39" s="4"/>
      <c r="L39" s="4"/>
      <c r="M39" s="10" t="s">
        <v>225</v>
      </c>
    </row>
    <row r="40" spans="1:13" ht="21.75" customHeight="1" x14ac:dyDescent="0.25">
      <c r="A40" s="4"/>
      <c r="B40" s="3"/>
      <c r="C40" s="4"/>
      <c r="D40" s="4"/>
      <c r="E40" s="4"/>
      <c r="F40" s="4"/>
      <c r="G40" s="4"/>
      <c r="H40" s="4"/>
      <c r="I40" s="4"/>
      <c r="J40" s="4"/>
      <c r="K40" s="4"/>
      <c r="L40" s="4"/>
      <c r="M40" s="4"/>
    </row>
  </sheetData>
  <mergeCells count="1">
    <mergeCell ref="B1:M1"/>
  </mergeCells>
  <pageMargins left="3.937007874015748E-2" right="3.937007874015748E-2" top="3.937007874015748E-2" bottom="3.937007874015748E-2" header="3.937007874015748E-2" footer="3.937007874015748E-2"/>
  <pageSetup paperSize="9" scale="77" orientation="landscape"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3</vt:i4>
      </vt:variant>
    </vt:vector>
  </HeadingPairs>
  <TitlesOfParts>
    <vt:vector size="4" baseType="lpstr">
      <vt:lpstr>Sheet0</vt:lpstr>
      <vt:lpstr>__bookmark_1</vt:lpstr>
      <vt:lpstr>Sheet0!Print_Area</vt:lpstr>
      <vt:lpstr>Sheet0!Print_Titles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DELL</cp:lastModifiedBy>
  <cp:lastPrinted>2025-11-24T13:41:03Z</cp:lastPrinted>
  <dcterms:created xsi:type="dcterms:W3CDTF">2025-11-24T11:38:56Z</dcterms:created>
  <dcterms:modified xsi:type="dcterms:W3CDTF">2025-11-24T13:45:58Z</dcterms:modified>
</cp:coreProperties>
</file>
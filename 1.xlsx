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Sheet0!$A$1:$M$42</definedName>
  </definedNames>
  <calcPr calcId="162913"/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</calcChain>
</file>

<file path=xl/sharedStrings.xml><?xml version="1.0" encoding="utf-8"?>
<sst xmlns="http://schemas.openxmlformats.org/spreadsheetml/2006/main" count="375" uniqueCount="264">
  <si>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</si>
  <si>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</si>
  <si>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</si>
  <si>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</si>
  <si>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</si>
  <si>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</si>
  <si>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</si>
  <si>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</si>
  <si>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</si>
  <si>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</si>
  <si>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</si>
  <si>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</si>
  <si>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</si>
  <si>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</si>
  <si>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</si>
  <si>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</si>
  <si>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</si>
  <si>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MR2605/0367</t>
  </si>
  <si>
    <t>Daily</t>
  </si>
  <si>
    <t>220KV_220 kV Anuppur-Kotmikala Circuit I</t>
  </si>
  <si>
    <t>220KV_ANUPPUR</t>
  </si>
  <si>
    <t>NON-OCCM-MP</t>
  </si>
  <si>
    <t>For Conductor re-sagging work maintained</t>
  </si>
  <si>
    <t>25-05-2026 08:00:00</t>
  </si>
  <si>
    <t>08-06-2026 18:00:00</t>
  </si>
  <si>
    <t>Jagdish Prasad Asati</t>
  </si>
  <si>
    <t>9424445533</t>
  </si>
  <si>
    <t>MR2605/0653</t>
  </si>
  <si>
    <t>220KV_160 MVA X-MER-II MAKE-BBL</t>
  </si>
  <si>
    <t>220KV_BETUL</t>
  </si>
  <si>
    <t>Pre-monsoon Maintenance work</t>
  </si>
  <si>
    <t>27-05-2026 16:00:00</t>
  </si>
  <si>
    <t>27-05-2026 22:00:00</t>
  </si>
  <si>
    <t>Er. Vishal Malviya</t>
  </si>
  <si>
    <t>9425804955</t>
  </si>
  <si>
    <t>MR2605/0506</t>
  </si>
  <si>
    <t>220KV_220kV Bhopal-Ganjbasoda Ckt</t>
  </si>
  <si>
    <t>400KV_BHOPAL4</t>
  </si>
  <si>
    <t>for replacment of old disc insulator  work.</t>
  </si>
  <si>
    <t>21-05-2026 09:00:00</t>
  </si>
  <si>
    <t>30-05-2026 18:00:00</t>
  </si>
  <si>
    <t>Rajkumar Bhusare</t>
  </si>
  <si>
    <t>9425820042</t>
  </si>
  <si>
    <t>MR2605/0301</t>
  </si>
  <si>
    <t>Continuous</t>
  </si>
  <si>
    <t>400KV_Bus-Bar</t>
  </si>
  <si>
    <t>For Commissioning of New 400kV Bus-Bar Panel</t>
  </si>
  <si>
    <t>13-05-2026 10:00:00</t>
  </si>
  <si>
    <t>30-06-2026 18:00:00</t>
  </si>
  <si>
    <t>RK Gayaki</t>
  </si>
  <si>
    <t>9407528876</t>
  </si>
  <si>
    <t>MR2605/0644</t>
  </si>
  <si>
    <t>400KV_50MVAR Bhopal-1 LIne Reactor(BHEL)</t>
  </si>
  <si>
    <t>400KV_BINA4</t>
  </si>
  <si>
    <t>Pre Monsoon Maintenance Work.</t>
  </si>
  <si>
    <t>27-05-2026 08:00:00</t>
  </si>
  <si>
    <t>27-05-2026 14:00:00</t>
  </si>
  <si>
    <t>Mr. P.N.Namdeo</t>
  </si>
  <si>
    <t>7587951092</t>
  </si>
  <si>
    <t>220KV_11/220KV Substation and its auxiliaries</t>
  </si>
  <si>
    <t>220KV_BIRSINGHPUR HYDEL</t>
  </si>
  <si>
    <t>220KV Switchyard, GT, UAT transformers etc AOH</t>
  </si>
  <si>
    <t>26-05-2026 10:00:00</t>
  </si>
  <si>
    <t>30-05-2026 16:00:00</t>
  </si>
  <si>
    <t>Shiv Mangal Singh</t>
  </si>
  <si>
    <t>8989156186</t>
  </si>
  <si>
    <t>MR2605/0642</t>
  </si>
  <si>
    <t>11KV_1X20 mw HYDEL UNIT</t>
  </si>
  <si>
    <t>132KV_BIRSINGHPUR HYDEL</t>
  </si>
  <si>
    <t>Annual overhauling of generator</t>
  </si>
  <si>
    <t>15-05-2026 00:00:00</t>
  </si>
  <si>
    <t>04-06-2026 00:00:00</t>
  </si>
  <si>
    <t>MR2605/0332</t>
  </si>
  <si>
    <t>MR2605/0650</t>
  </si>
  <si>
    <t>132KV_50MVA X-MER-II MAKE TAL</t>
  </si>
  <si>
    <t>132KV_BISNOOR</t>
  </si>
  <si>
    <t>GAS COLLECTING DEVICE COMMISSIONNING</t>
  </si>
  <si>
    <t>27-05-2026 11:00:00</t>
  </si>
  <si>
    <t>27-05-2026 12:00:00</t>
  </si>
  <si>
    <t>ER SANJAY KUMAR PAWAR</t>
  </si>
  <si>
    <t>9425802293</t>
  </si>
  <si>
    <t>MR2605/0639</t>
  </si>
  <si>
    <t>132KV_132 kV Chhindwara-Chourai</t>
  </si>
  <si>
    <t>132KV_CHOURAI</t>
  </si>
  <si>
    <t>Conductor Re-sagging work</t>
  </si>
  <si>
    <t>27-05-2026 07:00:00</t>
  </si>
  <si>
    <t>29-05-2026 18:00:00</t>
  </si>
  <si>
    <t>A.M.Shende</t>
  </si>
  <si>
    <t>7587951136</t>
  </si>
  <si>
    <t>MR2605/0646</t>
  </si>
  <si>
    <t>132KV_50 MVA BBL Transformer</t>
  </si>
  <si>
    <t>132KV_DINDORI</t>
  </si>
  <si>
    <t>Pre- Monsoon maintenance and testing work</t>
  </si>
  <si>
    <t>27-05-2026 10:00:00</t>
  </si>
  <si>
    <t>27-05-2026 18:00:00</t>
  </si>
  <si>
    <t>Vikram Singh</t>
  </si>
  <si>
    <t>8319555199</t>
  </si>
  <si>
    <t>MR2605/0654</t>
  </si>
  <si>
    <t>220KV_160 MVA BBL 220/132 KV</t>
  </si>
  <si>
    <t>220KV_HOSHANGABAD</t>
  </si>
  <si>
    <t>PRE MANSOON MAINTENANCE &amp; TESTING WORK</t>
  </si>
  <si>
    <t>27-05-2026 17:00:00</t>
  </si>
  <si>
    <t>V.P.DWIVEDI</t>
  </si>
  <si>
    <t>9425804799</t>
  </si>
  <si>
    <t>MR2605/0649</t>
  </si>
  <si>
    <t>400KV_400 KV ISP-INDORE I</t>
  </si>
  <si>
    <t>400KV_INDIRASAGAR</t>
  </si>
  <si>
    <t>NON-OCCM-WR</t>
  </si>
  <si>
    <t>ANNUAL MAINTENANCE &amp; CHANGE OF SF 6 CIRCUIT BREAKE</t>
  </si>
  <si>
    <t>29-05-2026 17:00:00</t>
  </si>
  <si>
    <t>SANJAY PATEL</t>
  </si>
  <si>
    <t>9575074321</t>
  </si>
  <si>
    <t>MR2605/0380</t>
  </si>
  <si>
    <t>400KV_UNIT#06</t>
  </si>
  <si>
    <t>ANNUAL MAINTENANCE</t>
  </si>
  <si>
    <t>16-05-2026 06:00:00</t>
  </si>
  <si>
    <t>31-05-2026 18:00:00</t>
  </si>
  <si>
    <t>SHRI SANJAY PATEL</t>
  </si>
  <si>
    <t>220KV_220KV JETPURA ASHTA-I CKT</t>
  </si>
  <si>
    <t>220KV_INDORE-II (JETPURA)</t>
  </si>
  <si>
    <t>220KV Ashta - I Feeder overhauling of C.B.</t>
  </si>
  <si>
    <t>25-05-2026 12:00:00</t>
  </si>
  <si>
    <t>DEPPAK GUPTA</t>
  </si>
  <si>
    <t>9425803845</t>
  </si>
  <si>
    <t>MR2605/0612</t>
  </si>
  <si>
    <t>MR2605/0652</t>
  </si>
  <si>
    <t>132KV_132 KV Narsinghpur-Karakbel Line Ckt-II</t>
  </si>
  <si>
    <t>132KV_KARAKBEL</t>
  </si>
  <si>
    <t>Pre - Monsoon Maintenance work.</t>
  </si>
  <si>
    <t>Ashish Kumar</t>
  </si>
  <si>
    <t>9425805935</t>
  </si>
  <si>
    <t>MR2605/0477</t>
  </si>
  <si>
    <t>132KV_SHUTDOWN ON 40MVA APEX X-MER AT 132KV S/S KATNI</t>
  </si>
  <si>
    <t>132KV_KATNI</t>
  </si>
  <si>
    <t>Bell tank oil leakage attending work</t>
  </si>
  <si>
    <t>20-05-2026 10:00:00</t>
  </si>
  <si>
    <t>YOGESH PATEL</t>
  </si>
  <si>
    <t>9425808211</t>
  </si>
  <si>
    <t>220KV_220 KV  Kotar - Tons Ckt-II</t>
  </si>
  <si>
    <t>220KV_KOTAR</t>
  </si>
  <si>
    <t>For double fitting work</t>
  </si>
  <si>
    <t>26-05-2026 09:00:00</t>
  </si>
  <si>
    <t>10-06-2026 17:00:00</t>
  </si>
  <si>
    <t>Mr. R.K.Prajapati</t>
  </si>
  <si>
    <t>9407070182</t>
  </si>
  <si>
    <t>MR2605/0635</t>
  </si>
  <si>
    <t>MR2605/0647</t>
  </si>
  <si>
    <t>220KV_160MVA X-MER IMP</t>
  </si>
  <si>
    <t>OCCM-MP</t>
  </si>
  <si>
    <t>FOR PRE MANSOON MAINT. &amp; TESTING WORK.</t>
  </si>
  <si>
    <t>ARUN KUMAR KOL</t>
  </si>
  <si>
    <t>8319677721</t>
  </si>
  <si>
    <t>132KV_40 MVA X-mer-II (Make- ABB)</t>
  </si>
  <si>
    <t>220KV_KUKSHI</t>
  </si>
  <si>
    <t>For Pre Monsoon Maintenance work.</t>
  </si>
  <si>
    <t>Er. Manoj Randa</t>
  </si>
  <si>
    <t>9425820034</t>
  </si>
  <si>
    <t>MR2605/0657</t>
  </si>
  <si>
    <t>MR2605/0655</t>
  </si>
  <si>
    <t>132KV_132kV Malanpur - Banmore ckt-I</t>
  </si>
  <si>
    <t>220KV_MALANPUR</t>
  </si>
  <si>
    <t>Line Maintenance work</t>
  </si>
  <si>
    <t>Pankaj Kumar</t>
  </si>
  <si>
    <t>9425805317</t>
  </si>
  <si>
    <t>MR2605/0533</t>
  </si>
  <si>
    <t>220KV_220 KV Narsinghpur-Pipariya Line</t>
  </si>
  <si>
    <t>220KV_NARSINGHPUR</t>
  </si>
  <si>
    <t>Resagging work at Loc. No. . 251-267 &amp; 312-326.</t>
  </si>
  <si>
    <t>22-05-2026 08:00:00</t>
  </si>
  <si>
    <t>27-05-2026 19:00:00</t>
  </si>
  <si>
    <t>MR2605/0607</t>
  </si>
  <si>
    <t>220KV_220 KV Narsinghpur-Chichli Line</t>
  </si>
  <si>
    <t>Resagging work at Loc. No. 251-267, 312-326. .</t>
  </si>
  <si>
    <t>02-06-2026 19:00:00</t>
  </si>
  <si>
    <t>MR2605/0396</t>
  </si>
  <si>
    <t>220KV_Generating Unit No. 06</t>
  </si>
  <si>
    <t>220KV_OMKARESHWAR</t>
  </si>
  <si>
    <t>Annual maintenance</t>
  </si>
  <si>
    <t>16-05-2026 10:00:00</t>
  </si>
  <si>
    <t>Sh. M. S. Karunakar</t>
  </si>
  <si>
    <t>7898703187</t>
  </si>
  <si>
    <t>MR2605/0418</t>
  </si>
  <si>
    <t>400KV_400 KV SSTPH-Pithampur ckt 1 line</t>
  </si>
  <si>
    <t>400KV_PITHAMPUR4</t>
  </si>
  <si>
    <t>Tower Restrengthening work on cross arm.</t>
  </si>
  <si>
    <t>17-05-2026 08:00:00</t>
  </si>
  <si>
    <t>Naresh Pandre</t>
  </si>
  <si>
    <t>9425806905</t>
  </si>
  <si>
    <t>MR2605/0419</t>
  </si>
  <si>
    <t>400KV_400 KV SSTPH-Pithampur ckt 2 line</t>
  </si>
  <si>
    <t>MR2605/0648</t>
  </si>
  <si>
    <t>220KV_200MVA XMER T&amp;R</t>
  </si>
  <si>
    <t>220KV_REWA</t>
  </si>
  <si>
    <t>Hot point attending work</t>
  </si>
  <si>
    <t>Kanishka Singh</t>
  </si>
  <si>
    <t>9425804656</t>
  </si>
  <si>
    <t>MR2605/0604</t>
  </si>
  <si>
    <t>220KV_220  kV Satna (MPPTCL)  â¿¿  Ajaygarh line</t>
  </si>
  <si>
    <t>220KV_SATNA</t>
  </si>
  <si>
    <t>for double  fitting work</t>
  </si>
  <si>
    <t>24-05-2026 08:00:00</t>
  </si>
  <si>
    <t>30-05-2026 19:00:00</t>
  </si>
  <si>
    <t>Mr.R.K.Prajapati</t>
  </si>
  <si>
    <t>MR2605/0645</t>
  </si>
  <si>
    <t>132KV_132kV Seoni Nainpur Ckt-IInd</t>
  </si>
  <si>
    <t>220KV_SEONI</t>
  </si>
  <si>
    <t>PG Clamp Removing work</t>
  </si>
  <si>
    <t>27-05-2026 15:00:00</t>
  </si>
  <si>
    <t>Amol Shende</t>
  </si>
  <si>
    <t>MR2605/0651</t>
  </si>
  <si>
    <t>132KV_132/33 KV 40 MVA BBL X-MER</t>
  </si>
  <si>
    <t>132KV_SIDHI1</t>
  </si>
  <si>
    <t>PRE MONSOON MAINTENANCE AND TESTING WORK</t>
  </si>
  <si>
    <t>Shri Vishal Bhaladhare</t>
  </si>
  <si>
    <t>9425804690</t>
  </si>
  <si>
    <t>MR2605/0471</t>
  </si>
  <si>
    <t>132KV_220kv_Unit #3</t>
  </si>
  <si>
    <t>220KV_TONS</t>
  </si>
  <si>
    <t>Replacement of hydraulic power pack with new one</t>
  </si>
  <si>
    <t>27-05-2026 00:00:00</t>
  </si>
  <si>
    <t>01-06-2026 00:00:00</t>
  </si>
  <si>
    <t>Mr C L KIRADE</t>
  </si>
  <si>
    <t>9301373521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</si>
  <si>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</si>
  <si>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</si>
  <si>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</si>
  <si>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</si>
  <si>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</si>
  <si>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</si>
  <si>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</si>
  <si>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</si>
  <si>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deferred</t>
  </si>
  <si>
    <t>ok, through sub ld</t>
  </si>
  <si>
    <t>ok, alternate station supply shall be available</t>
  </si>
  <si>
    <t>sub ld</t>
  </si>
  <si>
    <t>ok</t>
  </si>
  <si>
    <t>real time</t>
  </si>
  <si>
    <t>as per system availability</t>
  </si>
  <si>
    <t>ok, o&amp;m shall be informed</t>
  </si>
  <si>
    <t>work done</t>
  </si>
  <si>
    <t>ok, after real time load management</t>
  </si>
  <si>
    <t>ok, after real time load management, o&amp;m shall be informed for any emergency during the s/d period</t>
  </si>
  <si>
    <t>ok, line to be in service through TBC, Electrical Inspector approval required while charging for Breaker change</t>
  </si>
  <si>
    <t>220KV GUNA - SHIVPURI CIRCUIT-1</t>
  </si>
  <si>
    <t>FOR STRINGING WORK , REMOVAL OF INLINE ERS &amp; NBFC ARRANGEMENT</t>
  </si>
  <si>
    <t>220KV GUNA - SHIVPURI CIRCUIT-2</t>
  </si>
  <si>
    <t>RTAMC WR2</t>
  </si>
  <si>
    <t>ok, through sub ld, EI CHARGING APPROVAL REQUIRED FOR SHIFTING OF LINE ON MAIN TOWERS</t>
  </si>
  <si>
    <t>220KV SHIVPURI- SABHLGARH LINE-1&amp;2</t>
  </si>
  <si>
    <t>AE TLM SHIVPURI</t>
  </si>
  <si>
    <t>SAFE CONDUCTOR LIFTING AND RECTIFICATION WORK</t>
  </si>
  <si>
    <t>132KV BALAGHAT- WARASEONI FEEDER</t>
  </si>
  <si>
    <t>AE 132KV BALAGHAT/ WARASEONI</t>
  </si>
  <si>
    <t xml:space="preserve">DPR RELAY TESTING </t>
  </si>
  <si>
    <t>ok, line to be in service through TBC</t>
  </si>
  <si>
    <t>220KV-DAMOH-SAGAR-2</t>
  </si>
  <si>
    <t>132KV-VSTPS-WAIDHAN-1</t>
  </si>
  <si>
    <t>MADHYA PRADESH</t>
  </si>
  <si>
    <t>MADHYA PRADESH,NTPC</t>
  </si>
  <si>
    <t>FOR LINE MAINTENANCE WORK I.E. CLEANING OF DISC INSULATORS DURING LINE PATROLLING, REPLACEMENT OF FLASHOVERED DISC INSULATORS, TREE BRANCH CUTTING ETC AT VARIOUS TOWER LOCATIONS</t>
  </si>
  <si>
    <t>FOR REPLACEMENT OF CONDUCTOR WITH HTLS CONDUCTOR</t>
  </si>
  <si>
    <t>OK,  Ckt-1 to be in service. No other element shall be effected. Wr2 to be informed. Load to be managed by SLDC MP in case of contingency.</t>
  </si>
  <si>
    <t xml:space="preserve"> OK, Ckt-2 to be in service. NTPC to be informed.</t>
  </si>
  <si>
    <t>S/I,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</si>
</sst>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2"/>
  <sheetViews>
    <sheetView tabSelected="1" workbookViewId="0">
      <pane xSplit="5" ySplit="1" topLeftCell="H32" activePane="bottomRight" state="frozen"/>
      <selection pane="topRight" activeCell="F1" sqref="F1"/>
      <selection pane="bottomLeft" activeCell="A2" sqref="A2"/>
      <selection pane="bottomRight" activeCell="K42" sqref="K42:M42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4.5703125" style="12" customWidth="1"/>
    <col min="6" max="6" width="29.140625" customWidth="1"/>
    <col min="7" max="7" width="15.7109375" customWidth="1"/>
    <col min="8" max="8" width="46.140625" customWidth="1"/>
    <col min="9" max="10" width="19.5703125" customWidth="1"/>
    <col min="11" max="11" width="27.5703125" customWidth="1"/>
    <col min="12" max="12" width="12" customWidth="1"/>
    <col min="13" max="13" width="68.2851562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46169</v>
      </c>
      <c r="C2" s="1"/>
      <c r="D2" s="1"/>
      <c r="E2" s="9"/>
      <c r="F2" s="1"/>
      <c r="G2" s="1"/>
      <c r="H2" s="1"/>
      <c r="I2" s="1"/>
      <c r="J2" s="1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43.5" customHeight="1" x14ac:dyDescent="0.25">
      <c r="A5" s="4">
        <v>1</v>
      </c>
      <c r="B5" s="5">
        <v>46156.701944444445</v>
      </c>
      <c r="C5" s="4" t="s">
        <v>17</v>
      </c>
      <c r="D5" s="4" t="s">
        <v>18</v>
      </c>
      <c r="E5" s="11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11" t="s">
        <v>231</v>
      </c>
    </row>
    <row r="6" spans="1:13" ht="43.5" customHeight="1" x14ac:dyDescent="0.25">
      <c r="A6" s="4">
        <f>A5+1</f>
        <v>2</v>
      </c>
      <c r="B6" s="5">
        <v>46168.623194444444</v>
      </c>
      <c r="C6" s="4" t="s">
        <v>27</v>
      </c>
      <c r="D6" s="4"/>
      <c r="E6" s="11" t="s">
        <v>28</v>
      </c>
      <c r="F6" s="4" t="s">
        <v>29</v>
      </c>
      <c r="G6" s="4" t="s">
        <v>21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11" t="s">
        <v>232</v>
      </c>
    </row>
    <row r="7" spans="1:13" ht="43.5" customHeight="1" x14ac:dyDescent="0.25">
      <c r="A7" s="4">
        <f t="shared" ref="A7:A34" si="0">A6+1</f>
        <v>3</v>
      </c>
      <c r="B7" s="5">
        <v>46162.508391203701</v>
      </c>
      <c r="C7" s="4" t="s">
        <v>35</v>
      </c>
      <c r="D7" s="4" t="s">
        <v>18</v>
      </c>
      <c r="E7" s="11" t="s">
        <v>36</v>
      </c>
      <c r="F7" s="4" t="s">
        <v>37</v>
      </c>
      <c r="G7" s="4" t="s">
        <v>21</v>
      </c>
      <c r="H7" s="4" t="s">
        <v>38</v>
      </c>
      <c r="I7" s="6" t="s">
        <v>39</v>
      </c>
      <c r="J7" s="6" t="s">
        <v>40</v>
      </c>
      <c r="K7" s="7" t="s">
        <v>41</v>
      </c>
      <c r="L7" s="8" t="s">
        <v>42</v>
      </c>
      <c r="M7" s="11" t="s">
        <v>232</v>
      </c>
    </row>
    <row r="8" spans="1:13" ht="43.5" customHeight="1" x14ac:dyDescent="0.25">
      <c r="A8" s="4">
        <f t="shared" si="0"/>
        <v>4</v>
      </c>
      <c r="B8" s="5">
        <v>46154.485196759262</v>
      </c>
      <c r="C8" s="4" t="s">
        <v>43</v>
      </c>
      <c r="D8" s="4" t="s">
        <v>44</v>
      </c>
      <c r="E8" s="11" t="s">
        <v>45</v>
      </c>
      <c r="F8" s="4" t="s">
        <v>37</v>
      </c>
      <c r="G8" s="4" t="s">
        <v>21</v>
      </c>
      <c r="H8" s="4" t="s">
        <v>46</v>
      </c>
      <c r="I8" s="6" t="s">
        <v>47</v>
      </c>
      <c r="J8" s="6" t="s">
        <v>48</v>
      </c>
      <c r="K8" s="7" t="s">
        <v>49</v>
      </c>
      <c r="L8" s="8" t="s">
        <v>50</v>
      </c>
      <c r="M8" s="11" t="s">
        <v>231</v>
      </c>
    </row>
    <row r="9" spans="1:13" ht="43.5" customHeight="1" x14ac:dyDescent="0.25">
      <c r="A9" s="4">
        <f t="shared" si="0"/>
        <v>5</v>
      </c>
      <c r="B9" s="5">
        <v>46168.442511574074</v>
      </c>
      <c r="C9" s="4" t="s">
        <v>51</v>
      </c>
      <c r="D9" s="4"/>
      <c r="E9" s="11" t="s">
        <v>52</v>
      </c>
      <c r="F9" s="4" t="s">
        <v>53</v>
      </c>
      <c r="G9" s="4" t="s">
        <v>21</v>
      </c>
      <c r="H9" s="4" t="s">
        <v>54</v>
      </c>
      <c r="I9" s="6" t="s">
        <v>55</v>
      </c>
      <c r="J9" s="6" t="s">
        <v>56</v>
      </c>
      <c r="K9" s="7" t="s">
        <v>57</v>
      </c>
      <c r="L9" s="8" t="s">
        <v>58</v>
      </c>
      <c r="M9" s="11" t="s">
        <v>232</v>
      </c>
    </row>
    <row r="10" spans="1:13" ht="43.5" customHeight="1" x14ac:dyDescent="0.25">
      <c r="A10" s="4">
        <f t="shared" si="0"/>
        <v>6</v>
      </c>
      <c r="B10" s="5">
        <v>46167.77621527778</v>
      </c>
      <c r="C10" s="4" t="s">
        <v>66</v>
      </c>
      <c r="D10" s="4" t="s">
        <v>44</v>
      </c>
      <c r="E10" s="11" t="s">
        <v>59</v>
      </c>
      <c r="F10" s="4" t="s">
        <v>60</v>
      </c>
      <c r="G10" s="4" t="s">
        <v>21</v>
      </c>
      <c r="H10" s="4" t="s">
        <v>61</v>
      </c>
      <c r="I10" s="6" t="s">
        <v>62</v>
      </c>
      <c r="J10" s="6" t="s">
        <v>63</v>
      </c>
      <c r="K10" s="7" t="s">
        <v>64</v>
      </c>
      <c r="L10" s="8" t="s">
        <v>65</v>
      </c>
      <c r="M10" s="11" t="s">
        <v>233</v>
      </c>
    </row>
    <row r="11" spans="1:13" ht="43.5" customHeight="1" x14ac:dyDescent="0.25">
      <c r="A11" s="4">
        <f t="shared" si="0"/>
        <v>7</v>
      </c>
      <c r="B11" s="5">
        <v>46155.566747685189</v>
      </c>
      <c r="C11" s="4" t="s">
        <v>72</v>
      </c>
      <c r="D11" s="4" t="s">
        <v>44</v>
      </c>
      <c r="E11" s="11" t="s">
        <v>67</v>
      </c>
      <c r="F11" s="4" t="s">
        <v>68</v>
      </c>
      <c r="G11" s="4" t="s">
        <v>21</v>
      </c>
      <c r="H11" s="4" t="s">
        <v>69</v>
      </c>
      <c r="I11" s="6" t="s">
        <v>70</v>
      </c>
      <c r="J11" s="6" t="s">
        <v>71</v>
      </c>
      <c r="K11" s="7" t="s">
        <v>64</v>
      </c>
      <c r="L11" s="8" t="s">
        <v>65</v>
      </c>
      <c r="M11" s="11" t="s">
        <v>44</v>
      </c>
    </row>
    <row r="12" spans="1:13" ht="43.5" customHeight="1" x14ac:dyDescent="0.25">
      <c r="A12" s="4">
        <f t="shared" si="0"/>
        <v>8</v>
      </c>
      <c r="B12" s="5">
        <v>46168.586550925924</v>
      </c>
      <c r="C12" s="4" t="s">
        <v>73</v>
      </c>
      <c r="D12" s="4"/>
      <c r="E12" s="11" t="s">
        <v>74</v>
      </c>
      <c r="F12" s="4" t="s">
        <v>75</v>
      </c>
      <c r="G12" s="4" t="s">
        <v>21</v>
      </c>
      <c r="H12" s="4" t="s">
        <v>76</v>
      </c>
      <c r="I12" s="6" t="s">
        <v>77</v>
      </c>
      <c r="J12" s="6" t="s">
        <v>78</v>
      </c>
      <c r="K12" s="7" t="s">
        <v>79</v>
      </c>
      <c r="L12" s="8" t="s">
        <v>80</v>
      </c>
      <c r="M12" s="11" t="s">
        <v>234</v>
      </c>
    </row>
    <row r="13" spans="1:13" ht="43.5" customHeight="1" x14ac:dyDescent="0.25">
      <c r="A13" s="4">
        <f t="shared" si="0"/>
        <v>9</v>
      </c>
      <c r="B13" s="5">
        <v>46167.715428240743</v>
      </c>
      <c r="C13" s="4" t="s">
        <v>81</v>
      </c>
      <c r="D13" s="4" t="s">
        <v>18</v>
      </c>
      <c r="E13" s="11" t="s">
        <v>82</v>
      </c>
      <c r="F13" s="4" t="s">
        <v>83</v>
      </c>
      <c r="G13" s="4" t="s">
        <v>21</v>
      </c>
      <c r="H13" s="4" t="s">
        <v>84</v>
      </c>
      <c r="I13" s="6" t="s">
        <v>85</v>
      </c>
      <c r="J13" s="6" t="s">
        <v>86</v>
      </c>
      <c r="K13" s="7" t="s">
        <v>87</v>
      </c>
      <c r="L13" s="8" t="s">
        <v>88</v>
      </c>
      <c r="M13" s="11" t="s">
        <v>235</v>
      </c>
    </row>
    <row r="14" spans="1:13" ht="43.5" customHeight="1" x14ac:dyDescent="0.25">
      <c r="A14" s="4">
        <f t="shared" si="0"/>
        <v>10</v>
      </c>
      <c r="B14" s="5">
        <v>46168.53702546296</v>
      </c>
      <c r="C14" s="4" t="s">
        <v>89</v>
      </c>
      <c r="D14" s="4"/>
      <c r="E14" s="11" t="s">
        <v>90</v>
      </c>
      <c r="F14" s="4" t="s">
        <v>91</v>
      </c>
      <c r="G14" s="4" t="s">
        <v>21</v>
      </c>
      <c r="H14" s="4" t="s">
        <v>92</v>
      </c>
      <c r="I14" s="6" t="s">
        <v>93</v>
      </c>
      <c r="J14" s="6" t="s">
        <v>94</v>
      </c>
      <c r="K14" s="7" t="s">
        <v>95</v>
      </c>
      <c r="L14" s="8" t="s">
        <v>96</v>
      </c>
      <c r="M14" s="11" t="s">
        <v>235</v>
      </c>
    </row>
    <row r="15" spans="1:13" ht="43.5" customHeight="1" x14ac:dyDescent="0.25">
      <c r="A15" s="4">
        <f t="shared" si="0"/>
        <v>11</v>
      </c>
      <c r="B15" s="5">
        <v>46168.652951388889</v>
      </c>
      <c r="C15" s="4" t="s">
        <v>97</v>
      </c>
      <c r="D15" s="4"/>
      <c r="E15" s="11" t="s">
        <v>98</v>
      </c>
      <c r="F15" s="4" t="s">
        <v>99</v>
      </c>
      <c r="G15" s="4" t="s">
        <v>21</v>
      </c>
      <c r="H15" s="4" t="s">
        <v>100</v>
      </c>
      <c r="I15" s="6" t="s">
        <v>55</v>
      </c>
      <c r="J15" s="6" t="s">
        <v>101</v>
      </c>
      <c r="K15" s="7" t="s">
        <v>102</v>
      </c>
      <c r="L15" s="8" t="s">
        <v>103</v>
      </c>
      <c r="M15" s="11" t="s">
        <v>236</v>
      </c>
    </row>
    <row r="16" spans="1:13" ht="43.5" customHeight="1" x14ac:dyDescent="0.25">
      <c r="A16" s="4">
        <f t="shared" si="0"/>
        <v>12</v>
      </c>
      <c r="B16" s="5">
        <v>46168.553599537037</v>
      </c>
      <c r="C16" s="4" t="s">
        <v>104</v>
      </c>
      <c r="D16" s="4" t="s">
        <v>44</v>
      </c>
      <c r="E16" s="11" t="s">
        <v>105</v>
      </c>
      <c r="F16" s="4" t="s">
        <v>106</v>
      </c>
      <c r="G16" s="4" t="s">
        <v>107</v>
      </c>
      <c r="H16" s="4" t="s">
        <v>108</v>
      </c>
      <c r="I16" s="6" t="s">
        <v>85</v>
      </c>
      <c r="J16" s="6" t="s">
        <v>109</v>
      </c>
      <c r="K16" s="7" t="s">
        <v>110</v>
      </c>
      <c r="L16" s="8" t="s">
        <v>111</v>
      </c>
      <c r="M16" s="18" t="s">
        <v>242</v>
      </c>
    </row>
    <row r="17" spans="1:13" ht="43.5" customHeight="1" x14ac:dyDescent="0.25">
      <c r="A17" s="4">
        <f t="shared" si="0"/>
        <v>13</v>
      </c>
      <c r="B17" s="5">
        <v>46157.561793981484</v>
      </c>
      <c r="C17" s="4" t="s">
        <v>112</v>
      </c>
      <c r="D17" s="4" t="s">
        <v>44</v>
      </c>
      <c r="E17" s="11" t="s">
        <v>113</v>
      </c>
      <c r="F17" s="4" t="s">
        <v>106</v>
      </c>
      <c r="G17" s="4" t="s">
        <v>107</v>
      </c>
      <c r="H17" s="4" t="s">
        <v>114</v>
      </c>
      <c r="I17" s="6" t="s">
        <v>115</v>
      </c>
      <c r="J17" s="6" t="s">
        <v>116</v>
      </c>
      <c r="K17" s="7" t="s">
        <v>117</v>
      </c>
      <c r="L17" s="8" t="s">
        <v>111</v>
      </c>
      <c r="M17" s="11" t="s">
        <v>237</v>
      </c>
    </row>
    <row r="18" spans="1:13" ht="43.5" customHeight="1" x14ac:dyDescent="0.25">
      <c r="A18" s="4">
        <f t="shared" si="0"/>
        <v>14</v>
      </c>
      <c r="B18" s="5">
        <v>46166.450868055559</v>
      </c>
      <c r="C18" s="4" t="s">
        <v>124</v>
      </c>
      <c r="D18" s="4" t="s">
        <v>44</v>
      </c>
      <c r="E18" s="11" t="s">
        <v>118</v>
      </c>
      <c r="F18" s="4" t="s">
        <v>119</v>
      </c>
      <c r="G18" s="4" t="s">
        <v>21</v>
      </c>
      <c r="H18" s="4" t="s">
        <v>120</v>
      </c>
      <c r="I18" s="6" t="s">
        <v>121</v>
      </c>
      <c r="J18" s="6" t="s">
        <v>86</v>
      </c>
      <c r="K18" s="7" t="s">
        <v>122</v>
      </c>
      <c r="L18" s="8" t="s">
        <v>123</v>
      </c>
      <c r="M18" s="11" t="s">
        <v>44</v>
      </c>
    </row>
    <row r="19" spans="1:13" ht="43.5" customHeight="1" x14ac:dyDescent="0.25">
      <c r="A19" s="4">
        <f t="shared" si="0"/>
        <v>15</v>
      </c>
      <c r="B19" s="5">
        <v>46168.599791666667</v>
      </c>
      <c r="C19" s="4" t="s">
        <v>125</v>
      </c>
      <c r="D19" s="4"/>
      <c r="E19" s="11" t="s">
        <v>126</v>
      </c>
      <c r="F19" s="4" t="s">
        <v>127</v>
      </c>
      <c r="G19" s="4" t="s">
        <v>21</v>
      </c>
      <c r="H19" s="4" t="s">
        <v>128</v>
      </c>
      <c r="I19" s="6" t="s">
        <v>93</v>
      </c>
      <c r="J19" s="6" t="s">
        <v>94</v>
      </c>
      <c r="K19" s="7" t="s">
        <v>129</v>
      </c>
      <c r="L19" s="8" t="s">
        <v>130</v>
      </c>
      <c r="M19" s="11" t="s">
        <v>238</v>
      </c>
    </row>
    <row r="20" spans="1:13" ht="43.5" customHeight="1" x14ac:dyDescent="0.25">
      <c r="A20" s="4">
        <f t="shared" si="0"/>
        <v>16</v>
      </c>
      <c r="B20" s="5">
        <v>46161.498749999999</v>
      </c>
      <c r="C20" s="4" t="s">
        <v>131</v>
      </c>
      <c r="D20" s="4" t="s">
        <v>44</v>
      </c>
      <c r="E20" s="11" t="s">
        <v>132</v>
      </c>
      <c r="F20" s="4" t="s">
        <v>133</v>
      </c>
      <c r="G20" s="4" t="s">
        <v>21</v>
      </c>
      <c r="H20" s="4" t="s">
        <v>134</v>
      </c>
      <c r="I20" s="6" t="s">
        <v>135</v>
      </c>
      <c r="J20" s="6" t="s">
        <v>94</v>
      </c>
      <c r="K20" s="7" t="s">
        <v>136</v>
      </c>
      <c r="L20" s="8" t="s">
        <v>137</v>
      </c>
      <c r="M20" s="11" t="s">
        <v>44</v>
      </c>
    </row>
    <row r="21" spans="1:13" ht="43.5" customHeight="1" x14ac:dyDescent="0.25">
      <c r="A21" s="4">
        <f t="shared" si="0"/>
        <v>17</v>
      </c>
      <c r="B21" s="5">
        <v>46167.661944444444</v>
      </c>
      <c r="C21" s="4" t="s">
        <v>145</v>
      </c>
      <c r="D21" s="4" t="s">
        <v>18</v>
      </c>
      <c r="E21" s="11" t="s">
        <v>138</v>
      </c>
      <c r="F21" s="4" t="s">
        <v>139</v>
      </c>
      <c r="G21" s="4" t="s">
        <v>21</v>
      </c>
      <c r="H21" s="4" t="s">
        <v>140</v>
      </c>
      <c r="I21" s="6" t="s">
        <v>141</v>
      </c>
      <c r="J21" s="6" t="s">
        <v>142</v>
      </c>
      <c r="K21" s="7" t="s">
        <v>143</v>
      </c>
      <c r="L21" s="8" t="s">
        <v>144</v>
      </c>
      <c r="M21" s="11" t="s">
        <v>235</v>
      </c>
    </row>
    <row r="22" spans="1:13" ht="43.5" customHeight="1" x14ac:dyDescent="0.25">
      <c r="A22" s="4">
        <f t="shared" si="0"/>
        <v>18</v>
      </c>
      <c r="B22" s="5">
        <v>46168.539942129632</v>
      </c>
      <c r="C22" s="4" t="s">
        <v>146</v>
      </c>
      <c r="D22" s="4"/>
      <c r="E22" s="11" t="s">
        <v>147</v>
      </c>
      <c r="F22" s="4" t="s">
        <v>139</v>
      </c>
      <c r="G22" s="4" t="s">
        <v>148</v>
      </c>
      <c r="H22" s="4" t="s">
        <v>149</v>
      </c>
      <c r="I22" s="6" t="s">
        <v>93</v>
      </c>
      <c r="J22" s="6" t="s">
        <v>101</v>
      </c>
      <c r="K22" s="7" t="s">
        <v>150</v>
      </c>
      <c r="L22" s="8" t="s">
        <v>151</v>
      </c>
      <c r="M22" s="11" t="s">
        <v>235</v>
      </c>
    </row>
    <row r="23" spans="1:13" ht="43.5" customHeight="1" x14ac:dyDescent="0.25">
      <c r="A23" s="4">
        <f t="shared" si="0"/>
        <v>19</v>
      </c>
      <c r="B23" s="5">
        <v>46168.691400462965</v>
      </c>
      <c r="C23" s="4" t="s">
        <v>157</v>
      </c>
      <c r="D23" s="4"/>
      <c r="E23" s="11" t="s">
        <v>152</v>
      </c>
      <c r="F23" s="4" t="s">
        <v>153</v>
      </c>
      <c r="G23" s="4" t="s">
        <v>21</v>
      </c>
      <c r="H23" s="4" t="s">
        <v>154</v>
      </c>
      <c r="I23" s="6" t="s">
        <v>93</v>
      </c>
      <c r="J23" s="6" t="s">
        <v>31</v>
      </c>
      <c r="K23" s="7" t="s">
        <v>155</v>
      </c>
      <c r="L23" s="8" t="s">
        <v>156</v>
      </c>
      <c r="M23" s="11" t="s">
        <v>234</v>
      </c>
    </row>
    <row r="24" spans="1:13" ht="43.5" customHeight="1" x14ac:dyDescent="0.25">
      <c r="A24" s="4">
        <f t="shared" si="0"/>
        <v>20</v>
      </c>
      <c r="B24" s="5">
        <v>46168.687071759261</v>
      </c>
      <c r="C24" s="4" t="s">
        <v>158</v>
      </c>
      <c r="D24" s="4"/>
      <c r="E24" s="11" t="s">
        <v>159</v>
      </c>
      <c r="F24" s="4" t="s">
        <v>160</v>
      </c>
      <c r="G24" s="4" t="s">
        <v>21</v>
      </c>
      <c r="H24" s="4" t="s">
        <v>161</v>
      </c>
      <c r="I24" s="6" t="s">
        <v>93</v>
      </c>
      <c r="J24" s="6" t="s">
        <v>101</v>
      </c>
      <c r="K24" s="7" t="s">
        <v>162</v>
      </c>
      <c r="L24" s="8" t="s">
        <v>163</v>
      </c>
      <c r="M24" s="11" t="s">
        <v>234</v>
      </c>
    </row>
    <row r="25" spans="1:13" ht="43.5" customHeight="1" x14ac:dyDescent="0.25">
      <c r="A25" s="4">
        <f t="shared" si="0"/>
        <v>21</v>
      </c>
      <c r="B25" s="5">
        <v>46163.56931712963</v>
      </c>
      <c r="C25" s="4" t="s">
        <v>164</v>
      </c>
      <c r="D25" s="4" t="s">
        <v>18</v>
      </c>
      <c r="E25" s="11" t="s">
        <v>165</v>
      </c>
      <c r="F25" s="4" t="s">
        <v>166</v>
      </c>
      <c r="G25" s="4" t="s">
        <v>21</v>
      </c>
      <c r="H25" s="4" t="s">
        <v>167</v>
      </c>
      <c r="I25" s="6" t="s">
        <v>168</v>
      </c>
      <c r="J25" s="6" t="s">
        <v>169</v>
      </c>
      <c r="K25" s="7" t="s">
        <v>129</v>
      </c>
      <c r="L25" s="8" t="s">
        <v>130</v>
      </c>
      <c r="M25" s="11" t="s">
        <v>239</v>
      </c>
    </row>
    <row r="26" spans="1:13" ht="43.5" customHeight="1" x14ac:dyDescent="0.25">
      <c r="A26" s="4">
        <f t="shared" si="0"/>
        <v>22</v>
      </c>
      <c r="B26" s="5">
        <v>46165.693564814814</v>
      </c>
      <c r="C26" s="4" t="s">
        <v>170</v>
      </c>
      <c r="D26" s="4" t="s">
        <v>18</v>
      </c>
      <c r="E26" s="11" t="s">
        <v>171</v>
      </c>
      <c r="F26" s="4" t="s">
        <v>166</v>
      </c>
      <c r="G26" s="4" t="s">
        <v>21</v>
      </c>
      <c r="H26" s="4" t="s">
        <v>172</v>
      </c>
      <c r="I26" s="6" t="s">
        <v>23</v>
      </c>
      <c r="J26" s="6" t="s">
        <v>173</v>
      </c>
      <c r="K26" s="7" t="s">
        <v>129</v>
      </c>
      <c r="L26" s="8" t="s">
        <v>130</v>
      </c>
      <c r="M26" s="11" t="s">
        <v>235</v>
      </c>
    </row>
    <row r="27" spans="1:13" ht="43.5" customHeight="1" x14ac:dyDescent="0.25">
      <c r="A27" s="4">
        <f t="shared" si="0"/>
        <v>23</v>
      </c>
      <c r="B27" s="5">
        <v>46157.664976851855</v>
      </c>
      <c r="C27" s="4" t="s">
        <v>174</v>
      </c>
      <c r="D27" s="4" t="s">
        <v>44</v>
      </c>
      <c r="E27" s="11" t="s">
        <v>175</v>
      </c>
      <c r="F27" s="4" t="s">
        <v>176</v>
      </c>
      <c r="G27" s="4" t="s">
        <v>107</v>
      </c>
      <c r="H27" s="4" t="s">
        <v>177</v>
      </c>
      <c r="I27" s="6" t="s">
        <v>178</v>
      </c>
      <c r="J27" s="6" t="s">
        <v>40</v>
      </c>
      <c r="K27" s="7" t="s">
        <v>179</v>
      </c>
      <c r="L27" s="8" t="s">
        <v>180</v>
      </c>
      <c r="M27" s="11" t="s">
        <v>237</v>
      </c>
    </row>
    <row r="28" spans="1:13" ht="43.5" customHeight="1" x14ac:dyDescent="0.25">
      <c r="A28" s="4">
        <f t="shared" si="0"/>
        <v>24</v>
      </c>
      <c r="B28" s="5">
        <v>46158.789317129631</v>
      </c>
      <c r="C28" s="4" t="s">
        <v>181</v>
      </c>
      <c r="D28" s="4" t="s">
        <v>44</v>
      </c>
      <c r="E28" s="11" t="s">
        <v>182</v>
      </c>
      <c r="F28" s="4" t="s">
        <v>183</v>
      </c>
      <c r="G28" s="4" t="s">
        <v>21</v>
      </c>
      <c r="H28" s="4" t="s">
        <v>184</v>
      </c>
      <c r="I28" s="6" t="s">
        <v>185</v>
      </c>
      <c r="J28" s="6" t="s">
        <v>116</v>
      </c>
      <c r="K28" s="7" t="s">
        <v>186</v>
      </c>
      <c r="L28" s="8" t="s">
        <v>187</v>
      </c>
      <c r="M28" s="11" t="s">
        <v>239</v>
      </c>
    </row>
    <row r="29" spans="1:13" ht="43.5" customHeight="1" x14ac:dyDescent="0.25">
      <c r="A29" s="4">
        <f t="shared" si="0"/>
        <v>25</v>
      </c>
      <c r="B29" s="5">
        <v>46158.790833333333</v>
      </c>
      <c r="C29" s="4" t="s">
        <v>188</v>
      </c>
      <c r="D29" s="4" t="s">
        <v>44</v>
      </c>
      <c r="E29" s="11" t="s">
        <v>189</v>
      </c>
      <c r="F29" s="4" t="s">
        <v>183</v>
      </c>
      <c r="G29" s="4" t="s">
        <v>21</v>
      </c>
      <c r="H29" s="4" t="s">
        <v>184</v>
      </c>
      <c r="I29" s="6" t="s">
        <v>185</v>
      </c>
      <c r="J29" s="6" t="s">
        <v>116</v>
      </c>
      <c r="K29" s="7" t="s">
        <v>186</v>
      </c>
      <c r="L29" s="8" t="s">
        <v>187</v>
      </c>
      <c r="M29" s="11" t="s">
        <v>239</v>
      </c>
    </row>
    <row r="30" spans="1:13" ht="43.5" customHeight="1" x14ac:dyDescent="0.25">
      <c r="A30" s="4">
        <f t="shared" si="0"/>
        <v>26</v>
      </c>
      <c r="B30" s="5">
        <v>46168.544108796297</v>
      </c>
      <c r="C30" s="4" t="s">
        <v>190</v>
      </c>
      <c r="D30" s="4"/>
      <c r="E30" s="11" t="s">
        <v>191</v>
      </c>
      <c r="F30" s="4" t="s">
        <v>192</v>
      </c>
      <c r="G30" s="4" t="s">
        <v>21</v>
      </c>
      <c r="H30" s="4" t="s">
        <v>193</v>
      </c>
      <c r="I30" s="6" t="s">
        <v>55</v>
      </c>
      <c r="J30" s="6" t="s">
        <v>77</v>
      </c>
      <c r="K30" s="7" t="s">
        <v>194</v>
      </c>
      <c r="L30" s="8" t="s">
        <v>195</v>
      </c>
      <c r="M30" s="11" t="s">
        <v>241</v>
      </c>
    </row>
    <row r="31" spans="1:13" ht="43.5" customHeight="1" x14ac:dyDescent="0.25">
      <c r="A31" s="4">
        <f t="shared" si="0"/>
        <v>27</v>
      </c>
      <c r="B31" s="5">
        <v>46165.579976851855</v>
      </c>
      <c r="C31" s="4" t="s">
        <v>196</v>
      </c>
      <c r="D31" s="4" t="s">
        <v>18</v>
      </c>
      <c r="E31" s="11" t="s">
        <v>197</v>
      </c>
      <c r="F31" s="4" t="s">
        <v>198</v>
      </c>
      <c r="G31" s="4" t="s">
        <v>21</v>
      </c>
      <c r="H31" s="4" t="s">
        <v>199</v>
      </c>
      <c r="I31" s="6" t="s">
        <v>200</v>
      </c>
      <c r="J31" s="6" t="s">
        <v>201</v>
      </c>
      <c r="K31" s="7" t="s">
        <v>202</v>
      </c>
      <c r="L31" s="8" t="s">
        <v>144</v>
      </c>
      <c r="M31" s="11" t="s">
        <v>240</v>
      </c>
    </row>
    <row r="32" spans="1:13" ht="43.5" customHeight="1" x14ac:dyDescent="0.25">
      <c r="A32" s="4">
        <f t="shared" si="0"/>
        <v>28</v>
      </c>
      <c r="B32" s="5">
        <v>46168.469328703701</v>
      </c>
      <c r="C32" s="4" t="s">
        <v>203</v>
      </c>
      <c r="D32" s="4"/>
      <c r="E32" s="11" t="s">
        <v>204</v>
      </c>
      <c r="F32" s="4" t="s">
        <v>205</v>
      </c>
      <c r="G32" s="4" t="s">
        <v>21</v>
      </c>
      <c r="H32" s="4" t="s">
        <v>206</v>
      </c>
      <c r="I32" s="6" t="s">
        <v>55</v>
      </c>
      <c r="J32" s="6" t="s">
        <v>207</v>
      </c>
      <c r="K32" s="7" t="s">
        <v>208</v>
      </c>
      <c r="L32" s="8" t="s">
        <v>88</v>
      </c>
      <c r="M32" s="11" t="s">
        <v>235</v>
      </c>
    </row>
    <row r="33" spans="1:13" ht="43.5" customHeight="1" x14ac:dyDescent="0.25">
      <c r="A33" s="4">
        <f t="shared" si="0"/>
        <v>29</v>
      </c>
      <c r="B33" s="5">
        <v>46168.596030092594</v>
      </c>
      <c r="C33" s="4" t="s">
        <v>209</v>
      </c>
      <c r="D33" s="4"/>
      <c r="E33" s="11" t="s">
        <v>210</v>
      </c>
      <c r="F33" s="4" t="s">
        <v>211</v>
      </c>
      <c r="G33" s="4" t="s">
        <v>21</v>
      </c>
      <c r="H33" s="4" t="s">
        <v>212</v>
      </c>
      <c r="I33" s="6" t="s">
        <v>93</v>
      </c>
      <c r="J33" s="6" t="s">
        <v>101</v>
      </c>
      <c r="K33" s="7" t="s">
        <v>213</v>
      </c>
      <c r="L33" s="8" t="s">
        <v>214</v>
      </c>
      <c r="M33" s="11" t="s">
        <v>235</v>
      </c>
    </row>
    <row r="34" spans="1:13" ht="43.5" customHeight="1" x14ac:dyDescent="0.25">
      <c r="A34" s="4">
        <f t="shared" si="0"/>
        <v>30</v>
      </c>
      <c r="B34" s="5">
        <v>46160.781122685185</v>
      </c>
      <c r="C34" s="4" t="s">
        <v>215</v>
      </c>
      <c r="D34" s="4" t="s">
        <v>44</v>
      </c>
      <c r="E34" s="11" t="s">
        <v>216</v>
      </c>
      <c r="F34" s="4" t="s">
        <v>217</v>
      </c>
      <c r="G34" s="4" t="s">
        <v>21</v>
      </c>
      <c r="H34" s="4" t="s">
        <v>218</v>
      </c>
      <c r="I34" s="6" t="s">
        <v>219</v>
      </c>
      <c r="J34" s="6" t="s">
        <v>220</v>
      </c>
      <c r="K34" s="7" t="s">
        <v>221</v>
      </c>
      <c r="L34" s="8" t="s">
        <v>222</v>
      </c>
      <c r="M34" s="11" t="s">
        <v>237</v>
      </c>
    </row>
    <row r="35" spans="1:13" ht="43.5" customHeight="1" x14ac:dyDescent="0.25">
      <c r="A35" s="4">
        <v>31</v>
      </c>
      <c r="B35" s="5">
        <v>46141.551655092589</v>
      </c>
      <c r="C35" s="4" t="s">
        <v>223</v>
      </c>
      <c r="D35" s="4" t="s">
        <v>44</v>
      </c>
      <c r="E35" s="11" t="s">
        <v>224</v>
      </c>
      <c r="F35" s="4" t="s">
        <v>225</v>
      </c>
      <c r="G35" s="4" t="s">
        <v>21</v>
      </c>
      <c r="H35" s="4" t="s">
        <v>226</v>
      </c>
      <c r="I35" s="6" t="s">
        <v>227</v>
      </c>
      <c r="J35" s="6" t="s">
        <v>228</v>
      </c>
      <c r="K35" s="7" t="s">
        <v>229</v>
      </c>
      <c r="L35" s="8" t="s">
        <v>230</v>
      </c>
      <c r="M35" s="11" t="s">
        <v>44</v>
      </c>
    </row>
    <row r="36" spans="1:13" ht="43.5" customHeight="1" x14ac:dyDescent="0.25">
      <c r="A36" s="4">
        <v>32</v>
      </c>
      <c r="B36" s="5">
        <v>46168</v>
      </c>
      <c r="C36" s="4"/>
      <c r="D36" s="4"/>
      <c r="E36" s="11" t="s">
        <v>243</v>
      </c>
      <c r="F36" s="4"/>
      <c r="G36" s="4"/>
      <c r="H36" s="11" t="s">
        <v>244</v>
      </c>
      <c r="I36" s="6" t="s">
        <v>55</v>
      </c>
      <c r="J36" s="6">
        <v>46170.833333333336</v>
      </c>
      <c r="K36" s="7" t="s">
        <v>246</v>
      </c>
      <c r="L36" s="8"/>
      <c r="M36" s="17" t="s">
        <v>247</v>
      </c>
    </row>
    <row r="37" spans="1:13" ht="43.5" customHeight="1" x14ac:dyDescent="0.25">
      <c r="A37" s="4">
        <v>33</v>
      </c>
      <c r="B37" s="5">
        <v>46168</v>
      </c>
      <c r="C37" s="4"/>
      <c r="D37" s="4"/>
      <c r="E37" s="11" t="s">
        <v>245</v>
      </c>
      <c r="F37" s="4"/>
      <c r="G37" s="4"/>
      <c r="H37" s="11" t="s">
        <v>244</v>
      </c>
      <c r="I37" s="6">
        <v>46169.625</v>
      </c>
      <c r="J37" s="6">
        <v>46169.708333333336</v>
      </c>
      <c r="K37" s="7" t="s">
        <v>246</v>
      </c>
      <c r="L37" s="8"/>
      <c r="M37" s="18" t="s">
        <v>236</v>
      </c>
    </row>
    <row r="38" spans="1:13" ht="43.5" customHeight="1" x14ac:dyDescent="0.25">
      <c r="A38" s="4">
        <v>34</v>
      </c>
      <c r="B38" s="5">
        <v>46168</v>
      </c>
      <c r="C38" s="4"/>
      <c r="D38" s="4"/>
      <c r="E38" s="18" t="s">
        <v>248</v>
      </c>
      <c r="F38" s="19" t="s">
        <v>249</v>
      </c>
      <c r="G38" s="4"/>
      <c r="H38" s="18" t="s">
        <v>250</v>
      </c>
      <c r="I38" s="6">
        <v>46169.416666666664</v>
      </c>
      <c r="J38" s="6">
        <v>46169.75</v>
      </c>
      <c r="K38" s="19" t="s">
        <v>249</v>
      </c>
      <c r="L38" s="8"/>
      <c r="M38" s="18" t="s">
        <v>236</v>
      </c>
    </row>
    <row r="39" spans="1:13" ht="43.5" customHeight="1" x14ac:dyDescent="0.25">
      <c r="A39" s="4">
        <v>35</v>
      </c>
      <c r="B39" s="5">
        <v>46168</v>
      </c>
      <c r="C39" s="4"/>
      <c r="D39" s="4"/>
      <c r="E39" s="18" t="s">
        <v>251</v>
      </c>
      <c r="F39" s="18" t="s">
        <v>252</v>
      </c>
      <c r="G39" s="4"/>
      <c r="H39" s="19" t="s">
        <v>253</v>
      </c>
      <c r="I39" s="6">
        <v>46169.458333333336</v>
      </c>
      <c r="J39" s="6">
        <v>46169.708333333336</v>
      </c>
      <c r="K39" s="18" t="s">
        <v>252</v>
      </c>
      <c r="L39" s="8"/>
      <c r="M39" s="11" t="s">
        <v>254</v>
      </c>
    </row>
    <row r="40" spans="1:13" ht="43.5" customHeight="1" x14ac:dyDescent="0.25">
      <c r="A40" s="4">
        <v>36</v>
      </c>
      <c r="B40" s="5"/>
      <c r="C40" s="4"/>
      <c r="D40" s="4"/>
      <c r="E40" s="20" t="s">
        <v>255</v>
      </c>
      <c r="F40" s="20" t="s">
        <v>257</v>
      </c>
      <c r="G40" s="4"/>
      <c r="H40" s="20" t="s">
        <v>259</v>
      </c>
      <c r="I40" s="6">
        <v>46169.375</v>
      </c>
      <c r="J40" s="6">
        <v>46169.75</v>
      </c>
      <c r="K40" s="7"/>
      <c r="L40" s="8"/>
      <c r="M40" s="21" t="s">
        <v>261</v>
      </c>
    </row>
    <row r="41" spans="1:13" ht="43.5" customHeight="1" x14ac:dyDescent="0.25">
      <c r="A41" s="4">
        <v>37</v>
      </c>
      <c r="B41" s="5"/>
      <c r="C41" s="4"/>
      <c r="D41" s="4"/>
      <c r="E41" s="20" t="s">
        <v>256</v>
      </c>
      <c r="F41" s="20" t="s">
        <v>258</v>
      </c>
      <c r="G41" s="4"/>
      <c r="H41" s="20" t="s">
        <v>260</v>
      </c>
      <c r="I41" s="6">
        <v>46169.375</v>
      </c>
      <c r="J41" s="6">
        <v>46169.708333333336</v>
      </c>
      <c r="K41" s="7"/>
      <c r="L41" s="8"/>
      <c r="M41" s="21" t="s">
        <v>262</v>
      </c>
    </row>
    <row r="42" spans="1:13" ht="43.5" customHeight="1" x14ac:dyDescent="0.25">
      <c r="A42" s="22"/>
      <c r="B42" s="23"/>
      <c r="C42" s="23"/>
      <c r="D42" s="23"/>
      <c r="E42" s="23"/>
      <c r="F42" s="23"/>
      <c r="G42" s="23"/>
      <c r="H42" s="23"/>
      <c r="I42" s="23"/>
      <c r="J42" s="24"/>
      <c r="K42" s="27" t="s">
        <v>263</v>
      </c>
      <c r="L42" s="25"/>
      <c r="M42" s="26"/>
    </row>
  </sheetData>
  <mergeCells count="4">
    <mergeCell ref="B1:M1"/>
    <mergeCell ref="K4:L4"/>
    <mergeCell ref="A42:J42"/>
    <mergeCell ref="K42:M4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2026-05-26T11:09:42Z</dcterms:created>
  <dcterms:modified xsi:type="dcterms:W3CDTF">2026-05-26T13:39:49Z</dcterms:modified>
</cp:coreProperties>
</file>
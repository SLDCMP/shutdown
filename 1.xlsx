
<file path=[Content_Types].xml><?xml version="1.0" encoding="utf-8"?>
<Types xmlns="http://schemas.openxmlformats.org/package/2006/content-types"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D:\NEXT DAY SHUTDOWN\"/>
    </mc:Choice>
  </mc:AlternateContent>
  <bookViews>
    <workbookView xWindow="-120" yWindow="-120" windowWidth="21840" windowHeight="13140"/>
  </bookViews>
  <sheets>
    <sheet name="Sheet0" sheetId="1" r:id="rId1"/>
  </sheets>
  <definedNames>
    <definedName name="__bookmark_1">Sheet0!$A$1:$M$33</definedName>
  </definedNames>
  <calcPr calcId="162913"/>
</workbook>
</file>

<file path=xl/calcChain.xml><?xml version="1.0" encoding="utf-8"?>
<calcChain xmlns="http://schemas.openxmlformats.org/spreadsheetml/2006/main">
  <c r="A34" i="1" l="1"/>
  <c r="A35" i="1" s="1"/>
  <c r="A36" i="1" s="1"/>
  <c r="A37" i="1" s="1"/>
  <c r="A6" i="1" l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</calcChain>
</file>

<file path=xl/sharedStrings.xml><?xml version="1.0" encoding="utf-8"?>
<sst xmlns="http://schemas.openxmlformats.org/spreadsheetml/2006/main" count="354" uniqueCount="222">
  <si>
    <t>STATE LOAD DESPATCH CENTRE 
Madhya Pradesh Power Transmission Company Limited, Jabalpur</t>
  </si>
  <si>
    <t>From Date:</t>
  </si>
  <si>
    <t>Control Area :</t>
  </si>
  <si>
    <t>ALL</t>
  </si>
  <si>
    <t xml:space="preserve">Circle :  </t>
  </si>
  <si>
    <t>S.NO.</t>
  </si>
  <si>
    <t>APPLICATION DATE</t>
  </si>
  <si>
    <t>REQ_ID</t>
  </si>
  <si>
    <t>REQ TYPE</t>
  </si>
  <si>
    <t>ELEMENT</t>
  </si>
  <si>
    <t>SUBSTATION</t>
  </si>
  <si>
    <t>CATEGORY TYPE</t>
  </si>
  <si>
    <t>REASON FOR SHUT DOWN</t>
  </si>
  <si>
    <t>PROPOSED START DATE &amp; TIME</t>
  </si>
  <si>
    <t>PROPOSED STOP DATE &amp; TIME</t>
  </si>
  <si>
    <t>Availing Officer Name &amp; Mob. No.</t>
  </si>
  <si>
    <t>REMARK</t>
  </si>
  <si>
    <t>MR2604/0036</t>
  </si>
  <si>
    <t>132KV_132KV Mandsaur(400)-Alot Circuit Ist</t>
  </si>
  <si>
    <t>132KV_ALOT</t>
  </si>
  <si>
    <t>NON-OCCM-MP</t>
  </si>
  <si>
    <t>For Line maintenance work</t>
  </si>
  <si>
    <t>03-04-2026 10:00:00</t>
  </si>
  <si>
    <t>03-04-2026 18:00:00</t>
  </si>
  <si>
    <t>Gaurav Goyal</t>
  </si>
  <si>
    <t>9425805120</t>
  </si>
  <si>
    <t>MR2604/0039</t>
  </si>
  <si>
    <t>Daily</t>
  </si>
  <si>
    <t>220KV_220 kV Chhindwara-Pandhurna</t>
  </si>
  <si>
    <t>220KV_CHHINDWARA</t>
  </si>
  <si>
    <t>Conductor Re-sagging work</t>
  </si>
  <si>
    <t>03-04-2026 09:00:00</t>
  </si>
  <si>
    <t>06-04-2026 18:00:00</t>
  </si>
  <si>
    <t>A.M.Shende</t>
  </si>
  <si>
    <t>7587951136</t>
  </si>
  <si>
    <t>Continuous</t>
  </si>
  <si>
    <t>132KV_HATTA</t>
  </si>
  <si>
    <t>9425805067</t>
  </si>
  <si>
    <t>MR2601/0438</t>
  </si>
  <si>
    <t>132KV_132KV HATTA-BIJAWAR</t>
  </si>
  <si>
    <t>Replacement of ACSR Panther Conductor with HTLS</t>
  </si>
  <si>
    <t>29-01-2026 09:00:00</t>
  </si>
  <si>
    <t>25-04-2026 18:00:00</t>
  </si>
  <si>
    <t>M.M. Baig</t>
  </si>
  <si>
    <t>MR2603/0684</t>
  </si>
  <si>
    <t>400KV_UNIT#01</t>
  </si>
  <si>
    <t>400KV_INDIRASAGAR</t>
  </si>
  <si>
    <t>NON-OCCM-WR</t>
  </si>
  <si>
    <t>ANNUAL MAINTENANCE</t>
  </si>
  <si>
    <t>01-04-2026 06:00:00</t>
  </si>
  <si>
    <t>15-04-2026 18:00:00</t>
  </si>
  <si>
    <t>SANJAY PATEL</t>
  </si>
  <si>
    <t>9575074321</t>
  </si>
  <si>
    <t>MR2604/0021</t>
  </si>
  <si>
    <t>220KV_220 kV Jabalpur- narsinghpur ckt-I</t>
  </si>
  <si>
    <t>220KV_JABALPUR</t>
  </si>
  <si>
    <t>Resagging work at Loc. No. 27R, 27R1, 28R, 29R</t>
  </si>
  <si>
    <t>02-04-2026 08:00:00</t>
  </si>
  <si>
    <t>10-04-2026 19:00:00</t>
  </si>
  <si>
    <t>Jitendra Tiwari</t>
  </si>
  <si>
    <t>9425805298</t>
  </si>
  <si>
    <t>MR2604/0022</t>
  </si>
  <si>
    <t>220KV_220 kV Jabalpur- Narsinghpur ckt-II</t>
  </si>
  <si>
    <t>MR2603/0739</t>
  </si>
  <si>
    <t>220KV_220 kV Jabalpur- Narsinghpur ckt-I</t>
  </si>
  <si>
    <t>Tower erection at Loc. No. 27R, 27R1, 28R, 29R</t>
  </si>
  <si>
    <t>01-04-2026 09:00:00</t>
  </si>
  <si>
    <t>03-04-2026 19:00:00</t>
  </si>
  <si>
    <t>MR2603/0740</t>
  </si>
  <si>
    <t>Tower errection at Loc. No. 27R, 27R1, 28R, 29R</t>
  </si>
  <si>
    <t>01-04-2026 08:00:00</t>
  </si>
  <si>
    <t>MR2603/0291</t>
  </si>
  <si>
    <t>400KV_400KV JP BINA -MP BINA LINE</t>
  </si>
  <si>
    <t>400KV_JP BINA</t>
  </si>
  <si>
    <t>PRIVENTIVE MAINTANCE</t>
  </si>
  <si>
    <t>06-04-2026 19:00:00</t>
  </si>
  <si>
    <t>Krishna SinghThakur</t>
  </si>
  <si>
    <t>7987976012</t>
  </si>
  <si>
    <t>MR2604/0046</t>
  </si>
  <si>
    <t>132KV_132KV INTERCONNECTOR IST LINE</t>
  </si>
  <si>
    <t>132KV_KATNI</t>
  </si>
  <si>
    <t>HTLS CONDUCTOR REPLACEMENT WORK</t>
  </si>
  <si>
    <t>08-04-2026 18:00:00</t>
  </si>
  <si>
    <t>MANOJ KUMAR TIWARI</t>
  </si>
  <si>
    <t>9425804993</t>
  </si>
  <si>
    <t>132KV_132 Kv 20 MVA GEC X-mer</t>
  </si>
  <si>
    <t>132KV_KATRA</t>
  </si>
  <si>
    <t>For Y phase HV CT hot point attending work.</t>
  </si>
  <si>
    <t>03-04-2026 11:00:00</t>
  </si>
  <si>
    <t>03-04-2026 13:00:00</t>
  </si>
  <si>
    <t>Mr. Kaniska Singh</t>
  </si>
  <si>
    <t>9425804656</t>
  </si>
  <si>
    <t>MR2604/0035</t>
  </si>
  <si>
    <t>MR2604/0043</t>
  </si>
  <si>
    <t>132KV_132KV Khapaswami.Sarni Feeder</t>
  </si>
  <si>
    <t>132KV_KHAPASWAMI</t>
  </si>
  <si>
    <t>CT and CB painting work.</t>
  </si>
  <si>
    <t>03-04-2026 12:00:00</t>
  </si>
  <si>
    <t>S.K.okte</t>
  </si>
  <si>
    <t>7587951132</t>
  </si>
  <si>
    <t>MR2604/0044</t>
  </si>
  <si>
    <t>132KV_132KV Khapaswami-Chhindwara Feeder</t>
  </si>
  <si>
    <t>03-04-2026 16:00:00</t>
  </si>
  <si>
    <t>S.K.Okte</t>
  </si>
  <si>
    <t>9685556803</t>
  </si>
  <si>
    <t>MR2604/0048</t>
  </si>
  <si>
    <t>132KV_40MVA EMCO XMER</t>
  </si>
  <si>
    <t>132KV_KYMORE</t>
  </si>
  <si>
    <t>For Pre-Monsoon Maintenance work</t>
  </si>
  <si>
    <t>03-04-2026 17:00:00</t>
  </si>
  <si>
    <t>SK chaturvedi</t>
  </si>
  <si>
    <t>9425806938</t>
  </si>
  <si>
    <t>MR2604/0032</t>
  </si>
  <si>
    <t>132KV_132KV Lakhnadon-Seoni Line</t>
  </si>
  <si>
    <t>132KV_LAKHNADONE</t>
  </si>
  <si>
    <t>to attend oil leakage in Y-ph. CT</t>
  </si>
  <si>
    <t>03-04-2026 14:00:00</t>
  </si>
  <si>
    <t>Seema Dongre</t>
  </si>
  <si>
    <t>9425807247</t>
  </si>
  <si>
    <t>MR2604/0038</t>
  </si>
  <si>
    <t>132KV_132 kv MSW Line</t>
  </si>
  <si>
    <t>132KV_MADHOTAL</t>
  </si>
  <si>
    <t>Y phase installed PT low voltage problem improveme</t>
  </si>
  <si>
    <t>Er. Shri A. K. Pandey</t>
  </si>
  <si>
    <t>9424645081</t>
  </si>
  <si>
    <t>220KV_NIPANIYA</t>
  </si>
  <si>
    <t>OCCM-MP</t>
  </si>
  <si>
    <t>MR2604/0026</t>
  </si>
  <si>
    <t>220KV_100MVA X-MER-1 CGL</t>
  </si>
  <si>
    <t>YEARLY MAINTENANCE AND TESTING</t>
  </si>
  <si>
    <t>K C PANWAR</t>
  </si>
  <si>
    <t>7584951066</t>
  </si>
  <si>
    <t>MR2603/0665</t>
  </si>
  <si>
    <t>220KV_Generating Unit # 01</t>
  </si>
  <si>
    <t>220KV_OMKARESHWAR</t>
  </si>
  <si>
    <t>Annual maintenance</t>
  </si>
  <si>
    <t>01-04-2026 10:00:00</t>
  </si>
  <si>
    <t>M S Karunakar</t>
  </si>
  <si>
    <t>7898703187</t>
  </si>
  <si>
    <t>MR2604/0001</t>
  </si>
  <si>
    <t>400KV_400KV SSTPH Pithampur ckt 1</t>
  </si>
  <si>
    <t>400KV_PITHAMPUR4</t>
  </si>
  <si>
    <t>Tower Restrengthening work on cross arm</t>
  </si>
  <si>
    <t>Naresh Pandre</t>
  </si>
  <si>
    <t>9425806905</t>
  </si>
  <si>
    <t>MR2604/0002</t>
  </si>
  <si>
    <t>400KV_400 KV SSTPH- Pithampur ckt 2</t>
  </si>
  <si>
    <t>MR2604/0042</t>
  </si>
  <si>
    <t>220KV_220KV MAIN BUS-I</t>
  </si>
  <si>
    <t>220KV_RAJGARH DHAR</t>
  </si>
  <si>
    <t>OLD DISC REPLACEMENT WORK AGAINST R&amp;R</t>
  </si>
  <si>
    <t>13-04-2026 18:00:00</t>
  </si>
  <si>
    <t>MANOJ RANDA</t>
  </si>
  <si>
    <t>9425820034</t>
  </si>
  <si>
    <t>MR2604/0040</t>
  </si>
  <si>
    <t>220KV_RAJGARH-PG-RAJGARH DHAR_Ckt_1</t>
  </si>
  <si>
    <t>MR2604/0031</t>
  </si>
  <si>
    <t>220KV_160MVA X-mer-II BBL</t>
  </si>
  <si>
    <t>220KV_SABALGARH</t>
  </si>
  <si>
    <t>Premonsoon Maintenance work</t>
  </si>
  <si>
    <t>Er. D D Mahour</t>
  </si>
  <si>
    <t>9425805742</t>
  </si>
  <si>
    <t>MR2604/0033</t>
  </si>
  <si>
    <t>132KV_132kV Seoni Nainpur Ckt-IInd</t>
  </si>
  <si>
    <t>220KV_SEONI</t>
  </si>
  <si>
    <t>Replacement of damage OPGW wire</t>
  </si>
  <si>
    <t>03-04-2026 08:00:00</t>
  </si>
  <si>
    <t>Amol Shende</t>
  </si>
  <si>
    <t>220KV_220KV 160MVA Xmer - I Make CGL</t>
  </si>
  <si>
    <t>R phase 132KV CT Oil Leakage Attending Work</t>
  </si>
  <si>
    <t>Arshad Qureshi</t>
  </si>
  <si>
    <t>7000771014</t>
  </si>
  <si>
    <t>MR2604/0060</t>
  </si>
  <si>
    <t>MR2604/0066</t>
  </si>
  <si>
    <t>132KV_132 KV SHUJALPUR KALAPIPAL LINE</t>
  </si>
  <si>
    <t>220KV_SHUJALPUR</t>
  </si>
  <si>
    <t>LINE MAINTENANCE WORK</t>
  </si>
  <si>
    <t>NITIN RESHWAL</t>
  </si>
  <si>
    <t>9425804890</t>
  </si>
  <si>
    <t>MR2604/0037</t>
  </si>
  <si>
    <t>132KV_132KV Mandsaur(400)-Sitamau Circuit IInd</t>
  </si>
  <si>
    <t>132KV_SITAMAU</t>
  </si>
  <si>
    <t>for Line maintenance work</t>
  </si>
  <si>
    <t>MR2604/0041</t>
  </si>
  <si>
    <t>220KV_160 MVA 3rd cgl-make Transformer</t>
  </si>
  <si>
    <t>220KV_TIKAMGARH</t>
  </si>
  <si>
    <t>Nifps commissioning and testing work</t>
  </si>
  <si>
    <t>Pushpendra Kumar soni</t>
  </si>
  <si>
    <t>9425806398</t>
  </si>
  <si>
    <t>sub ld</t>
  </si>
  <si>
    <t>ok, 220kv Pandhurna-Kalmeshwar ckt to be inservice</t>
  </si>
  <si>
    <t>ok</t>
  </si>
  <si>
    <t>as per system availability</t>
  </si>
  <si>
    <t>under review</t>
  </si>
  <si>
    <t>ok, after 11hrs</t>
  </si>
  <si>
    <t>ok, WRLDC code to be taken</t>
  </si>
  <si>
    <t>ok, through sub ld</t>
  </si>
  <si>
    <t>approved from 4th april</t>
  </si>
  <si>
    <t>deferred not in WR list</t>
  </si>
  <si>
    <t>o&amp;m consent required</t>
  </si>
  <si>
    <t>220KV_100MVA X-MER-2</t>
  </si>
  <si>
    <t>pending</t>
  </si>
  <si>
    <t>real time</t>
  </si>
  <si>
    <t>APPROVED OUTAGE LIST FOR DATED 03.04.2026</t>
  </si>
  <si>
    <t>400KV-SSP-RAJGARH-1</t>
  </si>
  <si>
    <t>NCA,POWERGRID-WR2 (PGCIL),SSP (SSNL),MADHYA PRADESH,GUJARAT</t>
  </si>
  <si>
    <t>03-Apr-2026</t>
  </si>
  <si>
    <t>08:00</t>
  </si>
  <si>
    <t>18:00</t>
  </si>
  <si>
    <t>SHUTDOWN REQUIRED FOR REPLACEMENT OF DEFECTIVE DISC INSULATOR</t>
  </si>
  <si>
    <t>220KV-SEONI-MP-SEONI-PG-1</t>
  </si>
  <si>
    <t>MADHYA PRADESH</t>
  </si>
  <si>
    <t>09:00</t>
  </si>
  <si>
    <t>FOR LINE MAINTENANCE WORK i.e. CLEANING OF DISC INSULATORS DURING LINE PATROLLING , REPLACEMENT OF FLASHOVERED DISC INSULATORS, TREE BRANCH CUTTING ETC AT VARIOUS TOWER LOCATIONS</t>
  </si>
  <si>
    <t>400KV-BINA-MP-JP-BINA-1</t>
  </si>
  <si>
    <t>06:00</t>
  </si>
  <si>
    <t>19:00</t>
  </si>
  <si>
    <t xml:space="preserve">
For line maintenance and conductor resagging work</t>
  </si>
  <si>
    <t>400KV-SSP-RAJGARH-2</t>
  </si>
  <si>
    <t>A/R OFF REQUIRED DUE TO OUTAGE OF CKT -1</t>
  </si>
  <si>
    <t>ok, line to be in service</t>
  </si>
  <si>
    <t>S/I SLDC JABALPUR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</si>
</sst>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[$-1010409]dd\-mm\-yyyy"/>
    <numFmt numFmtId="165" formatCode="[$-1010409]dd/mm/yyyy\ hh:mm"/>
  </numFmts>
  <fonts count="8" x14ac:knownFonts="1">
    <font>
      <sz val="11"/>
      <color indexed="8"/>
      <name val="Calibri"/>
      <family val="2"/>
      <scheme val="minor"/>
    </font>
    <font>
      <b/>
      <sz val="10"/>
      <color rgb="FF000000"/>
      <name val="Arial"/>
      <family val="2"/>
    </font>
    <font>
      <b/>
      <sz val="12"/>
      <color rgb="FF000000"/>
      <name val="Arial"/>
      <family val="2"/>
    </font>
    <font>
      <sz val="11"/>
      <name val="Calibri"/>
      <family val="2"/>
    </font>
    <font>
      <sz val="10"/>
      <color rgb="FF000000"/>
      <name val="Arial"/>
      <family val="2"/>
    </font>
    <font>
      <b/>
      <sz val="28"/>
      <color rgb="FF000000"/>
      <name val="Arial"/>
      <family val="2"/>
    </font>
    <font>
      <sz val="11"/>
      <name val="Calibri"/>
      <family val="2"/>
      <scheme val="minor"/>
    </font>
    <font>
      <b/>
      <sz val="11"/>
      <color indexed="8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FF"/>
      </patternFill>
    </fill>
    <fill>
      <patternFill patternType="solid">
        <fgColor rgb="FF00B050"/>
        <bgColor indexed="64"/>
      </patternFill>
    </fill>
    <fill>
      <patternFill patternType="solid">
        <fgColor theme="0"/>
        <bgColor indexed="64"/>
      </patternFill>
    </fill>
  </fills>
  <borders count="9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</borders>
  <cellStyleXfs count="1">
    <xf numFmtId="0" fontId="0" fillId="0" borderId="0"/>
  </cellStyleXfs>
  <cellXfs count="33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164" fontId="4" fillId="0" borderId="1" xfId="0" applyNumberFormat="1" applyFont="1" applyBorder="1" applyAlignment="1">
      <alignment horizontal="center" vertical="center"/>
    </xf>
    <xf numFmtId="165" fontId="4" fillId="0" borderId="1" xfId="0" applyNumberFormat="1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0" fillId="0" borderId="0" xfId="0" applyAlignment="1">
      <alignment wrapText="1"/>
    </xf>
    <xf numFmtId="0" fontId="2" fillId="2" borderId="1" xfId="0" applyFont="1" applyFill="1" applyBorder="1" applyAlignment="1">
      <alignment horizontal="center" vertical="center" wrapText="1"/>
    </xf>
    <xf numFmtId="0" fontId="3" fillId="0" borderId="2" xfId="0" applyFont="1" applyBorder="1"/>
    <xf numFmtId="0" fontId="3" fillId="0" borderId="3" xfId="0" applyFont="1" applyBorder="1"/>
    <xf numFmtId="0" fontId="1" fillId="0" borderId="1" xfId="0" applyFont="1" applyBorder="1" applyAlignment="1">
      <alignment horizontal="center" vertical="center"/>
    </xf>
    <xf numFmtId="0" fontId="5" fillId="3" borderId="4" xfId="0" applyFont="1" applyFill="1" applyBorder="1" applyAlignment="1">
      <alignment horizontal="center" vertical="center" wrapText="1"/>
    </xf>
    <xf numFmtId="0" fontId="5" fillId="3" borderId="2" xfId="0" applyFont="1" applyFill="1" applyBorder="1" applyAlignment="1">
      <alignment horizontal="center" vertical="center" wrapText="1"/>
    </xf>
    <xf numFmtId="0" fontId="5" fillId="3" borderId="3" xfId="0" applyFont="1" applyFill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/>
    </xf>
    <xf numFmtId="164" fontId="4" fillId="0" borderId="6" xfId="0" applyNumberFormat="1" applyFont="1" applyBorder="1" applyAlignment="1">
      <alignment horizontal="center" vertical="center"/>
    </xf>
    <xf numFmtId="0" fontId="4" fillId="0" borderId="6" xfId="0" applyFont="1" applyBorder="1" applyAlignment="1">
      <alignment horizontal="center" vertical="center" wrapText="1"/>
    </xf>
    <xf numFmtId="165" fontId="4" fillId="0" borderId="6" xfId="0" applyNumberFormat="1" applyFont="1" applyBorder="1" applyAlignment="1">
      <alignment horizontal="center" vertical="center"/>
    </xf>
    <xf numFmtId="0" fontId="4" fillId="0" borderId="7" xfId="0" applyFont="1" applyBorder="1" applyAlignment="1">
      <alignment horizontal="center" vertical="center"/>
    </xf>
    <xf numFmtId="0" fontId="4" fillId="0" borderId="8" xfId="0" applyFont="1" applyBorder="1" applyAlignment="1">
      <alignment horizontal="center" vertical="center"/>
    </xf>
    <xf numFmtId="0" fontId="0" fillId="4" borderId="5" xfId="0" applyFill="1" applyBorder="1"/>
    <xf numFmtId="0" fontId="6" fillId="4" borderId="5" xfId="0" applyFont="1" applyFill="1" applyBorder="1" applyAlignment="1">
      <alignment horizontal="center" vertical="center" wrapText="1"/>
    </xf>
    <xf numFmtId="0" fontId="0" fillId="4" borderId="5" xfId="0" applyFill="1" applyBorder="1" applyAlignment="1">
      <alignment wrapText="1"/>
    </xf>
    <xf numFmtId="15" fontId="6" fillId="4" borderId="5" xfId="0" applyNumberFormat="1" applyFont="1" applyFill="1" applyBorder="1" applyAlignment="1">
      <alignment horizontal="center" vertical="center" wrapText="1"/>
    </xf>
    <xf numFmtId="20" fontId="6" fillId="4" borderId="5" xfId="0" applyNumberFormat="1" applyFont="1" applyFill="1" applyBorder="1" applyAlignment="1">
      <alignment horizontal="center" vertical="center" wrapText="1"/>
    </xf>
    <xf numFmtId="0" fontId="7" fillId="4" borderId="5" xfId="0" applyFont="1" applyFill="1" applyBorder="1" applyAlignment="1">
      <alignment wrapText="1"/>
    </xf>
    <xf numFmtId="0" fontId="0" fillId="4" borderId="5" xfId="0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0</xdr:col>
      <xdr:colOff>605333</xdr:colOff>
      <xdr:row>1</xdr:row>
      <xdr:rowOff>3335</xdr:rowOff>
    </xdr:to>
    <xdr:pic>
      <xdr:nvPicPr>
        <xdr:cNvPr id="2" name="Picture 1" descr="Picture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39"/>
  <sheetViews>
    <sheetView tabSelected="1" workbookViewId="0">
      <pane xSplit="5" ySplit="1" topLeftCell="F2" activePane="bottomRight" state="frozen"/>
      <selection pane="topRight" activeCell="F1" sqref="F1"/>
      <selection pane="bottomLeft" activeCell="A2" sqref="A2"/>
      <selection pane="bottomRight" activeCell="C35" sqref="C35"/>
    </sheetView>
  </sheetViews>
  <sheetFormatPr defaultRowHeight="15" x14ac:dyDescent="0.25"/>
  <cols>
    <col min="2" max="2" width="11.140625" customWidth="1"/>
    <col min="3" max="3" width="13.42578125" customWidth="1"/>
    <col min="4" max="4" width="11" customWidth="1"/>
    <col min="5" max="5" width="47" style="12" customWidth="1"/>
    <col min="6" max="6" width="21.85546875" style="12" customWidth="1"/>
    <col min="7" max="7" width="16.140625" customWidth="1"/>
    <col min="8" max="8" width="53.7109375" customWidth="1"/>
    <col min="9" max="10" width="19.5703125" customWidth="1"/>
    <col min="11" max="11" width="23.140625" customWidth="1"/>
    <col min="12" max="12" width="12" customWidth="1"/>
    <col min="13" max="13" width="50.5703125" style="12" customWidth="1"/>
  </cols>
  <sheetData>
    <row r="1" spans="1:13" ht="43.7" customHeight="1" x14ac:dyDescent="0.25">
      <c r="A1" s="1"/>
      <c r="B1" s="13" t="s">
        <v>0</v>
      </c>
      <c r="C1" s="14"/>
      <c r="D1" s="14"/>
      <c r="E1" s="14"/>
      <c r="F1" s="14"/>
      <c r="G1" s="14"/>
      <c r="H1" s="14"/>
      <c r="I1" s="14"/>
      <c r="J1" s="14"/>
      <c r="K1" s="14"/>
      <c r="L1" s="14"/>
      <c r="M1" s="15"/>
    </row>
    <row r="2" spans="1:13" ht="42" customHeight="1" x14ac:dyDescent="0.25">
      <c r="A2" s="1" t="s">
        <v>1</v>
      </c>
      <c r="B2" s="2">
        <v>46115</v>
      </c>
      <c r="C2" s="1"/>
      <c r="D2" s="1"/>
      <c r="E2" s="17" t="s">
        <v>203</v>
      </c>
      <c r="F2" s="18"/>
      <c r="G2" s="18"/>
      <c r="H2" s="18"/>
      <c r="I2" s="18"/>
      <c r="J2" s="18"/>
      <c r="K2" s="19"/>
      <c r="L2" s="1"/>
      <c r="M2" s="9"/>
    </row>
    <row r="3" spans="1:13" ht="42" customHeight="1" x14ac:dyDescent="0.25">
      <c r="A3" s="3" t="s">
        <v>2</v>
      </c>
      <c r="B3" s="3" t="s">
        <v>3</v>
      </c>
      <c r="C3" s="3" t="s">
        <v>4</v>
      </c>
      <c r="D3" s="3" t="s">
        <v>3</v>
      </c>
      <c r="E3" s="9"/>
      <c r="F3" s="9"/>
      <c r="G3" s="1"/>
      <c r="H3" s="1"/>
      <c r="I3" s="1"/>
      <c r="J3" s="1"/>
      <c r="K3" s="1"/>
      <c r="L3" s="1"/>
      <c r="M3" s="9"/>
    </row>
    <row r="4" spans="1:13" ht="42" customHeight="1" x14ac:dyDescent="0.25">
      <c r="A4" s="3" t="s">
        <v>5</v>
      </c>
      <c r="B4" s="3" t="s">
        <v>6</v>
      </c>
      <c r="C4" s="3" t="s">
        <v>7</v>
      </c>
      <c r="D4" s="3" t="s">
        <v>8</v>
      </c>
      <c r="E4" s="10" t="s">
        <v>9</v>
      </c>
      <c r="F4" s="10" t="s">
        <v>10</v>
      </c>
      <c r="G4" s="3" t="s">
        <v>11</v>
      </c>
      <c r="H4" s="3" t="s">
        <v>12</v>
      </c>
      <c r="I4" s="3" t="s">
        <v>13</v>
      </c>
      <c r="J4" s="3" t="s">
        <v>14</v>
      </c>
      <c r="K4" s="16" t="s">
        <v>15</v>
      </c>
      <c r="L4" s="15"/>
      <c r="M4" s="10" t="s">
        <v>16</v>
      </c>
    </row>
    <row r="5" spans="1:13" ht="42.75" customHeight="1" x14ac:dyDescent="0.25">
      <c r="A5" s="4">
        <v>1</v>
      </c>
      <c r="B5" s="5">
        <v>46114.565092592595</v>
      </c>
      <c r="C5" s="4" t="s">
        <v>17</v>
      </c>
      <c r="D5" s="4"/>
      <c r="E5" s="11" t="s">
        <v>18</v>
      </c>
      <c r="F5" s="11" t="s">
        <v>19</v>
      </c>
      <c r="G5" s="4" t="s">
        <v>20</v>
      </c>
      <c r="H5" s="4" t="s">
        <v>21</v>
      </c>
      <c r="I5" s="6" t="s">
        <v>22</v>
      </c>
      <c r="J5" s="6" t="s">
        <v>23</v>
      </c>
      <c r="K5" s="7" t="s">
        <v>24</v>
      </c>
      <c r="L5" s="8" t="s">
        <v>25</v>
      </c>
      <c r="M5" s="11" t="s">
        <v>189</v>
      </c>
    </row>
    <row r="6" spans="1:13" ht="42.75" customHeight="1" x14ac:dyDescent="0.25">
      <c r="A6" s="4">
        <f>A5+1</f>
        <v>2</v>
      </c>
      <c r="B6" s="5">
        <v>46114.613217592596</v>
      </c>
      <c r="C6" s="4" t="s">
        <v>26</v>
      </c>
      <c r="D6" s="4" t="s">
        <v>27</v>
      </c>
      <c r="E6" s="11" t="s">
        <v>28</v>
      </c>
      <c r="F6" s="11" t="s">
        <v>29</v>
      </c>
      <c r="G6" s="4" t="s">
        <v>20</v>
      </c>
      <c r="H6" s="4" t="s">
        <v>30</v>
      </c>
      <c r="I6" s="6" t="s">
        <v>31</v>
      </c>
      <c r="J6" s="6" t="s">
        <v>32</v>
      </c>
      <c r="K6" s="7" t="s">
        <v>33</v>
      </c>
      <c r="L6" s="8" t="s">
        <v>34</v>
      </c>
      <c r="M6" s="11" t="s">
        <v>190</v>
      </c>
    </row>
    <row r="7" spans="1:13" ht="42.75" customHeight="1" x14ac:dyDescent="0.25">
      <c r="A7" s="4">
        <f t="shared" ref="A7:A21" si="0">A6+1</f>
        <v>3</v>
      </c>
      <c r="B7" s="5">
        <v>46050.577592592592</v>
      </c>
      <c r="C7" s="4" t="s">
        <v>38</v>
      </c>
      <c r="D7" s="4" t="s">
        <v>27</v>
      </c>
      <c r="E7" s="11" t="s">
        <v>39</v>
      </c>
      <c r="F7" s="11" t="s">
        <v>36</v>
      </c>
      <c r="G7" s="4" t="s">
        <v>20</v>
      </c>
      <c r="H7" s="4" t="s">
        <v>40</v>
      </c>
      <c r="I7" s="6" t="s">
        <v>41</v>
      </c>
      <c r="J7" s="6" t="s">
        <v>42</v>
      </c>
      <c r="K7" s="7" t="s">
        <v>43</v>
      </c>
      <c r="L7" s="8" t="s">
        <v>37</v>
      </c>
      <c r="M7" s="11" t="s">
        <v>191</v>
      </c>
    </row>
    <row r="8" spans="1:13" ht="42.75" customHeight="1" x14ac:dyDescent="0.25">
      <c r="A8" s="4">
        <f t="shared" si="0"/>
        <v>4</v>
      </c>
      <c r="B8" s="5">
        <v>46111.48060185185</v>
      </c>
      <c r="C8" s="4" t="s">
        <v>44</v>
      </c>
      <c r="D8" s="4" t="s">
        <v>35</v>
      </c>
      <c r="E8" s="11" t="s">
        <v>45</v>
      </c>
      <c r="F8" s="11" t="s">
        <v>46</v>
      </c>
      <c r="G8" s="4" t="s">
        <v>47</v>
      </c>
      <c r="H8" s="4" t="s">
        <v>48</v>
      </c>
      <c r="I8" s="6" t="s">
        <v>49</v>
      </c>
      <c r="J8" s="6" t="s">
        <v>50</v>
      </c>
      <c r="K8" s="7" t="s">
        <v>51</v>
      </c>
      <c r="L8" s="8" t="s">
        <v>52</v>
      </c>
      <c r="M8" s="11" t="s">
        <v>192</v>
      </c>
    </row>
    <row r="9" spans="1:13" ht="42.75" customHeight="1" x14ac:dyDescent="0.25">
      <c r="A9" s="4">
        <f t="shared" si="0"/>
        <v>5</v>
      </c>
      <c r="B9" s="5">
        <v>46113.663113425922</v>
      </c>
      <c r="C9" s="4" t="s">
        <v>53</v>
      </c>
      <c r="D9" s="4" t="s">
        <v>27</v>
      </c>
      <c r="E9" s="11" t="s">
        <v>54</v>
      </c>
      <c r="F9" s="11" t="s">
        <v>55</v>
      </c>
      <c r="G9" s="4" t="s">
        <v>20</v>
      </c>
      <c r="H9" s="4" t="s">
        <v>56</v>
      </c>
      <c r="I9" s="6" t="s">
        <v>57</v>
      </c>
      <c r="J9" s="6" t="s">
        <v>58</v>
      </c>
      <c r="K9" s="7" t="s">
        <v>59</v>
      </c>
      <c r="L9" s="8" t="s">
        <v>60</v>
      </c>
      <c r="M9" s="11" t="s">
        <v>193</v>
      </c>
    </row>
    <row r="10" spans="1:13" ht="42.75" customHeight="1" x14ac:dyDescent="0.25">
      <c r="A10" s="4">
        <f t="shared" si="0"/>
        <v>6</v>
      </c>
      <c r="B10" s="5">
        <v>46113.665219907409</v>
      </c>
      <c r="C10" s="4" t="s">
        <v>61</v>
      </c>
      <c r="D10" s="4" t="s">
        <v>27</v>
      </c>
      <c r="E10" s="11" t="s">
        <v>62</v>
      </c>
      <c r="F10" s="11" t="s">
        <v>55</v>
      </c>
      <c r="G10" s="4" t="s">
        <v>20</v>
      </c>
      <c r="H10" s="4" t="s">
        <v>56</v>
      </c>
      <c r="I10" s="6" t="s">
        <v>57</v>
      </c>
      <c r="J10" s="6" t="s">
        <v>58</v>
      </c>
      <c r="K10" s="7" t="s">
        <v>59</v>
      </c>
      <c r="L10" s="8" t="s">
        <v>60</v>
      </c>
      <c r="M10" s="11" t="s">
        <v>193</v>
      </c>
    </row>
    <row r="11" spans="1:13" ht="42.75" customHeight="1" x14ac:dyDescent="0.25">
      <c r="A11" s="4">
        <f t="shared" si="0"/>
        <v>7</v>
      </c>
      <c r="B11" s="5">
        <v>46112.713414351849</v>
      </c>
      <c r="C11" s="4" t="s">
        <v>63</v>
      </c>
      <c r="D11" s="4" t="s">
        <v>27</v>
      </c>
      <c r="E11" s="11" t="s">
        <v>64</v>
      </c>
      <c r="F11" s="11" t="s">
        <v>55</v>
      </c>
      <c r="G11" s="4" t="s">
        <v>20</v>
      </c>
      <c r="H11" s="4" t="s">
        <v>65</v>
      </c>
      <c r="I11" s="6" t="s">
        <v>66</v>
      </c>
      <c r="J11" s="6" t="s">
        <v>67</v>
      </c>
      <c r="K11" s="7" t="s">
        <v>59</v>
      </c>
      <c r="L11" s="8" t="s">
        <v>60</v>
      </c>
      <c r="M11" s="11" t="s">
        <v>194</v>
      </c>
    </row>
    <row r="12" spans="1:13" ht="42.75" customHeight="1" x14ac:dyDescent="0.25">
      <c r="A12" s="4">
        <f t="shared" si="0"/>
        <v>8</v>
      </c>
      <c r="B12" s="5">
        <v>46112.716134259259</v>
      </c>
      <c r="C12" s="4" t="s">
        <v>68</v>
      </c>
      <c r="D12" s="4" t="s">
        <v>35</v>
      </c>
      <c r="E12" s="11" t="s">
        <v>62</v>
      </c>
      <c r="F12" s="11" t="s">
        <v>55</v>
      </c>
      <c r="G12" s="4" t="s">
        <v>20</v>
      </c>
      <c r="H12" s="4" t="s">
        <v>69</v>
      </c>
      <c r="I12" s="6" t="s">
        <v>70</v>
      </c>
      <c r="J12" s="6" t="s">
        <v>67</v>
      </c>
      <c r="K12" s="7" t="s">
        <v>59</v>
      </c>
      <c r="L12" s="8" t="s">
        <v>60</v>
      </c>
      <c r="M12" s="11" t="s">
        <v>194</v>
      </c>
    </row>
    <row r="13" spans="1:13" ht="42.75" customHeight="1" x14ac:dyDescent="0.25">
      <c r="A13" s="4">
        <f t="shared" si="0"/>
        <v>9</v>
      </c>
      <c r="B13" s="5">
        <v>46095.718784722223</v>
      </c>
      <c r="C13" s="4" t="s">
        <v>71</v>
      </c>
      <c r="D13" s="4" t="s">
        <v>27</v>
      </c>
      <c r="E13" s="11" t="s">
        <v>72</v>
      </c>
      <c r="F13" s="11" t="s">
        <v>73</v>
      </c>
      <c r="G13" s="4" t="s">
        <v>47</v>
      </c>
      <c r="H13" s="4" t="s">
        <v>74</v>
      </c>
      <c r="I13" s="6" t="s">
        <v>49</v>
      </c>
      <c r="J13" s="6" t="s">
        <v>75</v>
      </c>
      <c r="K13" s="7" t="s">
        <v>76</v>
      </c>
      <c r="L13" s="8" t="s">
        <v>77</v>
      </c>
      <c r="M13" s="11" t="s">
        <v>195</v>
      </c>
    </row>
    <row r="14" spans="1:13" ht="42.75" customHeight="1" x14ac:dyDescent="0.25">
      <c r="A14" s="4">
        <f t="shared" si="0"/>
        <v>10</v>
      </c>
      <c r="B14" s="5">
        <v>46114.674560185187</v>
      </c>
      <c r="C14" s="4" t="s">
        <v>78</v>
      </c>
      <c r="D14" s="4" t="s">
        <v>27</v>
      </c>
      <c r="E14" s="11" t="s">
        <v>79</v>
      </c>
      <c r="F14" s="11" t="s">
        <v>80</v>
      </c>
      <c r="G14" s="4" t="s">
        <v>20</v>
      </c>
      <c r="H14" s="4" t="s">
        <v>81</v>
      </c>
      <c r="I14" s="6" t="s">
        <v>31</v>
      </c>
      <c r="J14" s="6" t="s">
        <v>82</v>
      </c>
      <c r="K14" s="7" t="s">
        <v>83</v>
      </c>
      <c r="L14" s="8" t="s">
        <v>84</v>
      </c>
      <c r="M14" s="11" t="s">
        <v>201</v>
      </c>
    </row>
    <row r="15" spans="1:13" ht="42.75" customHeight="1" x14ac:dyDescent="0.25">
      <c r="A15" s="4">
        <f t="shared" si="0"/>
        <v>11</v>
      </c>
      <c r="B15" s="5">
        <v>46114.542314814818</v>
      </c>
      <c r="C15" s="4" t="s">
        <v>92</v>
      </c>
      <c r="D15" s="4"/>
      <c r="E15" s="11" t="s">
        <v>85</v>
      </c>
      <c r="F15" s="11" t="s">
        <v>86</v>
      </c>
      <c r="G15" s="4" t="s">
        <v>20</v>
      </c>
      <c r="H15" s="4" t="s">
        <v>87</v>
      </c>
      <c r="I15" s="6" t="s">
        <v>88</v>
      </c>
      <c r="J15" s="6" t="s">
        <v>89</v>
      </c>
      <c r="K15" s="7" t="s">
        <v>90</v>
      </c>
      <c r="L15" s="8" t="s">
        <v>91</v>
      </c>
      <c r="M15" s="11" t="s">
        <v>191</v>
      </c>
    </row>
    <row r="16" spans="1:13" ht="42.75" customHeight="1" x14ac:dyDescent="0.25">
      <c r="A16" s="4">
        <f t="shared" si="0"/>
        <v>12</v>
      </c>
      <c r="B16" s="5">
        <v>46114.622418981482</v>
      </c>
      <c r="C16" s="4" t="s">
        <v>93</v>
      </c>
      <c r="D16" s="4"/>
      <c r="E16" s="11" t="s">
        <v>94</v>
      </c>
      <c r="F16" s="11" t="s">
        <v>95</v>
      </c>
      <c r="G16" s="4" t="s">
        <v>20</v>
      </c>
      <c r="H16" s="4" t="s">
        <v>96</v>
      </c>
      <c r="I16" s="6" t="s">
        <v>31</v>
      </c>
      <c r="J16" s="6" t="s">
        <v>97</v>
      </c>
      <c r="K16" s="7" t="s">
        <v>98</v>
      </c>
      <c r="L16" s="8" t="s">
        <v>99</v>
      </c>
      <c r="M16" s="11" t="s">
        <v>196</v>
      </c>
    </row>
    <row r="17" spans="1:13" ht="42.75" customHeight="1" x14ac:dyDescent="0.25">
      <c r="A17" s="4">
        <f t="shared" si="0"/>
        <v>13</v>
      </c>
      <c r="B17" s="5">
        <v>46114.636574074073</v>
      </c>
      <c r="C17" s="4" t="s">
        <v>100</v>
      </c>
      <c r="D17" s="4"/>
      <c r="E17" s="11" t="s">
        <v>101</v>
      </c>
      <c r="F17" s="11" t="s">
        <v>95</v>
      </c>
      <c r="G17" s="4" t="s">
        <v>20</v>
      </c>
      <c r="H17" s="4" t="s">
        <v>96</v>
      </c>
      <c r="I17" s="6" t="s">
        <v>97</v>
      </c>
      <c r="J17" s="6" t="s">
        <v>102</v>
      </c>
      <c r="K17" s="7" t="s">
        <v>103</v>
      </c>
      <c r="L17" s="8" t="s">
        <v>104</v>
      </c>
      <c r="M17" s="11" t="s">
        <v>196</v>
      </c>
    </row>
    <row r="18" spans="1:13" ht="42.75" customHeight="1" x14ac:dyDescent="0.25">
      <c r="A18" s="4">
        <f t="shared" si="0"/>
        <v>14</v>
      </c>
      <c r="B18" s="5">
        <v>46114.680266203701</v>
      </c>
      <c r="C18" s="4" t="s">
        <v>105</v>
      </c>
      <c r="D18" s="4"/>
      <c r="E18" s="11" t="s">
        <v>106</v>
      </c>
      <c r="F18" s="11" t="s">
        <v>107</v>
      </c>
      <c r="G18" s="4" t="s">
        <v>20</v>
      </c>
      <c r="H18" s="4" t="s">
        <v>108</v>
      </c>
      <c r="I18" s="6" t="s">
        <v>22</v>
      </c>
      <c r="J18" s="6" t="s">
        <v>109</v>
      </c>
      <c r="K18" s="7" t="s">
        <v>110</v>
      </c>
      <c r="L18" s="8" t="s">
        <v>111</v>
      </c>
      <c r="M18" s="11" t="s">
        <v>199</v>
      </c>
    </row>
    <row r="19" spans="1:13" ht="42.75" customHeight="1" x14ac:dyDescent="0.25">
      <c r="A19" s="4">
        <f t="shared" si="0"/>
        <v>15</v>
      </c>
      <c r="B19" s="5">
        <v>46114.51667824074</v>
      </c>
      <c r="C19" s="4" t="s">
        <v>112</v>
      </c>
      <c r="D19" s="4"/>
      <c r="E19" s="11" t="s">
        <v>113</v>
      </c>
      <c r="F19" s="11" t="s">
        <v>114</v>
      </c>
      <c r="G19" s="4" t="s">
        <v>20</v>
      </c>
      <c r="H19" s="4" t="s">
        <v>115</v>
      </c>
      <c r="I19" s="6" t="s">
        <v>88</v>
      </c>
      <c r="J19" s="6" t="s">
        <v>116</v>
      </c>
      <c r="K19" s="7" t="s">
        <v>117</v>
      </c>
      <c r="L19" s="8" t="s">
        <v>118</v>
      </c>
      <c r="M19" s="11" t="s">
        <v>191</v>
      </c>
    </row>
    <row r="20" spans="1:13" ht="42.75" customHeight="1" x14ac:dyDescent="0.25">
      <c r="A20" s="4">
        <f t="shared" si="0"/>
        <v>16</v>
      </c>
      <c r="B20" s="5">
        <v>46114.575821759259</v>
      </c>
      <c r="C20" s="4" t="s">
        <v>119</v>
      </c>
      <c r="D20" s="4"/>
      <c r="E20" s="11" t="s">
        <v>120</v>
      </c>
      <c r="F20" s="11" t="s">
        <v>121</v>
      </c>
      <c r="G20" s="4" t="s">
        <v>20</v>
      </c>
      <c r="H20" s="4" t="s">
        <v>122</v>
      </c>
      <c r="I20" s="6" t="s">
        <v>97</v>
      </c>
      <c r="J20" s="6" t="s">
        <v>102</v>
      </c>
      <c r="K20" s="7" t="s">
        <v>123</v>
      </c>
      <c r="L20" s="8" t="s">
        <v>124</v>
      </c>
      <c r="M20" s="11" t="s">
        <v>191</v>
      </c>
    </row>
    <row r="21" spans="1:13" ht="42.75" customHeight="1" x14ac:dyDescent="0.25">
      <c r="A21" s="4">
        <f t="shared" si="0"/>
        <v>17</v>
      </c>
      <c r="B21" s="5">
        <v>46113.733229166668</v>
      </c>
      <c r="C21" s="4" t="s">
        <v>127</v>
      </c>
      <c r="D21" s="4"/>
      <c r="E21" s="11" t="s">
        <v>128</v>
      </c>
      <c r="F21" s="11" t="s">
        <v>125</v>
      </c>
      <c r="G21" s="4" t="s">
        <v>126</v>
      </c>
      <c r="H21" s="4" t="s">
        <v>129</v>
      </c>
      <c r="I21" s="6" t="s">
        <v>22</v>
      </c>
      <c r="J21" s="6" t="s">
        <v>89</v>
      </c>
      <c r="K21" s="7" t="s">
        <v>130</v>
      </c>
      <c r="L21" s="8" t="s">
        <v>131</v>
      </c>
      <c r="M21" s="11" t="s">
        <v>196</v>
      </c>
    </row>
    <row r="22" spans="1:13" ht="42.75" customHeight="1" x14ac:dyDescent="0.25">
      <c r="A22" s="4">
        <f t="shared" ref="A22:A37" si="1">A21+1</f>
        <v>18</v>
      </c>
      <c r="B22" s="5">
        <v>46113.733229166668</v>
      </c>
      <c r="C22" s="4" t="s">
        <v>127</v>
      </c>
      <c r="D22" s="4"/>
      <c r="E22" s="11" t="s">
        <v>200</v>
      </c>
      <c r="F22" s="11" t="s">
        <v>125</v>
      </c>
      <c r="G22" s="4" t="s">
        <v>126</v>
      </c>
      <c r="H22" s="4" t="s">
        <v>129</v>
      </c>
      <c r="I22" s="6">
        <v>46115.5625</v>
      </c>
      <c r="J22" s="6"/>
      <c r="K22" s="7" t="s">
        <v>130</v>
      </c>
      <c r="L22" s="8" t="s">
        <v>131</v>
      </c>
      <c r="M22" s="11" t="s">
        <v>196</v>
      </c>
    </row>
    <row r="23" spans="1:13" ht="42.75" customHeight="1" x14ac:dyDescent="0.25">
      <c r="A23" s="4">
        <f t="shared" si="1"/>
        <v>19</v>
      </c>
      <c r="B23" s="5">
        <v>46109.748136574075</v>
      </c>
      <c r="C23" s="4" t="s">
        <v>132</v>
      </c>
      <c r="D23" s="4" t="s">
        <v>35</v>
      </c>
      <c r="E23" s="11" t="s">
        <v>133</v>
      </c>
      <c r="F23" s="11" t="s">
        <v>134</v>
      </c>
      <c r="G23" s="4" t="s">
        <v>47</v>
      </c>
      <c r="H23" s="4" t="s">
        <v>135</v>
      </c>
      <c r="I23" s="6" t="s">
        <v>136</v>
      </c>
      <c r="J23" s="6" t="s">
        <v>50</v>
      </c>
      <c r="K23" s="7" t="s">
        <v>137</v>
      </c>
      <c r="L23" s="8" t="s">
        <v>138</v>
      </c>
      <c r="M23" s="11" t="s">
        <v>192</v>
      </c>
    </row>
    <row r="24" spans="1:13" ht="42.75" customHeight="1" x14ac:dyDescent="0.25">
      <c r="A24" s="4">
        <f t="shared" si="1"/>
        <v>20</v>
      </c>
      <c r="B24" s="5">
        <v>46113.401608796295</v>
      </c>
      <c r="C24" s="4" t="s">
        <v>139</v>
      </c>
      <c r="D24" s="4" t="s">
        <v>35</v>
      </c>
      <c r="E24" s="11" t="s">
        <v>140</v>
      </c>
      <c r="F24" s="11" t="s">
        <v>141</v>
      </c>
      <c r="G24" s="4" t="s">
        <v>20</v>
      </c>
      <c r="H24" s="4" t="s">
        <v>142</v>
      </c>
      <c r="I24" s="6" t="s">
        <v>57</v>
      </c>
      <c r="J24" s="6" t="s">
        <v>50</v>
      </c>
      <c r="K24" s="7" t="s">
        <v>143</v>
      </c>
      <c r="L24" s="8" t="s">
        <v>144</v>
      </c>
      <c r="M24" s="11" t="s">
        <v>197</v>
      </c>
    </row>
    <row r="25" spans="1:13" ht="42.75" customHeight="1" x14ac:dyDescent="0.25">
      <c r="A25" s="4">
        <f t="shared" si="1"/>
        <v>21</v>
      </c>
      <c r="B25" s="5">
        <v>46113.402939814812</v>
      </c>
      <c r="C25" s="4" t="s">
        <v>145</v>
      </c>
      <c r="D25" s="4" t="s">
        <v>35</v>
      </c>
      <c r="E25" s="11" t="s">
        <v>146</v>
      </c>
      <c r="F25" s="11" t="s">
        <v>141</v>
      </c>
      <c r="G25" s="4" t="s">
        <v>20</v>
      </c>
      <c r="H25" s="4" t="s">
        <v>142</v>
      </c>
      <c r="I25" s="6" t="s">
        <v>57</v>
      </c>
      <c r="J25" s="6" t="s">
        <v>50</v>
      </c>
      <c r="K25" s="7" t="s">
        <v>143</v>
      </c>
      <c r="L25" s="8" t="s">
        <v>144</v>
      </c>
      <c r="M25" s="11" t="s">
        <v>197</v>
      </c>
    </row>
    <row r="26" spans="1:13" ht="42.75" customHeight="1" x14ac:dyDescent="0.25">
      <c r="A26" s="4">
        <f t="shared" si="1"/>
        <v>22</v>
      </c>
      <c r="B26" s="5">
        <v>46114.621898148151</v>
      </c>
      <c r="C26" s="4" t="s">
        <v>147</v>
      </c>
      <c r="D26" s="4" t="s">
        <v>35</v>
      </c>
      <c r="E26" s="11" t="s">
        <v>148</v>
      </c>
      <c r="F26" s="11" t="s">
        <v>149</v>
      </c>
      <c r="G26" s="4" t="s">
        <v>20</v>
      </c>
      <c r="H26" s="4" t="s">
        <v>150</v>
      </c>
      <c r="I26" s="6" t="s">
        <v>31</v>
      </c>
      <c r="J26" s="6" t="s">
        <v>151</v>
      </c>
      <c r="K26" s="7" t="s">
        <v>152</v>
      </c>
      <c r="L26" s="8" t="s">
        <v>153</v>
      </c>
      <c r="M26" s="11" t="s">
        <v>196</v>
      </c>
    </row>
    <row r="27" spans="1:13" ht="42.75" customHeight="1" x14ac:dyDescent="0.25">
      <c r="A27" s="4">
        <f t="shared" si="1"/>
        <v>23</v>
      </c>
      <c r="B27" s="5">
        <v>46114.620486111111</v>
      </c>
      <c r="C27" s="4" t="s">
        <v>154</v>
      </c>
      <c r="D27" s="4"/>
      <c r="E27" s="11" t="s">
        <v>155</v>
      </c>
      <c r="F27" s="11" t="s">
        <v>149</v>
      </c>
      <c r="G27" s="4" t="s">
        <v>20</v>
      </c>
      <c r="H27" s="4" t="s">
        <v>150</v>
      </c>
      <c r="I27" s="6" t="s">
        <v>31</v>
      </c>
      <c r="J27" s="6" t="s">
        <v>23</v>
      </c>
      <c r="K27" s="7" t="s">
        <v>152</v>
      </c>
      <c r="L27" s="8" t="s">
        <v>153</v>
      </c>
      <c r="M27" s="11" t="s">
        <v>198</v>
      </c>
    </row>
    <row r="28" spans="1:13" ht="42.75" customHeight="1" x14ac:dyDescent="0.25">
      <c r="A28" s="4">
        <f t="shared" si="1"/>
        <v>24</v>
      </c>
      <c r="B28" s="5">
        <v>46114.469525462962</v>
      </c>
      <c r="C28" s="4" t="s">
        <v>156</v>
      </c>
      <c r="D28" s="4"/>
      <c r="E28" s="11" t="s">
        <v>157</v>
      </c>
      <c r="F28" s="11" t="s">
        <v>158</v>
      </c>
      <c r="G28" s="4" t="s">
        <v>20</v>
      </c>
      <c r="H28" s="4" t="s">
        <v>159</v>
      </c>
      <c r="I28" s="6" t="s">
        <v>31</v>
      </c>
      <c r="J28" s="6" t="s">
        <v>109</v>
      </c>
      <c r="K28" s="7" t="s">
        <v>160</v>
      </c>
      <c r="L28" s="8" t="s">
        <v>161</v>
      </c>
      <c r="M28" s="11" t="s">
        <v>196</v>
      </c>
    </row>
    <row r="29" spans="1:13" ht="42.75" customHeight="1" x14ac:dyDescent="0.25">
      <c r="A29" s="4">
        <f t="shared" si="1"/>
        <v>25</v>
      </c>
      <c r="B29" s="5">
        <v>46114.541956018518</v>
      </c>
      <c r="C29" s="4" t="s">
        <v>162</v>
      </c>
      <c r="D29" s="4" t="s">
        <v>27</v>
      </c>
      <c r="E29" s="11" t="s">
        <v>163</v>
      </c>
      <c r="F29" s="11" t="s">
        <v>164</v>
      </c>
      <c r="G29" s="4" t="s">
        <v>20</v>
      </c>
      <c r="H29" s="4" t="s">
        <v>165</v>
      </c>
      <c r="I29" s="6" t="s">
        <v>166</v>
      </c>
      <c r="J29" s="6" t="s">
        <v>151</v>
      </c>
      <c r="K29" s="7" t="s">
        <v>167</v>
      </c>
      <c r="L29" s="8" t="s">
        <v>34</v>
      </c>
      <c r="M29" s="11" t="s">
        <v>191</v>
      </c>
    </row>
    <row r="30" spans="1:13" ht="42.75" customHeight="1" x14ac:dyDescent="0.25">
      <c r="A30" s="4">
        <f t="shared" si="1"/>
        <v>26</v>
      </c>
      <c r="B30" s="5">
        <v>46114.696435185186</v>
      </c>
      <c r="C30" s="4" t="s">
        <v>172</v>
      </c>
      <c r="D30" s="4"/>
      <c r="E30" s="11" t="s">
        <v>168</v>
      </c>
      <c r="F30" s="11" t="s">
        <v>164</v>
      </c>
      <c r="G30" s="4" t="s">
        <v>20</v>
      </c>
      <c r="H30" s="4" t="s">
        <v>169</v>
      </c>
      <c r="I30" s="6" t="s">
        <v>22</v>
      </c>
      <c r="J30" s="6" t="s">
        <v>89</v>
      </c>
      <c r="K30" s="7" t="s">
        <v>170</v>
      </c>
      <c r="L30" s="8" t="s">
        <v>171</v>
      </c>
      <c r="M30" s="11" t="s">
        <v>202</v>
      </c>
    </row>
    <row r="31" spans="1:13" ht="42.75" customHeight="1" x14ac:dyDescent="0.25">
      <c r="A31" s="4">
        <f t="shared" si="1"/>
        <v>27</v>
      </c>
      <c r="B31" s="5">
        <v>46114.718692129631</v>
      </c>
      <c r="C31" s="4" t="s">
        <v>173</v>
      </c>
      <c r="D31" s="4"/>
      <c r="E31" s="11" t="s">
        <v>174</v>
      </c>
      <c r="F31" s="11" t="s">
        <v>175</v>
      </c>
      <c r="G31" s="4" t="s">
        <v>20</v>
      </c>
      <c r="H31" s="4" t="s">
        <v>176</v>
      </c>
      <c r="I31" s="6" t="s">
        <v>31</v>
      </c>
      <c r="J31" s="6" t="s">
        <v>89</v>
      </c>
      <c r="K31" s="7" t="s">
        <v>177</v>
      </c>
      <c r="L31" s="8" t="s">
        <v>178</v>
      </c>
      <c r="M31" s="11" t="s">
        <v>189</v>
      </c>
    </row>
    <row r="32" spans="1:13" ht="42.75" customHeight="1" x14ac:dyDescent="0.25">
      <c r="A32" s="4">
        <f t="shared" si="1"/>
        <v>28</v>
      </c>
      <c r="B32" s="5">
        <v>46114.567129629628</v>
      </c>
      <c r="C32" s="4" t="s">
        <v>179</v>
      </c>
      <c r="D32" s="4"/>
      <c r="E32" s="11" t="s">
        <v>180</v>
      </c>
      <c r="F32" s="11" t="s">
        <v>181</v>
      </c>
      <c r="G32" s="4" t="s">
        <v>20</v>
      </c>
      <c r="H32" s="4" t="s">
        <v>182</v>
      </c>
      <c r="I32" s="6" t="s">
        <v>22</v>
      </c>
      <c r="J32" s="6" t="s">
        <v>23</v>
      </c>
      <c r="K32" s="7" t="s">
        <v>24</v>
      </c>
      <c r="L32" s="8" t="s">
        <v>25</v>
      </c>
      <c r="M32" s="11" t="s">
        <v>189</v>
      </c>
    </row>
    <row r="33" spans="1:13" ht="42.75" customHeight="1" x14ac:dyDescent="0.25">
      <c r="A33" s="20">
        <f t="shared" si="1"/>
        <v>29</v>
      </c>
      <c r="B33" s="21">
        <v>46114.621377314812</v>
      </c>
      <c r="C33" s="20" t="s">
        <v>183</v>
      </c>
      <c r="D33" s="20"/>
      <c r="E33" s="22" t="s">
        <v>184</v>
      </c>
      <c r="F33" s="22" t="s">
        <v>185</v>
      </c>
      <c r="G33" s="20" t="s">
        <v>20</v>
      </c>
      <c r="H33" s="20" t="s">
        <v>186</v>
      </c>
      <c r="I33" s="23" t="s">
        <v>22</v>
      </c>
      <c r="J33" s="23" t="s">
        <v>109</v>
      </c>
      <c r="K33" s="24" t="s">
        <v>187</v>
      </c>
      <c r="L33" s="25" t="s">
        <v>188</v>
      </c>
      <c r="M33" s="22" t="s">
        <v>191</v>
      </c>
    </row>
    <row r="34" spans="1:13" ht="90" x14ac:dyDescent="0.25">
      <c r="A34" s="4">
        <f t="shared" si="1"/>
        <v>30</v>
      </c>
      <c r="B34" s="26"/>
      <c r="C34" s="26"/>
      <c r="D34" s="26"/>
      <c r="E34" s="27" t="s">
        <v>204</v>
      </c>
      <c r="F34" s="28"/>
      <c r="G34" s="27" t="s">
        <v>205</v>
      </c>
      <c r="H34" s="27" t="s">
        <v>209</v>
      </c>
      <c r="I34" s="29" t="s">
        <v>206</v>
      </c>
      <c r="J34" s="30" t="s">
        <v>207</v>
      </c>
      <c r="K34" s="29" t="s">
        <v>206</v>
      </c>
      <c r="L34" s="30" t="s">
        <v>208</v>
      </c>
      <c r="M34" s="32" t="s">
        <v>196</v>
      </c>
    </row>
    <row r="35" spans="1:13" ht="60" x14ac:dyDescent="0.25">
      <c r="A35" s="20">
        <f t="shared" si="1"/>
        <v>31</v>
      </c>
      <c r="B35" s="26"/>
      <c r="C35" s="26"/>
      <c r="D35" s="26"/>
      <c r="E35" s="27" t="s">
        <v>210</v>
      </c>
      <c r="F35" s="28"/>
      <c r="G35" s="27" t="s">
        <v>211</v>
      </c>
      <c r="H35" s="27" t="s">
        <v>213</v>
      </c>
      <c r="I35" s="27" t="s">
        <v>206</v>
      </c>
      <c r="J35" s="27" t="s">
        <v>212</v>
      </c>
      <c r="K35" s="27" t="s">
        <v>206</v>
      </c>
      <c r="L35" s="27" t="s">
        <v>208</v>
      </c>
      <c r="M35" s="32" t="s">
        <v>202</v>
      </c>
    </row>
    <row r="36" spans="1:13" ht="30" x14ac:dyDescent="0.25">
      <c r="A36" s="4">
        <f t="shared" si="1"/>
        <v>32</v>
      </c>
      <c r="B36" s="26"/>
      <c r="C36" s="26"/>
      <c r="D36" s="26"/>
      <c r="E36" s="27" t="s">
        <v>214</v>
      </c>
      <c r="F36" s="28"/>
      <c r="G36" s="27" t="s">
        <v>211</v>
      </c>
      <c r="H36" s="27" t="s">
        <v>217</v>
      </c>
      <c r="I36" s="27" t="s">
        <v>206</v>
      </c>
      <c r="J36" s="27" t="s">
        <v>215</v>
      </c>
      <c r="K36" s="27" t="s">
        <v>206</v>
      </c>
      <c r="L36" s="27" t="s">
        <v>216</v>
      </c>
      <c r="M36" s="32" t="s">
        <v>195</v>
      </c>
    </row>
    <row r="37" spans="1:13" ht="90" x14ac:dyDescent="0.25">
      <c r="A37" s="20">
        <f t="shared" si="1"/>
        <v>33</v>
      </c>
      <c r="B37" s="26"/>
      <c r="C37" s="26"/>
      <c r="D37" s="26"/>
      <c r="E37" s="27" t="s">
        <v>218</v>
      </c>
      <c r="F37" s="28"/>
      <c r="G37" s="27" t="s">
        <v>205</v>
      </c>
      <c r="H37" s="27" t="s">
        <v>219</v>
      </c>
      <c r="I37" s="27" t="s">
        <v>206</v>
      </c>
      <c r="J37" s="27" t="s">
        <v>207</v>
      </c>
      <c r="K37" s="27" t="s">
        <v>206</v>
      </c>
      <c r="L37" s="27" t="s">
        <v>208</v>
      </c>
      <c r="M37" s="32" t="s">
        <v>220</v>
      </c>
    </row>
    <row r="38" spans="1:13" x14ac:dyDescent="0.25">
      <c r="A38" s="26"/>
      <c r="B38" s="26"/>
      <c r="C38" s="26"/>
      <c r="D38" s="26"/>
      <c r="E38" s="28"/>
      <c r="F38" s="28"/>
      <c r="G38" s="26"/>
      <c r="H38" s="26"/>
      <c r="I38" s="26"/>
      <c r="J38" s="26"/>
      <c r="K38" s="26"/>
      <c r="L38" s="26"/>
      <c r="M38" s="31" t="s">
        <v>221</v>
      </c>
    </row>
    <row r="39" spans="1:13" x14ac:dyDescent="0.25">
      <c r="A39" s="26"/>
      <c r="B39" s="26"/>
      <c r="C39" s="26"/>
      <c r="D39" s="26"/>
      <c r="E39" s="28"/>
      <c r="F39" s="28"/>
      <c r="G39" s="26"/>
      <c r="H39" s="26"/>
      <c r="I39" s="26"/>
      <c r="J39" s="26"/>
      <c r="K39" s="26"/>
      <c r="L39" s="26"/>
      <c r="M39" s="28"/>
    </row>
  </sheetData>
  <mergeCells count="3">
    <mergeCell ref="B1:M1"/>
    <mergeCell ref="K4:L4"/>
    <mergeCell ref="E2:K2"/>
  </mergeCells>
  <pageMargins left="0.25" right="0.25" top="0.75" bottom="0.75" header="0.5" footer="0.5"/>
  <pageSetup paperSize="9" orientation="landscape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Sheet0</vt:lpstr>
      <vt:lpstr>__bookmark_1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DELL</cp:lastModifiedBy>
  <dcterms:created xsi:type="dcterms:W3CDTF">2026-04-02T12:26:49Z</dcterms:created>
  <dcterms:modified xsi:type="dcterms:W3CDTF">2026-04-02T15:49:08Z</dcterms:modified>
</cp:coreProperties>
</file>
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NEXT DAY SHUTDOWN\"/>
    </mc:Choice>
  </mc:AlternateContent>
  <bookViews>
    <workbookView xWindow="0" yWindow="0" windowWidth="28800" windowHeight="11805" activeTab="1"/>
  </bookViews>
  <sheets>
    <sheet name="POWER SURRENDER  " sheetId="1" r:id="rId1"/>
    <sheet name="TRIPPING REPORT" sheetId="2" r:id="rId2"/>
  </sheets>
  <definedNames>
    <definedName name="_xlnm._FilterDatabase" localSheetId="0" hidden="1">'POWER SURRENDER  '!$A$4:$AZ$4</definedName>
    <definedName name="_xlnm.Print_Area" localSheetId="0">'POWER SURRENDER  '!$A$1:$AB$36</definedName>
    <definedName name="_xlnm.Print_Area" localSheetId="1">'TRIPPING REPORT'!$A$1:$K$27</definedName>
    <definedName name="_xlnm.Print_Titles" localSheetId="1">'TRIPPING REPORT'!$2:$5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23" i="2" l="1"/>
  <c r="H22" i="2"/>
  <c r="H20" i="2"/>
  <c r="H19" i="2"/>
  <c r="H18" i="2"/>
  <c r="H17" i="2"/>
  <c r="H16" i="2"/>
  <c r="H15" i="2"/>
  <c r="H14" i="2"/>
  <c r="H13" i="2"/>
  <c r="H12" i="2"/>
  <c r="H11" i="2"/>
  <c r="H10" i="2"/>
  <c r="H9" i="2"/>
  <c r="H8" i="2"/>
  <c r="H7" i="2"/>
  <c r="H6" i="2"/>
  <c r="AA65" i="1"/>
  <c r="Z65" i="1"/>
  <c r="Y65" i="1"/>
  <c r="X65" i="1"/>
  <c r="W65" i="1"/>
  <c r="V65" i="1"/>
  <c r="U65" i="1"/>
  <c r="T65" i="1"/>
  <c r="S65" i="1"/>
  <c r="R65" i="1"/>
  <c r="Q65" i="1"/>
  <c r="P65" i="1"/>
  <c r="O65" i="1"/>
  <c r="N65" i="1"/>
  <c r="M65" i="1"/>
  <c r="L65" i="1"/>
  <c r="K65" i="1"/>
  <c r="J65" i="1"/>
  <c r="I65" i="1"/>
  <c r="H65" i="1"/>
  <c r="G65" i="1"/>
  <c r="F65" i="1"/>
  <c r="E65" i="1"/>
  <c r="D65" i="1"/>
  <c r="AA36" i="1"/>
  <c r="Z36" i="1"/>
  <c r="Y36" i="1"/>
  <c r="X36" i="1"/>
  <c r="W36" i="1"/>
  <c r="V36" i="1"/>
  <c r="U36" i="1"/>
  <c r="T36" i="1"/>
  <c r="S36" i="1"/>
  <c r="R36" i="1"/>
  <c r="Q36" i="1"/>
  <c r="P36" i="1"/>
  <c r="O36" i="1"/>
  <c r="N36" i="1"/>
  <c r="M36" i="1"/>
  <c r="L36" i="1"/>
  <c r="K36" i="1"/>
  <c r="J36" i="1"/>
  <c r="I36" i="1"/>
  <c r="H36" i="1"/>
  <c r="G36" i="1"/>
  <c r="F36" i="1"/>
  <c r="E36" i="1"/>
  <c r="D36" i="1"/>
  <c r="AE27" i="1"/>
  <c r="AE26" i="1"/>
  <c r="AE25" i="1"/>
  <c r="AE24" i="1"/>
  <c r="AE23" i="1"/>
  <c r="AE22" i="1"/>
  <c r="AE21" i="1"/>
  <c r="AE20" i="1"/>
  <c r="AE19" i="1"/>
  <c r="AE18" i="1"/>
  <c r="AE17" i="1"/>
  <c r="AE16" i="1"/>
  <c r="AE15" i="1"/>
  <c r="AE14" i="1"/>
  <c r="AE13" i="1"/>
  <c r="AE12" i="1"/>
  <c r="AE11" i="1"/>
  <c r="AE10" i="1"/>
  <c r="AE9" i="1"/>
  <c r="AE8" i="1"/>
  <c r="AE7" i="1"/>
  <c r="AE6" i="1"/>
  <c r="AE5" i="1"/>
  <c r="AE4" i="1"/>
</calcChain>
</file>

<file path=xl/sharedStrings.xml><?xml version="1.0" encoding="utf-8"?>
<sst xmlns="http://schemas.openxmlformats.org/spreadsheetml/2006/main" count="216" uniqueCount="132">
  <si>
    <t>POWER SURRENDER REPORT FOR 03.05.2026</t>
  </si>
  <si>
    <t xml:space="preserve"> </t>
  </si>
  <si>
    <t>NAME OF POWER AS PER MOD W.E.F. 11.04.2026</t>
  </si>
  <si>
    <t>VARIABLE RATE AT MP PERIPHERY IN RS/KWH</t>
  </si>
  <si>
    <t>00.00 TO 00.15</t>
  </si>
  <si>
    <t>00.15 TO 00.30</t>
  </si>
  <si>
    <t>00.30 TO 00.45</t>
  </si>
  <si>
    <t>00.45 TO 01.00</t>
  </si>
  <si>
    <t>01.00 TO 01.15</t>
  </si>
  <si>
    <t>01.15 TO 01.30</t>
  </si>
  <si>
    <t>01.30 TO 01.45</t>
  </si>
  <si>
    <t>01.45 TO 02.00</t>
  </si>
  <si>
    <t>02.00 TO 02.15</t>
  </si>
  <si>
    <t>02.15 TO 02.30</t>
  </si>
  <si>
    <t>02.30 TO 02.45</t>
  </si>
  <si>
    <t>02.45 TO 03.00</t>
  </si>
  <si>
    <t>03.00 TO 03.15</t>
  </si>
  <si>
    <t>03.15 TO 03.30</t>
  </si>
  <si>
    <t>03.30 TO 03.45</t>
  </si>
  <si>
    <t>03.45 TO 04.00</t>
  </si>
  <si>
    <t>04.00 TO 04.15</t>
  </si>
  <si>
    <t>04.15 TO 04.30</t>
  </si>
  <si>
    <t>04.30 TO 04.45</t>
  </si>
  <si>
    <t>04.45 TO 05.00</t>
  </si>
  <si>
    <t>05.00 TO 05.15</t>
  </si>
  <si>
    <t>05.15 TO 05.30</t>
  </si>
  <si>
    <t>05.30 TO 05.45</t>
  </si>
  <si>
    <t>05.45 TO 06.00</t>
  </si>
  <si>
    <t>REMARK</t>
  </si>
  <si>
    <t>BLOCK</t>
  </si>
  <si>
    <t>TORRENT</t>
  </si>
  <si>
    <t xml:space="preserve">                                </t>
  </si>
  <si>
    <t>Solapur I</t>
  </si>
  <si>
    <t xml:space="preserve">BLA </t>
  </si>
  <si>
    <t>JP Bina</t>
  </si>
  <si>
    <t>Khargone</t>
  </si>
  <si>
    <t>Gadarwara</t>
  </si>
  <si>
    <t>DVC (DTPS) (STOA LOI)</t>
  </si>
  <si>
    <t>Mauda-I</t>
  </si>
  <si>
    <t>Mauda-II</t>
  </si>
  <si>
    <t>MB Power</t>
  </si>
  <si>
    <t>SSTPS # 1 &amp; 2</t>
  </si>
  <si>
    <t>SGTPS -4x210</t>
  </si>
  <si>
    <t>SSTPS  # 3 &amp; 4</t>
  </si>
  <si>
    <t>KAHALGAON-II</t>
  </si>
  <si>
    <t>Jhabua Power</t>
  </si>
  <si>
    <t>STPS Sarni 10 &amp; 11</t>
  </si>
  <si>
    <t>Mahan Energen Ltd. (5%)</t>
  </si>
  <si>
    <t>VSTPS-I</t>
  </si>
  <si>
    <t>SGTPS -1x500</t>
  </si>
  <si>
    <t>VSTPS-II</t>
  </si>
  <si>
    <t>VSTPS-V</t>
  </si>
  <si>
    <t>VSTPS-III</t>
  </si>
  <si>
    <t>VSTPS-IV</t>
  </si>
  <si>
    <t>Korba Power Ltd. (FSA)</t>
  </si>
  <si>
    <t xml:space="preserve">ATPS (210MW) </t>
  </si>
  <si>
    <t>Sasan</t>
  </si>
  <si>
    <t>KSTPS</t>
  </si>
  <si>
    <t>KSTPS-III</t>
  </si>
  <si>
    <t>Lara</t>
  </si>
  <si>
    <t>SIPAT II</t>
  </si>
  <si>
    <t>SIPAT I</t>
  </si>
  <si>
    <t>KAWAS (APM)</t>
  </si>
  <si>
    <t>JP Nigrie</t>
  </si>
  <si>
    <t>TOTAL</t>
  </si>
  <si>
    <t>.</t>
  </si>
  <si>
    <t xml:space="preserve">STATE LOAD DISPATCH CENTRE, M.P.P.T.C.L., </t>
  </si>
  <si>
    <t xml:space="preserve"> Tripping of EHV Elements</t>
  </si>
  <si>
    <t>DATE 02.05.26 - 05:00 HRS TO 03.05.26 - 05:00 HRS</t>
  </si>
  <si>
    <t>S. No.</t>
  </si>
  <si>
    <t>Tripping Details</t>
  </si>
  <si>
    <t>Area of Interruption</t>
  </si>
  <si>
    <t>From</t>
  </si>
  <si>
    <t>To</t>
  </si>
  <si>
    <t>Duration (hh:mm)</t>
  </si>
  <si>
    <t>INDICATIONS AT THIS END</t>
  </si>
  <si>
    <t>INDICATIONS AT  OTHER END</t>
  </si>
  <si>
    <t>Date</t>
  </si>
  <si>
    <t>Time</t>
  </si>
  <si>
    <t xml:space="preserve">132 KV NARSINGHPUR SRINAGAR CIRCUIT </t>
  </si>
  <si>
    <t>NIL</t>
  </si>
  <si>
    <t>02.05.26</t>
  </si>
  <si>
    <t>NARSINGHPUR:  ZONE -1,Ø :- B  DIST.:- 2.8 KM,  F/C :-  N/A KA</t>
  </si>
  <si>
    <t>SRINAGAR:  ZONE -1,Ø :- B  DIST.:-  33.26 KM,  F/C :-1.076  KA</t>
  </si>
  <si>
    <t>220 KV SABALGARH SHEOPUR CIRCUIT</t>
  </si>
  <si>
    <t xml:space="preserve">SABALGARH: ZONE -1,Ø :- R  DIST.:-  97.4 KM,  F/C :- N/A KA </t>
  </si>
  <si>
    <t xml:space="preserve">SHEOPUR: ZONE -1,Ø :- R  DIST.:-13.1   KM,  F/C :- 2.403 KA </t>
  </si>
  <si>
    <t xml:space="preserve">220 KV BINA DATIA CIRCUIT </t>
  </si>
  <si>
    <t xml:space="preserve">BINA: ZONE -1,Ø :- R  DIST.:-  134.0KM,  F/C :- 1.069 KA </t>
  </si>
  <si>
    <t xml:space="preserve">DATIA: ZONE -1,Ø :- R  DIST.:-  38.53 KM,  F/C :- 2.875KA </t>
  </si>
  <si>
    <t xml:space="preserve">220 KV SATNA MANPUR CIRCUIT </t>
  </si>
  <si>
    <t>5 HRS 45 MIN INTERRUTION AT 220KV MANPUR</t>
  </si>
  <si>
    <t>SATNA:  ZONE -1,Ø :- B  DIST.:-  76KM,  F/C :-  3.318 KA</t>
  </si>
  <si>
    <t>MANPUR: ZONE -1,Ø :- YB,  DIST.:-  KM,  F/C :- IY- 1.327 KA , IB:-1.344 KA</t>
  </si>
  <si>
    <t>Line tried to charge from manpur end at 15:48 hrs but line didn’t hold and birsinghpur didn’t allowed to charge from their end since manpur has only source from satna and birsinghpur and subsstion oudnt be charged from any end leading to 5 HRS 45 MINUTES INTERRUPTION</t>
  </si>
  <si>
    <t xml:space="preserve">220 KV BIRSINGHPUR MANPUR CIRCUIT </t>
  </si>
  <si>
    <t xml:space="preserve">BIRSINGHPUR:POLE DISCREPANCY CIRCUIT </t>
  </si>
  <si>
    <t>MANPUR: ZONE -1,Ø :- YB,  DIST.:-  KM,  F/C :- IY- 1.368 KA , IB:-  1.3418KA</t>
  </si>
  <si>
    <t>132 KV SIDHI MAUGANJ CIRCUIT</t>
  </si>
  <si>
    <t>SIDHI: ZONE -1,Ø :- B  DIST.:-  50.07KM,  F/C :-  1.58KA</t>
  </si>
  <si>
    <t>MAUGANJ: ZONE -1,Ø :- B  DIST.:- 3.1 KM,  F/C :-  KA</t>
  </si>
  <si>
    <t>220KV BHOPAL BAIRAGARH CIRCUIT</t>
  </si>
  <si>
    <t>BHOPAL: ZONE -1,Ø :- R  DIST.:- 9.22 KM,  F/C :- 13.97 KA CARRIER SEND,A/R SUCCESSFUL</t>
  </si>
  <si>
    <t xml:space="preserve">BAIRAGARH: ZONE -1,Ø :- R  DIST.:-  3.8KM,  F/C :-6.226  KA </t>
  </si>
  <si>
    <t>CHARGED THROUGH TBC DUE TO PROBLEM IN MAIN CIRCUIT BREAKER</t>
  </si>
  <si>
    <t>132 KV SIDHI DEOSAR CIRCUIT 1</t>
  </si>
  <si>
    <t xml:space="preserve">SIDHI:ZONE -1,Ø :- Y  DIST.:- 24.86 KM,  F/C :- 3.202 KA </t>
  </si>
  <si>
    <t xml:space="preserve">DEOSAR:ZONE -1,Ø :- Y  DIST.:-  20.02KM,  F/C :-  1.145 KA </t>
  </si>
  <si>
    <t>400KV BUS 1 AT SATPURA THERMAL POWER PLANT</t>
  </si>
  <si>
    <t>BUS BAR DIFFERNTIAL PROTECTION OPERATED,B/C TRIPPED HENCE ALL ELEMNT ON BUS 1 TRIPPED</t>
  </si>
  <si>
    <t>STATION XMER 11</t>
  </si>
  <si>
    <t>400KV STPS ASTHA CIRCUIT 1</t>
  </si>
  <si>
    <t>400KV STPS SEONI CIRCUIT 1</t>
  </si>
  <si>
    <t>400KV STPS ITARSI CIRCUIT</t>
  </si>
  <si>
    <t>220KV HANDIA ITARSI CIRCUIT 1</t>
  </si>
  <si>
    <t>HANDIA: ZONE -1,Ø :- B  DIST.:-19.8   KM,  F/C :- 4.06 KA A/R LOCKOUT</t>
  </si>
  <si>
    <t>ITARSI: ZONE -1,Ø :- B  DIST.:-  68.1KM,  F/C :-2.222  KA A/R LOCKOUT</t>
  </si>
  <si>
    <t>132 KV DONGRITAL RAJMILAN CIRCUIT</t>
  </si>
  <si>
    <t xml:space="preserve">DONGRITAL: ZONE -1,Ø :- R  DIST.:-  12.1 KM,  F/C :- 1.132 KA </t>
  </si>
  <si>
    <t xml:space="preserve">RAJMILAN: ZONE -1,Ø :- R  DIST.:-  3.5 KM,  F/C :- 2.725KA </t>
  </si>
  <si>
    <t>220KV HANDIA ITARSI CIRCUIT II</t>
  </si>
  <si>
    <t>HANDIA:  ZONE -1,Ø :- R  DIST.:-  34.44KM,  F/C :-2.01  KA ,A/R LOCKOUT CARRIER SENT</t>
  </si>
  <si>
    <t xml:space="preserve">ITARSI: ZONE -1,Ø :- R  DIST.:-  34.5 KM,  F/C :- 4.5 KA </t>
  </si>
  <si>
    <t xml:space="preserve">LINE TRIED TO CHARGE FROM ITARSI END AT 17:33 BUT DIDN’T HOLDHENCE DECLARED FAULTY. </t>
  </si>
  <si>
    <t>132 KV CHHINDWARA UMRETH CIRCUIT</t>
  </si>
  <si>
    <t>28 MIN AT UMRETH</t>
  </si>
  <si>
    <t xml:space="preserve">CHHINDWARA:ZONE -1,Ø :- Y  DIST.:-  .3944 KM,  F/C :-  KA </t>
  </si>
  <si>
    <t xml:space="preserve">UMRETH ZONE -2,Ø :- Y  DIST.:-  29.2 KM,  F/C :-  .928KA </t>
  </si>
  <si>
    <t>132KV UMRETH SARNI CIRCUIT</t>
  </si>
  <si>
    <t xml:space="preserve">SARNI: ZONE -2,Ø :- Y  DIST.:-  11.12KM,  F/C :- .824 KA </t>
  </si>
  <si>
    <t>UMRETH:NO TRIPPING NO INDICATION</t>
  </si>
  <si>
    <t>S/I ,SLDC MPPTCL JABALPUR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</si>
</sst>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
    <numFmt numFmtId="165" formatCode="0;[Red]0"/>
  </numFmts>
  <fonts count="33" x14ac:knownFonts="1">
    <font>
      <sz val="11"/>
      <color theme="1"/>
      <name val="Calibri"/>
      <family val="2"/>
      <scheme val="minor"/>
    </font>
    <font>
      <sz val="11"/>
      <color theme="1"/>
      <name val="Calibri"/>
      <family val="2"/>
      <scheme val="minor"/>
    </font>
    <font>
      <b/>
      <sz val="11"/>
      <color theme="1"/>
      <name val="Calibri"/>
      <family val="2"/>
      <scheme val="minor"/>
    </font>
    <font>
      <b/>
      <sz val="11"/>
      <color rgb="FF000000"/>
      <name val="Times New Roman"/>
      <family val="1"/>
    </font>
    <font>
      <b/>
      <sz val="10"/>
      <color theme="1"/>
      <name val="Arial"/>
      <family val="2"/>
    </font>
    <font>
      <b/>
      <sz val="18"/>
      <name val="Arial"/>
      <family val="2"/>
    </font>
    <font>
      <b/>
      <sz val="14"/>
      <color theme="1"/>
      <name val="Arial"/>
      <family val="2"/>
    </font>
    <font>
      <b/>
      <sz val="11"/>
      <color theme="1"/>
      <name val="Arial"/>
      <family val="2"/>
    </font>
    <font>
      <sz val="16"/>
      <color theme="1"/>
      <name val="Arial"/>
      <family val="2"/>
    </font>
    <font>
      <b/>
      <sz val="12"/>
      <color theme="1"/>
      <name val="Arial"/>
      <family val="2"/>
    </font>
    <font>
      <b/>
      <sz val="18"/>
      <color theme="1"/>
      <name val="Times New Roman"/>
      <family val="1"/>
    </font>
    <font>
      <b/>
      <sz val="14"/>
      <color rgb="FF000000"/>
      <name val="Arial"/>
      <family val="2"/>
    </font>
    <font>
      <b/>
      <sz val="14"/>
      <name val="Arial"/>
      <family val="2"/>
    </font>
    <font>
      <b/>
      <sz val="16"/>
      <color rgb="FF000000"/>
      <name val="Arial"/>
      <family val="2"/>
    </font>
    <font>
      <b/>
      <sz val="14"/>
      <color rgb="FF000000"/>
      <name val="Times New Roman"/>
      <family val="1"/>
    </font>
    <font>
      <sz val="10"/>
      <color rgb="FF000000"/>
      <name val="Times New Roman"/>
      <family val="1"/>
    </font>
    <font>
      <b/>
      <sz val="16"/>
      <color theme="1"/>
      <name val="Arial"/>
      <family val="2"/>
    </font>
    <font>
      <b/>
      <sz val="16"/>
      <name val="Arial"/>
      <family val="2"/>
    </font>
    <font>
      <b/>
      <sz val="14"/>
      <color theme="1"/>
      <name val="Calibri"/>
      <family val="2"/>
      <scheme val="minor"/>
    </font>
    <font>
      <b/>
      <sz val="18"/>
      <color theme="1"/>
      <name val="Calibri"/>
      <family val="2"/>
      <scheme val="minor"/>
    </font>
    <font>
      <b/>
      <sz val="16"/>
      <color theme="1"/>
      <name val="Times New Roman"/>
      <family val="1"/>
    </font>
    <font>
      <b/>
      <sz val="14"/>
      <color theme="1"/>
      <name val="Times New Roman"/>
      <family val="1"/>
    </font>
    <font>
      <b/>
      <sz val="9"/>
      <color theme="1"/>
      <name val="Times New Roman"/>
      <family val="1"/>
    </font>
    <font>
      <b/>
      <sz val="13"/>
      <name val="Arial"/>
      <family val="2"/>
    </font>
    <font>
      <b/>
      <u val="double"/>
      <sz val="72"/>
      <color theme="1"/>
      <name val="Calibri"/>
      <family val="2"/>
      <scheme val="minor"/>
    </font>
    <font>
      <sz val="22"/>
      <color theme="1"/>
      <name val="Calibri"/>
      <family val="2"/>
      <scheme val="minor"/>
    </font>
    <font>
      <b/>
      <u/>
      <sz val="48"/>
      <color theme="1"/>
      <name val="Calibri"/>
      <family val="2"/>
      <scheme val="minor"/>
    </font>
    <font>
      <b/>
      <sz val="48"/>
      <name val="Tahoma"/>
      <family val="2"/>
    </font>
    <font>
      <b/>
      <sz val="48"/>
      <color theme="1"/>
      <name val="Calibri"/>
      <family val="2"/>
      <scheme val="minor"/>
    </font>
    <font>
      <b/>
      <sz val="36"/>
      <color theme="1"/>
      <name val="Calibri"/>
      <family val="2"/>
      <scheme val="minor"/>
    </font>
    <font>
      <b/>
      <sz val="28"/>
      <color theme="1"/>
      <name val="Calibri"/>
      <family val="2"/>
      <scheme val="minor"/>
    </font>
    <font>
      <b/>
      <sz val="48"/>
      <name val="Calibri"/>
      <family val="2"/>
      <scheme val="minor"/>
    </font>
    <font>
      <b/>
      <sz val="40"/>
      <color theme="1"/>
      <name val="Calibri"/>
      <family val="2"/>
      <scheme val="minor"/>
    </font>
  </fonts>
  <fills count="5">
    <fill>
      <patternFill patternType="none"/>
    </fill>
    <fill>
      <patternFill patternType="gray125"/>
    </fill>
    <fill>
      <patternFill patternType="solid">
        <fgColor rgb="FFFFFFFF"/>
        <bgColor indexed="64"/>
      </patternFill>
    </fill>
    <fill>
      <patternFill patternType="solid">
        <fgColor theme="0"/>
        <bgColor indexed="64"/>
      </patternFill>
    </fill>
    <fill>
      <patternFill patternType="solid">
        <fgColor rgb="FF92D050"/>
        <bgColor indexed="64"/>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auto="1"/>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3">
    <xf numFmtId="0" fontId="0" fillId="0" borderId="0"/>
    <xf numFmtId="9" fontId="1" fillId="0" borderId="0" applyFont="0" applyFill="0" applyBorder="0" applyAlignment="0" applyProtection="0"/>
    <xf numFmtId="0" fontId="1" fillId="0" borderId="0"/>
  </cellStyleXfs>
  <cellXfs count="103">
    <xf numFmtId="0" fontId="0" fillId="0" borderId="0" xfId="0"/>
    <xf numFmtId="0" fontId="3" fillId="2" borderId="1"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2" fillId="3" borderId="0" xfId="0" applyFont="1" applyFill="1"/>
    <xf numFmtId="0" fontId="4" fillId="3" borderId="4" xfId="0" applyFont="1" applyFill="1" applyBorder="1" applyAlignment="1">
      <alignment horizontal="center" vertical="center" wrapText="1"/>
    </xf>
    <xf numFmtId="0" fontId="5" fillId="3" borderId="4" xfId="0" applyFont="1" applyFill="1" applyBorder="1" applyAlignment="1">
      <alignment wrapText="1"/>
    </xf>
    <xf numFmtId="0" fontId="6" fillId="3" borderId="4" xfId="0" applyFont="1" applyFill="1" applyBorder="1" applyAlignment="1">
      <alignment horizontal="center" wrapText="1"/>
    </xf>
    <xf numFmtId="0" fontId="7" fillId="3" borderId="4" xfId="0" applyFont="1" applyFill="1" applyBorder="1" applyAlignment="1">
      <alignment horizontal="center" vertical="center" textRotation="90"/>
    </xf>
    <xf numFmtId="1" fontId="4" fillId="3" borderId="4" xfId="0" applyNumberFormat="1" applyFont="1" applyFill="1" applyBorder="1" applyAlignment="1">
      <alignment horizontal="center" vertical="center" wrapText="1"/>
    </xf>
    <xf numFmtId="0" fontId="8" fillId="3" borderId="5" xfId="0" applyFont="1" applyFill="1" applyBorder="1" applyAlignment="1">
      <alignment horizontal="center" vertical="center" wrapText="1"/>
    </xf>
    <xf numFmtId="0" fontId="8" fillId="3" borderId="6" xfId="0" applyFont="1" applyFill="1" applyBorder="1" applyAlignment="1">
      <alignment wrapText="1"/>
    </xf>
    <xf numFmtId="0" fontId="8" fillId="3" borderId="5" xfId="0" applyFont="1" applyFill="1" applyBorder="1" applyAlignment="1">
      <alignment horizontal="center" wrapText="1"/>
    </xf>
    <xf numFmtId="0" fontId="9" fillId="3" borderId="5" xfId="0" applyFont="1" applyFill="1" applyBorder="1" applyAlignment="1">
      <alignment horizontal="center" vertical="center"/>
    </xf>
    <xf numFmtId="1" fontId="9" fillId="3" borderId="5" xfId="0" applyNumberFormat="1" applyFont="1" applyFill="1" applyBorder="1" applyAlignment="1">
      <alignment vertical="center" wrapText="1"/>
    </xf>
    <xf numFmtId="0" fontId="0" fillId="3" borderId="0" xfId="0" applyFill="1" applyAlignment="1">
      <alignment vertical="center" wrapText="1"/>
    </xf>
    <xf numFmtId="1" fontId="5" fillId="3" borderId="5" xfId="0" applyNumberFormat="1" applyFont="1" applyFill="1" applyBorder="1" applyAlignment="1">
      <alignment horizontal="right" vertical="center" wrapText="1"/>
    </xf>
    <xf numFmtId="0" fontId="10" fillId="3" borderId="5" xfId="0" applyFont="1" applyFill="1" applyBorder="1" applyAlignment="1">
      <alignment vertical="center"/>
    </xf>
    <xf numFmtId="0" fontId="10" fillId="3" borderId="5" xfId="0" applyFont="1" applyFill="1" applyBorder="1" applyAlignment="1">
      <alignment horizontal="center" wrapText="1"/>
    </xf>
    <xf numFmtId="1" fontId="11" fillId="3" borderId="5" xfId="0" applyNumberFormat="1" applyFont="1" applyFill="1" applyBorder="1" applyAlignment="1">
      <alignment horizontal="center" vertical="center"/>
    </xf>
    <xf numFmtId="1" fontId="12" fillId="3" borderId="7" xfId="0" applyNumberFormat="1" applyFont="1" applyFill="1" applyBorder="1" applyAlignment="1">
      <alignment horizontal="center" vertical="center"/>
    </xf>
    <xf numFmtId="0" fontId="0" fillId="0" borderId="0" xfId="0" applyAlignment="1">
      <alignment vertical="center" wrapText="1"/>
    </xf>
    <xf numFmtId="0" fontId="2" fillId="3" borderId="0" xfId="0" applyFont="1" applyFill="1" applyAlignment="1">
      <alignment vertical="center"/>
    </xf>
    <xf numFmtId="1" fontId="2" fillId="3" borderId="0" xfId="0" applyNumberFormat="1" applyFont="1" applyFill="1"/>
    <xf numFmtId="164" fontId="10" fillId="3" borderId="5" xfId="0" applyNumberFormat="1" applyFont="1" applyFill="1" applyBorder="1" applyAlignment="1">
      <alignment horizontal="center"/>
    </xf>
    <xf numFmtId="0" fontId="11" fillId="3" borderId="7" xfId="0" applyFont="1" applyFill="1" applyBorder="1"/>
    <xf numFmtId="1" fontId="13" fillId="3" borderId="0" xfId="0" applyNumberFormat="1" applyFont="1" applyFill="1" applyAlignment="1">
      <alignment horizontal="center" vertical="center"/>
    </xf>
    <xf numFmtId="1" fontId="14" fillId="0" borderId="8" xfId="0" applyNumberFormat="1" applyFont="1" applyBorder="1" applyAlignment="1">
      <alignment horizontal="center" vertical="center"/>
    </xf>
    <xf numFmtId="0" fontId="15" fillId="3" borderId="3" xfId="0" applyFont="1" applyFill="1" applyBorder="1" applyAlignment="1">
      <alignment vertical="center" wrapText="1"/>
    </xf>
    <xf numFmtId="1" fontId="16" fillId="3" borderId="5" xfId="0" applyNumberFormat="1" applyFont="1" applyFill="1" applyBorder="1" applyAlignment="1">
      <alignment horizontal="center" vertical="center"/>
    </xf>
    <xf numFmtId="0" fontId="15" fillId="3" borderId="7" xfId="0" applyFont="1" applyFill="1" applyBorder="1" applyAlignment="1">
      <alignment vertical="center" wrapText="1"/>
    </xf>
    <xf numFmtId="1" fontId="17" fillId="3" borderId="7" xfId="0" applyNumberFormat="1" applyFont="1" applyFill="1" applyBorder="1" applyAlignment="1">
      <alignment horizontal="center" vertical="center"/>
    </xf>
    <xf numFmtId="1" fontId="13" fillId="3" borderId="5" xfId="0" applyNumberFormat="1" applyFont="1" applyFill="1" applyBorder="1" applyAlignment="1">
      <alignment horizontal="center" vertical="center"/>
    </xf>
    <xf numFmtId="0" fontId="17" fillId="3" borderId="5" xfId="0" applyFont="1" applyFill="1" applyBorder="1" applyAlignment="1">
      <alignment horizontal="left" vertical="center" wrapText="1"/>
    </xf>
    <xf numFmtId="0" fontId="16" fillId="3" borderId="5" xfId="0" applyFont="1" applyFill="1" applyBorder="1" applyAlignment="1">
      <alignment horizontal="center" vertical="center"/>
    </xf>
    <xf numFmtId="0" fontId="15" fillId="3" borderId="3" xfId="0" applyFont="1" applyFill="1" applyBorder="1"/>
    <xf numFmtId="0" fontId="15" fillId="3" borderId="0" xfId="0" applyFont="1" applyFill="1" applyBorder="1"/>
    <xf numFmtId="0" fontId="18" fillId="3" borderId="7" xfId="0" applyFont="1" applyFill="1" applyBorder="1" applyAlignment="1">
      <alignment wrapText="1"/>
    </xf>
    <xf numFmtId="0" fontId="19" fillId="3" borderId="5" xfId="0" applyFont="1" applyFill="1" applyBorder="1"/>
    <xf numFmtId="0" fontId="18" fillId="3" borderId="5" xfId="0" applyFont="1" applyFill="1" applyBorder="1" applyAlignment="1">
      <alignment wrapText="1"/>
    </xf>
    <xf numFmtId="0" fontId="10" fillId="3" borderId="5" xfId="0" applyFont="1" applyFill="1" applyBorder="1" applyAlignment="1">
      <alignment horizontal="left" vertical="center" wrapText="1"/>
    </xf>
    <xf numFmtId="164" fontId="20" fillId="3" borderId="5" xfId="0" applyNumberFormat="1" applyFont="1" applyFill="1" applyBorder="1" applyAlignment="1">
      <alignment horizontal="center"/>
    </xf>
    <xf numFmtId="0" fontId="21" fillId="3" borderId="0" xfId="0" applyFont="1" applyFill="1" applyAlignment="1">
      <alignment wrapText="1"/>
    </xf>
    <xf numFmtId="164" fontId="22" fillId="3" borderId="0" xfId="0" applyNumberFormat="1" applyFont="1" applyFill="1" applyAlignment="1">
      <alignment horizontal="center"/>
    </xf>
    <xf numFmtId="164" fontId="2" fillId="3" borderId="0" xfId="0" applyNumberFormat="1" applyFont="1" applyFill="1" applyAlignment="1">
      <alignment horizontal="center"/>
    </xf>
    <xf numFmtId="0" fontId="23" fillId="3" borderId="0" xfId="0" applyFont="1" applyFill="1" applyAlignment="1">
      <alignment horizontal="center"/>
    </xf>
    <xf numFmtId="0" fontId="2" fillId="3" borderId="0" xfId="0" applyFont="1" applyFill="1" applyAlignment="1">
      <alignment horizontal="center"/>
    </xf>
    <xf numFmtId="0" fontId="18" fillId="3" borderId="0" xfId="0" applyFont="1" applyFill="1" applyAlignment="1">
      <alignment wrapText="1"/>
    </xf>
    <xf numFmtId="0" fontId="24" fillId="0" borderId="9" xfId="2" applyFont="1" applyBorder="1" applyAlignment="1">
      <alignment horizontal="center"/>
    </xf>
    <xf numFmtId="0" fontId="24" fillId="0" borderId="10" xfId="2" applyFont="1" applyBorder="1" applyAlignment="1">
      <alignment horizontal="center"/>
    </xf>
    <xf numFmtId="0" fontId="24" fillId="0" borderId="11" xfId="2" applyFont="1" applyBorder="1" applyAlignment="1">
      <alignment horizontal="center"/>
    </xf>
    <xf numFmtId="0" fontId="25" fillId="0" borderId="0" xfId="2" applyFont="1" applyBorder="1"/>
    <xf numFmtId="0" fontId="26" fillId="0" borderId="12" xfId="2" applyFont="1" applyBorder="1" applyAlignment="1">
      <alignment horizontal="center"/>
    </xf>
    <xf numFmtId="0" fontId="26" fillId="0" borderId="13" xfId="2" applyFont="1" applyBorder="1" applyAlignment="1">
      <alignment horizontal="center"/>
    </xf>
    <xf numFmtId="0" fontId="26" fillId="0" borderId="14" xfId="2" applyFont="1" applyBorder="1" applyAlignment="1">
      <alignment horizontal="center"/>
    </xf>
    <xf numFmtId="14" fontId="27" fillId="3" borderId="12" xfId="2" applyNumberFormat="1" applyFont="1" applyFill="1" applyBorder="1" applyAlignment="1">
      <alignment horizontal="center" vertical="center" wrapText="1"/>
    </xf>
    <xf numFmtId="14" fontId="27" fillId="3" borderId="13" xfId="2" applyNumberFormat="1" applyFont="1" applyFill="1" applyBorder="1" applyAlignment="1">
      <alignment horizontal="center" vertical="center" wrapText="1"/>
    </xf>
    <xf numFmtId="14" fontId="27" fillId="3" borderId="14" xfId="2" applyNumberFormat="1" applyFont="1" applyFill="1" applyBorder="1" applyAlignment="1">
      <alignment horizontal="center" vertical="center" wrapText="1"/>
    </xf>
    <xf numFmtId="9" fontId="28" fillId="0" borderId="15" xfId="1" applyFont="1" applyBorder="1" applyAlignment="1">
      <alignment horizontal="center" vertical="center" wrapText="1"/>
    </xf>
    <xf numFmtId="0" fontId="28" fillId="0" borderId="5" xfId="2" applyFont="1" applyBorder="1" applyAlignment="1">
      <alignment horizontal="center" vertical="center" wrapText="1"/>
    </xf>
    <xf numFmtId="0" fontId="25" fillId="0" borderId="0" xfId="2" applyFont="1" applyBorder="1" applyAlignment="1">
      <alignment wrapText="1"/>
    </xf>
    <xf numFmtId="9" fontId="28" fillId="0" borderId="16" xfId="1" applyFont="1" applyBorder="1" applyAlignment="1">
      <alignment horizontal="center" vertical="center" wrapText="1"/>
    </xf>
    <xf numFmtId="0" fontId="28" fillId="0" borderId="5" xfId="2" applyFont="1" applyBorder="1" applyAlignment="1">
      <alignment horizontal="center" vertical="center"/>
    </xf>
    <xf numFmtId="165" fontId="28" fillId="0" borderId="17" xfId="1" applyNumberFormat="1" applyFont="1" applyBorder="1" applyAlignment="1">
      <alignment horizontal="center" vertical="center" wrapText="1"/>
    </xf>
    <xf numFmtId="0" fontId="28" fillId="0" borderId="5" xfId="0" applyFont="1" applyBorder="1" applyAlignment="1">
      <alignment horizontal="center" vertical="center" wrapText="1"/>
    </xf>
    <xf numFmtId="0" fontId="28" fillId="0" borderId="5" xfId="0" applyFont="1" applyBorder="1" applyAlignment="1">
      <alignment horizontal="center" vertical="center"/>
    </xf>
    <xf numFmtId="20" fontId="28" fillId="0" borderId="5" xfId="0" applyNumberFormat="1" applyFont="1" applyBorder="1" applyAlignment="1">
      <alignment horizontal="center" vertical="center"/>
    </xf>
    <xf numFmtId="20" fontId="28" fillId="0" borderId="5" xfId="0" applyNumberFormat="1" applyFont="1" applyBorder="1" applyAlignment="1">
      <alignment horizontal="center" vertical="center" wrapText="1"/>
    </xf>
    <xf numFmtId="0" fontId="29" fillId="0" borderId="5" xfId="0" applyFont="1" applyBorder="1" applyAlignment="1">
      <alignment horizontal="center" vertical="center" wrapText="1"/>
    </xf>
    <xf numFmtId="0" fontId="28" fillId="3" borderId="5" xfId="0" applyFont="1" applyFill="1" applyBorder="1" applyAlignment="1">
      <alignment horizontal="center" vertical="center" wrapText="1"/>
    </xf>
    <xf numFmtId="20" fontId="28" fillId="3" borderId="5" xfId="0" applyNumberFormat="1" applyFont="1" applyFill="1" applyBorder="1" applyAlignment="1">
      <alignment horizontal="center" vertical="center"/>
    </xf>
    <xf numFmtId="0" fontId="28" fillId="3" borderId="18" xfId="0" applyFont="1" applyFill="1" applyBorder="1" applyAlignment="1">
      <alignment horizontal="center" vertical="center" wrapText="1"/>
    </xf>
    <xf numFmtId="0" fontId="28" fillId="3" borderId="5" xfId="0" applyFont="1" applyFill="1" applyBorder="1" applyAlignment="1">
      <alignment vertical="center" wrapText="1"/>
    </xf>
    <xf numFmtId="0" fontId="28" fillId="3" borderId="7" xfId="0" applyFont="1" applyFill="1" applyBorder="1" applyAlignment="1">
      <alignment vertical="center" wrapText="1"/>
    </xf>
    <xf numFmtId="0" fontId="30" fillId="0" borderId="18" xfId="0" applyFont="1" applyBorder="1" applyAlignment="1">
      <alignment horizontal="center" vertical="center" wrapText="1"/>
    </xf>
    <xf numFmtId="0" fontId="28" fillId="3" borderId="4" xfId="0" applyFont="1" applyFill="1" applyBorder="1" applyAlignment="1">
      <alignment horizontal="center" vertical="center" wrapText="1"/>
    </xf>
    <xf numFmtId="0" fontId="30" fillId="0" borderId="4" xfId="0" applyFont="1" applyBorder="1" applyAlignment="1">
      <alignment horizontal="center" vertical="center" wrapText="1"/>
    </xf>
    <xf numFmtId="0" fontId="28" fillId="0" borderId="5" xfId="0" applyFont="1" applyBorder="1" applyAlignment="1">
      <alignment vertical="center" wrapText="1"/>
    </xf>
    <xf numFmtId="0" fontId="25" fillId="0" borderId="5" xfId="0" applyFont="1" applyBorder="1" applyAlignment="1">
      <alignment vertical="center" wrapText="1"/>
    </xf>
    <xf numFmtId="0" fontId="25" fillId="0" borderId="4" xfId="0" applyFont="1" applyBorder="1" applyAlignment="1">
      <alignment vertical="center" wrapText="1"/>
    </xf>
    <xf numFmtId="0" fontId="28" fillId="0" borderId="6" xfId="0" applyFont="1" applyBorder="1" applyAlignment="1">
      <alignment horizontal="center" vertical="center" wrapText="1"/>
    </xf>
    <xf numFmtId="0" fontId="28" fillId="0" borderId="7" xfId="0" applyFont="1" applyBorder="1" applyAlignment="1">
      <alignment horizontal="center" vertical="center" wrapText="1"/>
    </xf>
    <xf numFmtId="0" fontId="25" fillId="0" borderId="5" xfId="0" applyFont="1" applyBorder="1" applyAlignment="1">
      <alignment horizontal="center" vertical="center" wrapText="1"/>
    </xf>
    <xf numFmtId="20" fontId="31" fillId="3" borderId="5" xfId="0" applyNumberFormat="1" applyFont="1" applyFill="1" applyBorder="1" applyAlignment="1">
      <alignment horizontal="center" vertical="center" wrapText="1"/>
    </xf>
    <xf numFmtId="1" fontId="28" fillId="0" borderId="4" xfId="1" applyNumberFormat="1" applyFont="1" applyBorder="1" applyAlignment="1">
      <alignment horizontal="center" vertical="center" wrapText="1"/>
    </xf>
    <xf numFmtId="0" fontId="28" fillId="0" borderId="18" xfId="0" applyFont="1" applyBorder="1" applyAlignment="1">
      <alignment horizontal="center" vertical="center" wrapText="1"/>
    </xf>
    <xf numFmtId="1" fontId="28" fillId="0" borderId="19" xfId="1" applyNumberFormat="1" applyFont="1" applyBorder="1" applyAlignment="1">
      <alignment horizontal="center" vertical="center" wrapText="1"/>
    </xf>
    <xf numFmtId="0" fontId="28" fillId="0" borderId="18" xfId="0" applyFont="1" applyBorder="1" applyAlignment="1">
      <alignment horizontal="center" vertical="center" wrapText="1"/>
    </xf>
    <xf numFmtId="0" fontId="28" fillId="0" borderId="4" xfId="0" applyFont="1" applyBorder="1" applyAlignment="1">
      <alignment horizontal="center" vertical="center" wrapText="1"/>
    </xf>
    <xf numFmtId="20" fontId="28" fillId="0" borderId="18" xfId="0" applyNumberFormat="1" applyFont="1" applyBorder="1" applyAlignment="1">
      <alignment horizontal="center" vertical="center"/>
    </xf>
    <xf numFmtId="20" fontId="31" fillId="3" borderId="18" xfId="0" applyNumberFormat="1" applyFont="1" applyFill="1" applyBorder="1" applyAlignment="1">
      <alignment horizontal="center" vertical="center" wrapText="1"/>
    </xf>
    <xf numFmtId="20" fontId="28" fillId="0" borderId="18" xfId="0" applyNumberFormat="1" applyFont="1" applyBorder="1" applyAlignment="1">
      <alignment horizontal="center" vertical="center" wrapText="1"/>
    </xf>
    <xf numFmtId="1" fontId="28" fillId="0" borderId="5" xfId="1" applyNumberFormat="1" applyFont="1" applyBorder="1" applyAlignment="1">
      <alignment horizontal="center" vertical="center" wrapText="1"/>
    </xf>
    <xf numFmtId="0" fontId="28" fillId="0" borderId="5" xfId="2" applyFont="1" applyBorder="1" applyAlignment="1">
      <alignment horizontal="center" vertical="center" wrapText="1"/>
    </xf>
    <xf numFmtId="0" fontId="32" fillId="0" borderId="5" xfId="2" applyFont="1" applyBorder="1" applyAlignment="1">
      <alignment horizontal="center" vertical="center" wrapText="1"/>
    </xf>
    <xf numFmtId="20" fontId="28" fillId="0" borderId="5" xfId="2" applyNumberFormat="1" applyFont="1" applyBorder="1" applyAlignment="1">
      <alignment horizontal="center" vertical="center" wrapText="1"/>
    </xf>
    <xf numFmtId="1" fontId="28" fillId="0" borderId="0" xfId="1" applyNumberFormat="1" applyFont="1" applyBorder="1" applyAlignment="1">
      <alignment horizontal="center" vertical="center" wrapText="1"/>
    </xf>
    <xf numFmtId="0" fontId="28" fillId="0" borderId="0" xfId="2" applyFont="1" applyBorder="1" applyAlignment="1">
      <alignment horizontal="center" vertical="center" wrapText="1"/>
    </xf>
    <xf numFmtId="20" fontId="28" fillId="0" borderId="0" xfId="2" applyNumberFormat="1" applyFont="1" applyBorder="1" applyAlignment="1">
      <alignment horizontal="center" vertical="center" wrapText="1"/>
    </xf>
    <xf numFmtId="0" fontId="25" fillId="0" borderId="7" xfId="2" applyFont="1" applyBorder="1"/>
    <xf numFmtId="0" fontId="25" fillId="0" borderId="5" xfId="2" applyFont="1" applyBorder="1"/>
    <xf numFmtId="0" fontId="28" fillId="4" borderId="0" xfId="2" applyFont="1" applyFill="1" applyBorder="1" applyAlignment="1">
      <alignment horizontal="center" vertical="center" wrapText="1"/>
    </xf>
    <xf numFmtId="0" fontId="25" fillId="0" borderId="0" xfId="2" applyFont="1" applyBorder="1" applyAlignment="1">
      <alignment horizontal="center"/>
    </xf>
  </cellXfs>
  <cellStyles count="3">
    <cellStyle name="Normal" xfId="0" builtinId="0"/>
    <cellStyle name="Normal 3" xfId="2"/>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261938</xdr:colOff>
      <xdr:row>0</xdr:row>
      <xdr:rowOff>222250</xdr:rowOff>
    </xdr:from>
    <xdr:to>
      <xdr:col>1</xdr:col>
      <xdr:colOff>2951845</xdr:colOff>
      <xdr:row>2</xdr:row>
      <xdr:rowOff>112713</xdr:rowOff>
    </xdr:to>
    <xdr:pic>
      <xdr:nvPicPr>
        <xdr:cNvPr id="2" name="Picture 9" descr="logo.jpg">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61938" y="222250"/>
          <a:ext cx="3890057" cy="21383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249977111117893"/>
    <pageSetUpPr fitToPage="1"/>
  </sheetPr>
  <dimension ref="A1:BG90"/>
  <sheetViews>
    <sheetView view="pageBreakPreview" zoomScale="70" zoomScaleNormal="70" zoomScaleSheetLayoutView="70" workbookViewId="0">
      <selection activeCell="L13" sqref="L13"/>
    </sheetView>
  </sheetViews>
  <sheetFormatPr defaultRowHeight="18.75" x14ac:dyDescent="0.3"/>
  <cols>
    <col min="1" max="1" width="8.140625" style="46" customWidth="1"/>
    <col min="2" max="2" width="43" style="47" customWidth="1"/>
    <col min="3" max="3" width="17.140625" style="46" customWidth="1"/>
    <col min="4" max="4" width="7.7109375" style="4" customWidth="1"/>
    <col min="5" max="5" width="7.5703125" style="4" customWidth="1"/>
    <col min="6" max="6" width="8.42578125" style="4" customWidth="1"/>
    <col min="7" max="18" width="7.7109375" style="4" customWidth="1"/>
    <col min="19" max="19" width="8.85546875" style="4" customWidth="1"/>
    <col min="20" max="27" width="7.7109375" style="4" customWidth="1"/>
    <col min="28" max="28" width="25.7109375" style="4" customWidth="1"/>
    <col min="29" max="35" width="9.140625" style="4"/>
    <col min="36" max="36" width="7.28515625" style="4" customWidth="1"/>
    <col min="37" max="37" width="9.140625" style="4" hidden="1" customWidth="1"/>
    <col min="38" max="38" width="34.140625" style="4" customWidth="1"/>
    <col min="39" max="16384" width="9.140625" style="4"/>
  </cols>
  <sheetData>
    <row r="1" spans="1:59" ht="29.25" customHeight="1" x14ac:dyDescent="0.25">
      <c r="A1" s="1" t="s">
        <v>0</v>
      </c>
      <c r="B1" s="2"/>
      <c r="C1" s="2"/>
      <c r="D1" s="2"/>
      <c r="E1" s="2"/>
      <c r="F1" s="2"/>
      <c r="G1" s="2"/>
      <c r="H1" s="2"/>
      <c r="I1" s="2"/>
      <c r="J1" s="2"/>
      <c r="K1" s="2"/>
      <c r="L1" s="2"/>
      <c r="M1" s="2"/>
      <c r="N1" s="2"/>
      <c r="O1" s="2"/>
      <c r="P1" s="2"/>
      <c r="Q1" s="2"/>
      <c r="R1" s="2"/>
      <c r="S1" s="2"/>
      <c r="T1" s="2"/>
      <c r="U1" s="2"/>
      <c r="V1" s="2"/>
      <c r="W1" s="2"/>
      <c r="X1" s="2"/>
      <c r="Y1" s="2"/>
      <c r="Z1" s="2"/>
      <c r="AA1" s="2"/>
      <c r="AB1" s="3"/>
    </row>
    <row r="2" spans="1:59" ht="94.5" customHeight="1" x14ac:dyDescent="0.35">
      <c r="A2" s="5" t="s">
        <v>1</v>
      </c>
      <c r="B2" s="6" t="s">
        <v>2</v>
      </c>
      <c r="C2" s="7" t="s">
        <v>3</v>
      </c>
      <c r="D2" s="8" t="s">
        <v>4</v>
      </c>
      <c r="E2" s="8" t="s">
        <v>5</v>
      </c>
      <c r="F2" s="8" t="s">
        <v>6</v>
      </c>
      <c r="G2" s="8" t="s">
        <v>7</v>
      </c>
      <c r="H2" s="8" t="s">
        <v>8</v>
      </c>
      <c r="I2" s="8" t="s">
        <v>9</v>
      </c>
      <c r="J2" s="8" t="s">
        <v>10</v>
      </c>
      <c r="K2" s="8" t="s">
        <v>11</v>
      </c>
      <c r="L2" s="8" t="s">
        <v>12</v>
      </c>
      <c r="M2" s="8" t="s">
        <v>13</v>
      </c>
      <c r="N2" s="8" t="s">
        <v>14</v>
      </c>
      <c r="O2" s="8" t="s">
        <v>15</v>
      </c>
      <c r="P2" s="8" t="s">
        <v>16</v>
      </c>
      <c r="Q2" s="8" t="s">
        <v>17</v>
      </c>
      <c r="R2" s="8" t="s">
        <v>18</v>
      </c>
      <c r="S2" s="8" t="s">
        <v>19</v>
      </c>
      <c r="T2" s="8" t="s">
        <v>20</v>
      </c>
      <c r="U2" s="8" t="s">
        <v>21</v>
      </c>
      <c r="V2" s="8" t="s">
        <v>22</v>
      </c>
      <c r="W2" s="8" t="s">
        <v>23</v>
      </c>
      <c r="X2" s="8" t="s">
        <v>24</v>
      </c>
      <c r="Y2" s="8" t="s">
        <v>25</v>
      </c>
      <c r="Z2" s="8" t="s">
        <v>26</v>
      </c>
      <c r="AA2" s="8" t="s">
        <v>27</v>
      </c>
      <c r="AB2" s="9" t="s">
        <v>28</v>
      </c>
      <c r="AH2" s="4">
        <v>16.2</v>
      </c>
    </row>
    <row r="3" spans="1:59" ht="24.75" customHeight="1" x14ac:dyDescent="0.3">
      <c r="A3" s="10"/>
      <c r="B3" s="11" t="s">
        <v>29</v>
      </c>
      <c r="C3" s="12">
        <v>0</v>
      </c>
      <c r="D3" s="13">
        <v>1</v>
      </c>
      <c r="E3" s="13">
        <v>2</v>
      </c>
      <c r="F3" s="13">
        <v>3</v>
      </c>
      <c r="G3" s="13">
        <v>4</v>
      </c>
      <c r="H3" s="13">
        <v>5</v>
      </c>
      <c r="I3" s="13">
        <v>6</v>
      </c>
      <c r="J3" s="13">
        <v>7</v>
      </c>
      <c r="K3" s="13">
        <v>8</v>
      </c>
      <c r="L3" s="13">
        <v>9</v>
      </c>
      <c r="M3" s="13">
        <v>10</v>
      </c>
      <c r="N3" s="13">
        <v>11</v>
      </c>
      <c r="O3" s="13">
        <v>12</v>
      </c>
      <c r="P3" s="13">
        <v>13</v>
      </c>
      <c r="Q3" s="13">
        <v>14</v>
      </c>
      <c r="R3" s="13">
        <v>15</v>
      </c>
      <c r="S3" s="13">
        <v>16</v>
      </c>
      <c r="T3" s="13">
        <v>17</v>
      </c>
      <c r="U3" s="13">
        <v>18</v>
      </c>
      <c r="V3" s="13">
        <v>19</v>
      </c>
      <c r="W3" s="13">
        <v>20</v>
      </c>
      <c r="X3" s="13">
        <v>21</v>
      </c>
      <c r="Y3" s="13">
        <v>22</v>
      </c>
      <c r="Z3" s="13">
        <v>23</v>
      </c>
      <c r="AA3" s="13">
        <v>24</v>
      </c>
      <c r="AB3" s="14"/>
      <c r="AF3" s="15"/>
      <c r="AH3" s="4">
        <v>4.2</v>
      </c>
    </row>
    <row r="4" spans="1:59" ht="35.25" customHeight="1" x14ac:dyDescent="0.3">
      <c r="A4" s="16">
        <v>1</v>
      </c>
      <c r="B4" s="17" t="s">
        <v>30</v>
      </c>
      <c r="C4" s="18">
        <v>9.3140000000000001</v>
      </c>
      <c r="D4" s="19">
        <v>50</v>
      </c>
      <c r="E4" s="19">
        <v>50</v>
      </c>
      <c r="F4" s="19">
        <v>50</v>
      </c>
      <c r="G4" s="19">
        <v>50</v>
      </c>
      <c r="H4" s="19">
        <v>50</v>
      </c>
      <c r="I4" s="19">
        <v>50</v>
      </c>
      <c r="J4" s="19">
        <v>50</v>
      </c>
      <c r="K4" s="19">
        <v>50</v>
      </c>
      <c r="L4" s="19">
        <v>50</v>
      </c>
      <c r="M4" s="19">
        <v>50</v>
      </c>
      <c r="N4" s="19">
        <v>50</v>
      </c>
      <c r="O4" s="19">
        <v>50</v>
      </c>
      <c r="P4" s="19">
        <v>50</v>
      </c>
      <c r="Q4" s="19">
        <v>50</v>
      </c>
      <c r="R4" s="19">
        <v>50</v>
      </c>
      <c r="S4" s="19">
        <v>50</v>
      </c>
      <c r="T4" s="19">
        <v>50</v>
      </c>
      <c r="U4" s="19">
        <v>50</v>
      </c>
      <c r="V4" s="19">
        <v>50</v>
      </c>
      <c r="W4" s="19">
        <v>50</v>
      </c>
      <c r="X4" s="19">
        <v>50</v>
      </c>
      <c r="Y4" s="19">
        <v>50</v>
      </c>
      <c r="Z4" s="19">
        <v>50</v>
      </c>
      <c r="AA4" s="19">
        <v>50</v>
      </c>
      <c r="AB4" s="20"/>
      <c r="AC4" s="21">
        <v>284.87</v>
      </c>
      <c r="AD4" s="21">
        <v>195.49</v>
      </c>
      <c r="AE4" s="22">
        <f>+AC4-AD4</f>
        <v>89.38</v>
      </c>
      <c r="AF4" s="15"/>
      <c r="AG4" s="23"/>
      <c r="AH4" s="4">
        <v>0</v>
      </c>
      <c r="AL4" s="15" t="s">
        <v>31</v>
      </c>
      <c r="AV4" s="15"/>
      <c r="AW4" s="15"/>
    </row>
    <row r="5" spans="1:59" ht="35.25" customHeight="1" x14ac:dyDescent="0.3">
      <c r="A5" s="16">
        <v>2</v>
      </c>
      <c r="B5" s="17" t="s">
        <v>32</v>
      </c>
      <c r="C5" s="24">
        <v>4.241218664992676</v>
      </c>
      <c r="D5" s="19">
        <v>296.01</v>
      </c>
      <c r="E5" s="19">
        <v>296.01</v>
      </c>
      <c r="F5" s="19">
        <v>296.01</v>
      </c>
      <c r="G5" s="19">
        <v>296.01</v>
      </c>
      <c r="H5" s="19">
        <v>296.01</v>
      </c>
      <c r="I5" s="19">
        <v>296.01</v>
      </c>
      <c r="J5" s="19">
        <v>296.01</v>
      </c>
      <c r="K5" s="19">
        <v>296.01</v>
      </c>
      <c r="L5" s="19">
        <v>296.01</v>
      </c>
      <c r="M5" s="19">
        <v>296.01</v>
      </c>
      <c r="N5" s="19">
        <v>296.01</v>
      </c>
      <c r="O5" s="19">
        <v>296.01</v>
      </c>
      <c r="P5" s="19">
        <v>296.01</v>
      </c>
      <c r="Q5" s="19">
        <v>296.01</v>
      </c>
      <c r="R5" s="19">
        <v>296.01</v>
      </c>
      <c r="S5" s="19">
        <v>296.01</v>
      </c>
      <c r="T5" s="19">
        <v>296.01</v>
      </c>
      <c r="U5" s="19">
        <v>296.01</v>
      </c>
      <c r="V5" s="19">
        <v>296.01</v>
      </c>
      <c r="W5" s="19">
        <v>296.01</v>
      </c>
      <c r="X5" s="19">
        <v>296.01</v>
      </c>
      <c r="Y5" s="19">
        <v>296.01</v>
      </c>
      <c r="Z5" s="19">
        <v>296.01</v>
      </c>
      <c r="AA5" s="19">
        <v>296.01</v>
      </c>
      <c r="AB5" s="25"/>
      <c r="AC5" s="21">
        <v>284.87</v>
      </c>
      <c r="AD5" s="21">
        <v>24.9</v>
      </c>
      <c r="AE5" s="22">
        <f t="shared" ref="AE5:AE16" si="0">+AC5-AD5</f>
        <v>259.97000000000003</v>
      </c>
      <c r="AF5" s="15"/>
      <c r="AG5" s="23"/>
      <c r="AH5" s="4">
        <v>0</v>
      </c>
      <c r="AJ5" s="26"/>
      <c r="AK5" s="26"/>
      <c r="AL5" s="26"/>
      <c r="AM5" s="26"/>
      <c r="AN5" s="26"/>
      <c r="AO5" s="26"/>
      <c r="AP5" s="26"/>
      <c r="AQ5" s="26"/>
      <c r="AR5" s="26"/>
      <c r="AS5" s="26"/>
      <c r="AT5" s="26"/>
      <c r="AU5" s="26"/>
      <c r="AV5" s="26"/>
      <c r="AW5" s="26"/>
      <c r="AX5" s="26"/>
      <c r="AY5" s="26"/>
      <c r="AZ5" s="26"/>
      <c r="BA5" s="26"/>
      <c r="BB5" s="26"/>
      <c r="BC5" s="26"/>
      <c r="BD5" s="26"/>
      <c r="BE5" s="26"/>
      <c r="BF5" s="26"/>
      <c r="BG5" s="26"/>
    </row>
    <row r="6" spans="1:59" ht="35.25" customHeight="1" x14ac:dyDescent="0.3">
      <c r="A6" s="16">
        <v>4</v>
      </c>
      <c r="B6" s="17" t="s">
        <v>33</v>
      </c>
      <c r="C6" s="24">
        <v>3.9820099999999998</v>
      </c>
      <c r="D6" s="27"/>
      <c r="E6" s="27"/>
      <c r="F6" s="27"/>
      <c r="G6" s="27"/>
      <c r="H6" s="27"/>
      <c r="I6" s="27"/>
      <c r="J6" s="27"/>
      <c r="K6" s="27"/>
      <c r="L6" s="27"/>
      <c r="M6" s="27"/>
      <c r="N6" s="27"/>
      <c r="O6" s="27"/>
      <c r="P6" s="27"/>
      <c r="Q6" s="27"/>
      <c r="R6" s="27"/>
      <c r="S6" s="27"/>
      <c r="T6" s="27"/>
      <c r="U6" s="27"/>
      <c r="V6" s="27"/>
      <c r="W6" s="27"/>
      <c r="X6" s="27"/>
      <c r="Y6" s="27"/>
      <c r="Z6" s="27"/>
      <c r="AA6" s="27"/>
      <c r="AB6" s="28"/>
      <c r="AC6" s="21">
        <v>284.87</v>
      </c>
      <c r="AD6" s="21">
        <v>0</v>
      </c>
      <c r="AE6" s="22">
        <f t="shared" si="0"/>
        <v>284.87</v>
      </c>
      <c r="AF6" s="15"/>
      <c r="AG6" s="23"/>
      <c r="AH6" s="4">
        <v>24</v>
      </c>
      <c r="AL6" s="15"/>
      <c r="AP6" s="15"/>
      <c r="AV6" s="15"/>
      <c r="AW6" s="15"/>
    </row>
    <row r="7" spans="1:59" ht="35.25" customHeight="1" x14ac:dyDescent="0.3">
      <c r="A7" s="16">
        <v>5</v>
      </c>
      <c r="B7" s="17" t="s">
        <v>34</v>
      </c>
      <c r="C7" s="24">
        <v>3.9089999999999998</v>
      </c>
      <c r="D7" s="29"/>
      <c r="E7" s="29"/>
      <c r="F7" s="29"/>
      <c r="G7" s="29"/>
      <c r="H7" s="29"/>
      <c r="I7" s="29"/>
      <c r="J7" s="29"/>
      <c r="K7" s="29"/>
      <c r="L7" s="29"/>
      <c r="M7" s="29"/>
      <c r="N7" s="29"/>
      <c r="O7" s="29"/>
      <c r="P7" s="29"/>
      <c r="Q7" s="29"/>
      <c r="R7" s="29"/>
      <c r="S7" s="29"/>
      <c r="T7" s="29"/>
      <c r="U7" s="29"/>
      <c r="V7" s="29"/>
      <c r="W7" s="29"/>
      <c r="X7" s="29"/>
      <c r="Y7" s="29"/>
      <c r="Z7" s="29"/>
      <c r="AA7" s="29"/>
      <c r="AB7" s="20"/>
      <c r="AC7" s="21">
        <v>284.87</v>
      </c>
      <c r="AD7" s="21">
        <v>0</v>
      </c>
      <c r="AE7" s="22">
        <f t="shared" si="0"/>
        <v>284.87</v>
      </c>
      <c r="AF7" s="15"/>
      <c r="AG7" s="23"/>
      <c r="AH7" s="4">
        <v>28.2</v>
      </c>
      <c r="AL7" s="15"/>
      <c r="AP7" s="15"/>
      <c r="AV7" s="15"/>
      <c r="AW7" s="15"/>
    </row>
    <row r="8" spans="1:59" ht="35.25" customHeight="1" x14ac:dyDescent="0.3">
      <c r="A8" s="16">
        <v>6</v>
      </c>
      <c r="B8" s="17" t="s">
        <v>35</v>
      </c>
      <c r="C8" s="24">
        <v>3.5897483814605566</v>
      </c>
      <c r="D8" s="29">
        <v>82.619999999999891</v>
      </c>
      <c r="E8" s="29">
        <v>240.68999999999994</v>
      </c>
      <c r="F8" s="29">
        <v>232.47999999999996</v>
      </c>
      <c r="G8" s="29">
        <v>139.01999999999992</v>
      </c>
      <c r="H8" s="29">
        <v>139.01999999999992</v>
      </c>
      <c r="I8" s="29">
        <v>232.47999999999996</v>
      </c>
      <c r="J8" s="29">
        <v>272.36999999999995</v>
      </c>
      <c r="K8" s="29">
        <v>272.36999999999995</v>
      </c>
      <c r="L8" s="29">
        <v>272.36999999999995</v>
      </c>
      <c r="M8" s="29">
        <v>272.36999999999995</v>
      </c>
      <c r="N8" s="29">
        <v>272.36999999999995</v>
      </c>
      <c r="O8" s="29">
        <v>272.36999999999995</v>
      </c>
      <c r="P8" s="29">
        <v>272.36999999999995</v>
      </c>
      <c r="Q8" s="29">
        <v>272.36999999999995</v>
      </c>
      <c r="R8" s="29">
        <v>272.36999999999995</v>
      </c>
      <c r="S8" s="29">
        <v>272.36999999999995</v>
      </c>
      <c r="T8" s="29">
        <v>272.36999999999995</v>
      </c>
      <c r="U8" s="29">
        <v>272.36999999999995</v>
      </c>
      <c r="V8" s="29">
        <v>272.36999999999995</v>
      </c>
      <c r="W8" s="29">
        <v>272.36999999999995</v>
      </c>
      <c r="X8" s="29">
        <v>272.36999999999995</v>
      </c>
      <c r="Y8" s="29">
        <v>272.36999999999995</v>
      </c>
      <c r="Z8" s="29">
        <v>272.36999999999995</v>
      </c>
      <c r="AA8" s="29">
        <v>272.36999999999995</v>
      </c>
      <c r="AB8" s="30"/>
      <c r="AC8" s="21">
        <v>284.87</v>
      </c>
      <c r="AD8" s="21">
        <v>0</v>
      </c>
      <c r="AE8" s="22">
        <f>+AC8-AD8</f>
        <v>284.87</v>
      </c>
      <c r="AF8" s="15"/>
      <c r="AG8" s="23"/>
      <c r="AH8" s="4">
        <v>28.2</v>
      </c>
      <c r="AI8" s="4">
        <v>0</v>
      </c>
      <c r="AJ8" s="4">
        <v>0</v>
      </c>
      <c r="AK8" s="4">
        <v>0</v>
      </c>
      <c r="AL8" s="4">
        <v>0</v>
      </c>
      <c r="AM8" s="4">
        <v>0</v>
      </c>
      <c r="AP8" s="15"/>
      <c r="AV8" s="15"/>
      <c r="AW8" s="15"/>
    </row>
    <row r="9" spans="1:59" ht="35.25" customHeight="1" x14ac:dyDescent="0.3">
      <c r="A9" s="16">
        <v>3</v>
      </c>
      <c r="B9" s="17" t="s">
        <v>36</v>
      </c>
      <c r="C9" s="24">
        <v>3.5710000000000002</v>
      </c>
      <c r="D9" s="19">
        <v>40.549999999999955</v>
      </c>
      <c r="E9" s="19">
        <v>0</v>
      </c>
      <c r="F9" s="19">
        <v>0</v>
      </c>
      <c r="G9" s="19">
        <v>0</v>
      </c>
      <c r="H9" s="19">
        <v>0</v>
      </c>
      <c r="I9" s="19">
        <v>0</v>
      </c>
      <c r="J9" s="19">
        <v>0</v>
      </c>
      <c r="K9" s="19">
        <v>0</v>
      </c>
      <c r="L9" s="19">
        <v>0</v>
      </c>
      <c r="M9" s="19">
        <v>0</v>
      </c>
      <c r="N9" s="19">
        <v>0</v>
      </c>
      <c r="O9" s="19">
        <v>0</v>
      </c>
      <c r="P9" s="19">
        <v>0</v>
      </c>
      <c r="Q9" s="19">
        <v>0</v>
      </c>
      <c r="R9" s="19">
        <v>115</v>
      </c>
      <c r="S9" s="19">
        <v>270.38</v>
      </c>
      <c r="T9" s="19">
        <v>270.38</v>
      </c>
      <c r="U9" s="19">
        <v>270.38</v>
      </c>
      <c r="V9" s="19">
        <v>346.67</v>
      </c>
      <c r="W9" s="19">
        <v>346.67</v>
      </c>
      <c r="X9" s="19">
        <v>306.62</v>
      </c>
      <c r="Y9" s="19">
        <v>307.25</v>
      </c>
      <c r="Z9" s="19">
        <v>307.25</v>
      </c>
      <c r="AA9" s="19">
        <v>307.25</v>
      </c>
      <c r="AB9" s="20"/>
      <c r="AC9" s="21">
        <v>284.87</v>
      </c>
      <c r="AD9" s="21">
        <v>0</v>
      </c>
      <c r="AE9" s="22">
        <f>+AC9-AD9</f>
        <v>284.87</v>
      </c>
      <c r="AF9" s="15"/>
      <c r="AG9" s="23"/>
      <c r="AH9" s="4">
        <v>12</v>
      </c>
      <c r="AL9" s="15"/>
      <c r="AP9" s="15"/>
      <c r="AV9" s="15"/>
      <c r="AW9" s="15"/>
    </row>
    <row r="10" spans="1:59" ht="35.25" customHeight="1" x14ac:dyDescent="0.3">
      <c r="A10" s="16">
        <v>7</v>
      </c>
      <c r="B10" s="17" t="s">
        <v>37</v>
      </c>
      <c r="C10" s="24">
        <v>3.4702929483155471</v>
      </c>
      <c r="D10" s="29"/>
      <c r="E10" s="29"/>
      <c r="F10" s="29"/>
      <c r="G10" s="29"/>
      <c r="H10" s="29"/>
      <c r="I10" s="29"/>
      <c r="J10" s="29"/>
      <c r="K10" s="29"/>
      <c r="L10" s="29"/>
      <c r="M10" s="29"/>
      <c r="N10" s="29"/>
      <c r="O10" s="29"/>
      <c r="P10" s="29"/>
      <c r="Q10" s="29"/>
      <c r="R10" s="29"/>
      <c r="S10" s="29"/>
      <c r="T10" s="29"/>
      <c r="U10" s="29"/>
      <c r="V10" s="29"/>
      <c r="W10" s="29"/>
      <c r="X10" s="29"/>
      <c r="Y10" s="29"/>
      <c r="Z10" s="29"/>
      <c r="AA10" s="29"/>
      <c r="AB10" s="31"/>
      <c r="AC10" s="21">
        <v>284.87</v>
      </c>
      <c r="AD10" s="21">
        <v>0</v>
      </c>
      <c r="AE10" s="22">
        <f t="shared" si="0"/>
        <v>284.87</v>
      </c>
      <c r="AF10" s="15"/>
      <c r="AG10" s="23"/>
      <c r="AL10" s="15"/>
      <c r="AP10" s="15"/>
      <c r="AV10" s="15"/>
      <c r="AW10" s="15"/>
    </row>
    <row r="11" spans="1:59" ht="35.25" customHeight="1" x14ac:dyDescent="0.3">
      <c r="A11" s="16">
        <v>8</v>
      </c>
      <c r="B11" s="17" t="s">
        <v>38</v>
      </c>
      <c r="C11" s="24">
        <v>3.3375183092697216</v>
      </c>
      <c r="D11" s="29">
        <v>0</v>
      </c>
      <c r="E11" s="29">
        <v>0</v>
      </c>
      <c r="F11" s="29">
        <v>0</v>
      </c>
      <c r="G11" s="29">
        <v>0</v>
      </c>
      <c r="H11" s="29">
        <v>0</v>
      </c>
      <c r="I11" s="29">
        <v>0</v>
      </c>
      <c r="J11" s="29">
        <v>0</v>
      </c>
      <c r="K11" s="29">
        <v>0</v>
      </c>
      <c r="L11" s="29">
        <v>0</v>
      </c>
      <c r="M11" s="29">
        <v>0</v>
      </c>
      <c r="N11" s="29">
        <v>0</v>
      </c>
      <c r="O11" s="29">
        <v>0</v>
      </c>
      <c r="P11" s="29">
        <v>0</v>
      </c>
      <c r="Q11" s="29">
        <v>0</v>
      </c>
      <c r="R11" s="29">
        <v>0</v>
      </c>
      <c r="S11" s="29">
        <v>0</v>
      </c>
      <c r="T11" s="29">
        <v>0</v>
      </c>
      <c r="U11" s="29">
        <v>0</v>
      </c>
      <c r="V11" s="29">
        <v>0</v>
      </c>
      <c r="W11" s="29">
        <v>0</v>
      </c>
      <c r="X11" s="29">
        <v>65.510000000000005</v>
      </c>
      <c r="Y11" s="29">
        <v>65.52</v>
      </c>
      <c r="Z11" s="29">
        <v>65.52</v>
      </c>
      <c r="AA11" s="29">
        <v>65.52</v>
      </c>
      <c r="AB11" s="32"/>
      <c r="AC11" s="21">
        <v>284.87</v>
      </c>
      <c r="AD11" s="21">
        <v>0</v>
      </c>
      <c r="AE11" s="22">
        <f t="shared" si="0"/>
        <v>284.87</v>
      </c>
      <c r="AF11" s="15"/>
      <c r="AG11" s="23"/>
      <c r="AL11" s="15"/>
      <c r="AP11" s="15"/>
      <c r="AV11" s="15"/>
      <c r="AW11" s="15"/>
    </row>
    <row r="12" spans="1:59" ht="35.25" customHeight="1" x14ac:dyDescent="0.3">
      <c r="A12" s="16">
        <v>9</v>
      </c>
      <c r="B12" s="17" t="s">
        <v>39</v>
      </c>
      <c r="C12" s="24">
        <v>3.332247122829044</v>
      </c>
      <c r="D12" s="29">
        <v>0</v>
      </c>
      <c r="E12" s="29">
        <v>0</v>
      </c>
      <c r="F12" s="29">
        <v>0</v>
      </c>
      <c r="G12" s="29">
        <v>0</v>
      </c>
      <c r="H12" s="29">
        <v>0</v>
      </c>
      <c r="I12" s="29">
        <v>0</v>
      </c>
      <c r="J12" s="29">
        <v>0</v>
      </c>
      <c r="K12" s="29">
        <v>0</v>
      </c>
      <c r="L12" s="29">
        <v>0</v>
      </c>
      <c r="M12" s="29">
        <v>0</v>
      </c>
      <c r="N12" s="29">
        <v>0</v>
      </c>
      <c r="O12" s="29">
        <v>0</v>
      </c>
      <c r="P12" s="29">
        <v>0</v>
      </c>
      <c r="Q12" s="29">
        <v>0</v>
      </c>
      <c r="R12" s="29">
        <v>0</v>
      </c>
      <c r="S12" s="29">
        <v>0</v>
      </c>
      <c r="T12" s="29">
        <v>0</v>
      </c>
      <c r="U12" s="29">
        <v>0</v>
      </c>
      <c r="V12" s="29">
        <v>0</v>
      </c>
      <c r="W12" s="29">
        <v>0</v>
      </c>
      <c r="X12" s="29">
        <v>89.45999999999998</v>
      </c>
      <c r="Y12" s="29">
        <v>89.47999999999999</v>
      </c>
      <c r="Z12" s="29">
        <v>89.47999999999999</v>
      </c>
      <c r="AA12" s="29">
        <v>89.47999999999999</v>
      </c>
      <c r="AB12" s="20"/>
      <c r="AC12" s="21">
        <v>284.87</v>
      </c>
      <c r="AD12" s="21">
        <v>0</v>
      </c>
      <c r="AE12" s="22">
        <f t="shared" si="0"/>
        <v>284.87</v>
      </c>
      <c r="AF12" s="15"/>
      <c r="AG12" s="23"/>
      <c r="AL12" s="33" t="s">
        <v>37</v>
      </c>
      <c r="AP12" s="15"/>
      <c r="AV12" s="15"/>
      <c r="AW12" s="15"/>
    </row>
    <row r="13" spans="1:59" ht="35.25" customHeight="1" x14ac:dyDescent="0.3">
      <c r="A13" s="16">
        <v>10</v>
      </c>
      <c r="B13" s="17" t="s">
        <v>40</v>
      </c>
      <c r="C13" s="24">
        <v>3.3270909970705169</v>
      </c>
      <c r="D13" s="34"/>
      <c r="E13" s="34"/>
      <c r="F13" s="34"/>
      <c r="G13" s="34"/>
      <c r="H13" s="34"/>
      <c r="I13" s="34"/>
      <c r="J13" s="34"/>
      <c r="K13" s="34"/>
      <c r="L13" s="34"/>
      <c r="M13" s="34"/>
      <c r="N13" s="34"/>
      <c r="O13" s="34"/>
      <c r="P13" s="34"/>
      <c r="Q13" s="34"/>
      <c r="R13" s="34"/>
      <c r="S13" s="34"/>
      <c r="T13" s="34"/>
      <c r="U13" s="34"/>
      <c r="V13" s="34"/>
      <c r="W13" s="34"/>
      <c r="X13" s="34"/>
      <c r="Y13" s="34"/>
      <c r="Z13" s="34"/>
      <c r="AA13" s="34"/>
      <c r="AB13" s="20"/>
      <c r="AC13" s="21">
        <v>284.87</v>
      </c>
      <c r="AD13" s="21">
        <v>0</v>
      </c>
      <c r="AE13" s="22">
        <f t="shared" si="0"/>
        <v>284.87</v>
      </c>
      <c r="AF13" s="15"/>
      <c r="AG13" s="23"/>
      <c r="AL13" s="15"/>
      <c r="AP13" s="15"/>
      <c r="AV13" s="15"/>
      <c r="AW13" s="15"/>
    </row>
    <row r="14" spans="1:59" ht="35.25" customHeight="1" x14ac:dyDescent="0.3">
      <c r="A14" s="16">
        <v>11</v>
      </c>
      <c r="B14" s="17" t="s">
        <v>41</v>
      </c>
      <c r="C14" s="24">
        <v>3.1269999999999998</v>
      </c>
      <c r="D14" s="29"/>
      <c r="E14" s="29"/>
      <c r="F14" s="29"/>
      <c r="G14" s="29"/>
      <c r="H14" s="29"/>
      <c r="I14" s="29"/>
      <c r="J14" s="29"/>
      <c r="K14" s="29"/>
      <c r="L14" s="29"/>
      <c r="M14" s="29"/>
      <c r="N14" s="34"/>
      <c r="O14" s="34"/>
      <c r="P14" s="34"/>
      <c r="Q14" s="34"/>
      <c r="R14" s="34"/>
      <c r="S14" s="34"/>
      <c r="T14" s="34"/>
      <c r="U14" s="34"/>
      <c r="V14" s="34"/>
      <c r="W14" s="34"/>
      <c r="X14" s="34"/>
      <c r="Y14" s="34"/>
      <c r="Z14" s="34"/>
      <c r="AA14" s="34"/>
      <c r="AB14" s="31"/>
      <c r="AC14" s="21">
        <v>284.87</v>
      </c>
      <c r="AD14" s="21">
        <v>85.47</v>
      </c>
      <c r="AE14" s="22">
        <f t="shared" si="0"/>
        <v>199.4</v>
      </c>
      <c r="AF14" s="15"/>
      <c r="AG14" s="23"/>
      <c r="AL14" s="15"/>
      <c r="AP14" s="15"/>
      <c r="AV14" s="15"/>
      <c r="AW14" s="15"/>
    </row>
    <row r="15" spans="1:59" ht="35.25" customHeight="1" x14ac:dyDescent="0.3">
      <c r="A15" s="16">
        <v>12</v>
      </c>
      <c r="B15" s="17" t="s">
        <v>42</v>
      </c>
      <c r="C15" s="24">
        <v>3.0670000000000002</v>
      </c>
      <c r="D15" s="34"/>
      <c r="E15" s="34"/>
      <c r="F15" s="34"/>
      <c r="G15" s="34"/>
      <c r="H15" s="34"/>
      <c r="I15" s="34"/>
      <c r="J15" s="34"/>
      <c r="K15" s="34"/>
      <c r="L15" s="34"/>
      <c r="M15" s="34"/>
      <c r="N15" s="34"/>
      <c r="O15" s="34"/>
      <c r="P15" s="34"/>
      <c r="Q15" s="34"/>
      <c r="R15" s="34"/>
      <c r="S15" s="34"/>
      <c r="T15" s="34"/>
      <c r="U15" s="34"/>
      <c r="V15" s="34"/>
      <c r="W15" s="34"/>
      <c r="X15" s="34"/>
      <c r="Y15" s="34"/>
      <c r="Z15" s="34"/>
      <c r="AA15" s="34"/>
      <c r="AB15" s="35"/>
      <c r="AC15" s="21">
        <v>284.87</v>
      </c>
      <c r="AD15" s="21">
        <v>258.39999999999998</v>
      </c>
      <c r="AE15" s="22">
        <f t="shared" si="0"/>
        <v>26.470000000000027</v>
      </c>
      <c r="AF15" s="15"/>
      <c r="AG15" s="23"/>
      <c r="AP15" s="15"/>
      <c r="AV15" s="15"/>
      <c r="AW15" s="15"/>
    </row>
    <row r="16" spans="1:59" ht="35.25" customHeight="1" x14ac:dyDescent="0.3">
      <c r="A16" s="16">
        <v>13</v>
      </c>
      <c r="B16" s="17" t="s">
        <v>43</v>
      </c>
      <c r="C16" s="24">
        <v>2.9260000000000002</v>
      </c>
      <c r="D16" s="34"/>
      <c r="E16" s="34"/>
      <c r="F16" s="34"/>
      <c r="G16" s="34"/>
      <c r="H16" s="34"/>
      <c r="I16" s="34"/>
      <c r="J16" s="34"/>
      <c r="K16" s="34"/>
      <c r="L16" s="34"/>
      <c r="M16" s="34"/>
      <c r="N16" s="34"/>
      <c r="O16" s="34"/>
      <c r="P16" s="34"/>
      <c r="Q16" s="34"/>
      <c r="R16" s="34"/>
      <c r="S16" s="34"/>
      <c r="T16" s="34"/>
      <c r="U16" s="34"/>
      <c r="V16" s="34"/>
      <c r="W16" s="34"/>
      <c r="X16" s="34"/>
      <c r="Y16" s="34"/>
      <c r="Z16" s="34"/>
      <c r="AA16" s="34"/>
      <c r="AB16" s="36"/>
      <c r="AC16" s="21">
        <v>284.87</v>
      </c>
      <c r="AD16" s="21">
        <v>284.87</v>
      </c>
      <c r="AE16" s="22">
        <f t="shared" si="0"/>
        <v>0</v>
      </c>
      <c r="AF16" s="15"/>
      <c r="AG16" s="23"/>
      <c r="AP16" s="15"/>
      <c r="AV16" s="15"/>
      <c r="AW16" s="15"/>
    </row>
    <row r="17" spans="1:49" ht="35.25" customHeight="1" x14ac:dyDescent="0.3">
      <c r="A17" s="16">
        <v>14</v>
      </c>
      <c r="B17" s="17" t="s">
        <v>44</v>
      </c>
      <c r="C17" s="24">
        <v>2.8876229336681316</v>
      </c>
      <c r="D17" s="34"/>
      <c r="E17" s="34"/>
      <c r="F17" s="34"/>
      <c r="G17" s="34"/>
      <c r="H17" s="34"/>
      <c r="I17" s="34"/>
      <c r="J17" s="34"/>
      <c r="K17" s="34"/>
      <c r="L17" s="34"/>
      <c r="M17" s="34"/>
      <c r="N17" s="34"/>
      <c r="O17" s="34"/>
      <c r="P17" s="34"/>
      <c r="Q17" s="34"/>
      <c r="R17" s="34"/>
      <c r="S17" s="34"/>
      <c r="T17" s="34"/>
      <c r="U17" s="34"/>
      <c r="V17" s="34"/>
      <c r="W17" s="34"/>
      <c r="X17" s="34"/>
      <c r="Y17" s="34"/>
      <c r="Z17" s="34"/>
      <c r="AA17" s="34"/>
      <c r="AB17" s="37"/>
      <c r="AC17" s="21">
        <v>109.76</v>
      </c>
      <c r="AD17" s="4">
        <v>637</v>
      </c>
      <c r="AE17" s="22">
        <f t="shared" ref="AE17:AE27" si="1">AD17-AC17</f>
        <v>527.24</v>
      </c>
      <c r="AF17" s="15"/>
      <c r="AG17" s="23"/>
      <c r="AP17" s="15"/>
      <c r="AV17" s="15"/>
      <c r="AW17" s="15"/>
    </row>
    <row r="18" spans="1:49" ht="35.25" customHeight="1" x14ac:dyDescent="0.35">
      <c r="A18" s="16">
        <v>15</v>
      </c>
      <c r="B18" s="17" t="s">
        <v>45</v>
      </c>
      <c r="C18" s="24">
        <v>2.8661540071144591</v>
      </c>
      <c r="D18" s="38"/>
      <c r="E18" s="38"/>
      <c r="F18" s="38"/>
      <c r="G18" s="38"/>
      <c r="H18" s="38"/>
      <c r="I18" s="38"/>
      <c r="J18" s="38"/>
      <c r="K18" s="38"/>
      <c r="L18" s="38"/>
      <c r="M18" s="38"/>
      <c r="N18" s="38"/>
      <c r="O18" s="38"/>
      <c r="P18" s="38"/>
      <c r="Q18" s="38"/>
      <c r="R18" s="38"/>
      <c r="S18" s="38"/>
      <c r="T18" s="38"/>
      <c r="U18" s="38"/>
      <c r="V18" s="38"/>
      <c r="W18" s="38"/>
      <c r="X18" s="38"/>
      <c r="Y18" s="38"/>
      <c r="Z18" s="38"/>
      <c r="AA18" s="38"/>
      <c r="AB18" s="37"/>
      <c r="AC18" s="21">
        <v>0</v>
      </c>
      <c r="AD18" s="4">
        <v>637</v>
      </c>
      <c r="AE18" s="22">
        <f t="shared" si="1"/>
        <v>637</v>
      </c>
      <c r="AF18" s="15"/>
      <c r="AG18" s="23"/>
      <c r="AP18" s="15"/>
      <c r="AV18" s="15"/>
      <c r="AW18" s="15"/>
    </row>
    <row r="19" spans="1:49" ht="35.25" customHeight="1" x14ac:dyDescent="0.35">
      <c r="A19" s="16">
        <v>16</v>
      </c>
      <c r="B19" s="17" t="s">
        <v>46</v>
      </c>
      <c r="C19" s="24">
        <v>2.786</v>
      </c>
      <c r="D19" s="38"/>
      <c r="E19" s="38"/>
      <c r="F19" s="38"/>
      <c r="G19" s="38"/>
      <c r="H19" s="38"/>
      <c r="I19" s="38"/>
      <c r="J19" s="38"/>
      <c r="K19" s="38"/>
      <c r="L19" s="38"/>
      <c r="M19" s="38"/>
      <c r="N19" s="38"/>
      <c r="O19" s="38"/>
      <c r="P19" s="38"/>
      <c r="Q19" s="38"/>
      <c r="R19" s="38"/>
      <c r="S19" s="38"/>
      <c r="T19" s="38"/>
      <c r="U19" s="38"/>
      <c r="V19" s="38"/>
      <c r="W19" s="38"/>
      <c r="X19" s="38"/>
      <c r="Y19" s="38"/>
      <c r="Z19" s="38"/>
      <c r="AA19" s="38"/>
      <c r="AB19" s="39"/>
      <c r="AC19" s="21">
        <v>0</v>
      </c>
      <c r="AD19" s="4">
        <v>637</v>
      </c>
      <c r="AE19" s="22">
        <f t="shared" si="1"/>
        <v>637</v>
      </c>
      <c r="AF19" s="15"/>
      <c r="AG19" s="23"/>
      <c r="AP19" s="15"/>
      <c r="AV19" s="15"/>
      <c r="AW19" s="15"/>
    </row>
    <row r="20" spans="1:49" ht="35.25" customHeight="1" x14ac:dyDescent="0.35">
      <c r="A20" s="16">
        <v>17</v>
      </c>
      <c r="B20" s="17" t="s">
        <v>47</v>
      </c>
      <c r="C20" s="24">
        <v>2.721667712910651</v>
      </c>
      <c r="D20" s="38"/>
      <c r="E20" s="38"/>
      <c r="F20" s="38"/>
      <c r="G20" s="38"/>
      <c r="H20" s="38"/>
      <c r="I20" s="38"/>
      <c r="J20" s="38"/>
      <c r="K20" s="38"/>
      <c r="L20" s="38"/>
      <c r="M20" s="38"/>
      <c r="N20" s="38"/>
      <c r="O20" s="38"/>
      <c r="P20" s="38"/>
      <c r="Q20" s="38"/>
      <c r="R20" s="38"/>
      <c r="S20" s="38"/>
      <c r="T20" s="38"/>
      <c r="U20" s="38"/>
      <c r="V20" s="38"/>
      <c r="W20" s="38"/>
      <c r="X20" s="38"/>
      <c r="Y20" s="38"/>
      <c r="Z20" s="38"/>
      <c r="AA20" s="38"/>
      <c r="AB20" s="39"/>
      <c r="AC20" s="21">
        <v>0</v>
      </c>
      <c r="AD20" s="4">
        <v>637</v>
      </c>
      <c r="AE20" s="22">
        <f t="shared" si="1"/>
        <v>637</v>
      </c>
      <c r="AG20" s="23"/>
      <c r="AP20" s="15"/>
      <c r="AV20" s="15"/>
      <c r="AW20" s="15"/>
    </row>
    <row r="21" spans="1:49" ht="35.25" customHeight="1" x14ac:dyDescent="0.35">
      <c r="A21" s="16">
        <v>18</v>
      </c>
      <c r="B21" s="17" t="s">
        <v>48</v>
      </c>
      <c r="C21" s="24">
        <v>2.4640255978238126</v>
      </c>
      <c r="D21" s="38"/>
      <c r="E21" s="38"/>
      <c r="F21" s="38"/>
      <c r="G21" s="38"/>
      <c r="H21" s="38"/>
      <c r="I21" s="38"/>
      <c r="J21" s="38"/>
      <c r="K21" s="38"/>
      <c r="L21" s="38"/>
      <c r="M21" s="38"/>
      <c r="N21" s="38"/>
      <c r="O21" s="38"/>
      <c r="P21" s="38"/>
      <c r="Q21" s="38"/>
      <c r="R21" s="38"/>
      <c r="S21" s="38"/>
      <c r="T21" s="38"/>
      <c r="U21" s="38"/>
      <c r="V21" s="38"/>
      <c r="W21" s="38"/>
      <c r="X21" s="38"/>
      <c r="Y21" s="38"/>
      <c r="Z21" s="38"/>
      <c r="AA21" s="38"/>
      <c r="AB21" s="39"/>
      <c r="AC21" s="21">
        <v>0</v>
      </c>
      <c r="AD21" s="4">
        <v>637</v>
      </c>
      <c r="AE21" s="22">
        <f t="shared" si="1"/>
        <v>637</v>
      </c>
      <c r="AG21" s="23"/>
      <c r="AP21" s="15"/>
      <c r="AV21" s="15"/>
      <c r="AW21" s="15"/>
    </row>
    <row r="22" spans="1:49" ht="35.25" customHeight="1" x14ac:dyDescent="0.35">
      <c r="A22" s="16">
        <v>19</v>
      </c>
      <c r="B22" s="17" t="s">
        <v>49</v>
      </c>
      <c r="C22" s="24">
        <v>2.3970000000000002</v>
      </c>
      <c r="D22" s="38"/>
      <c r="E22" s="38"/>
      <c r="F22" s="38"/>
      <c r="G22" s="38"/>
      <c r="H22" s="38"/>
      <c r="I22" s="38"/>
      <c r="J22" s="38"/>
      <c r="K22" s="38"/>
      <c r="L22" s="38"/>
      <c r="M22" s="38"/>
      <c r="N22" s="38"/>
      <c r="O22" s="38"/>
      <c r="P22" s="38"/>
      <c r="Q22" s="38"/>
      <c r="R22" s="38"/>
      <c r="S22" s="38"/>
      <c r="T22" s="38"/>
      <c r="U22" s="38"/>
      <c r="V22" s="38"/>
      <c r="W22" s="38"/>
      <c r="X22" s="38"/>
      <c r="Y22" s="38"/>
      <c r="Z22" s="38"/>
      <c r="AA22" s="38"/>
      <c r="AB22" s="39"/>
      <c r="AC22" s="21">
        <v>0</v>
      </c>
      <c r="AD22" s="4">
        <v>637</v>
      </c>
      <c r="AE22" s="22">
        <f t="shared" si="1"/>
        <v>637</v>
      </c>
      <c r="AG22" s="23"/>
      <c r="AP22" s="15"/>
      <c r="AV22" s="15"/>
      <c r="AW22" s="15"/>
    </row>
    <row r="23" spans="1:49" ht="35.25" customHeight="1" x14ac:dyDescent="0.3">
      <c r="A23" s="16">
        <v>20</v>
      </c>
      <c r="B23" s="17" t="s">
        <v>50</v>
      </c>
      <c r="C23" s="24">
        <v>2.3705448042268253</v>
      </c>
      <c r="D23" s="32"/>
      <c r="E23" s="32"/>
      <c r="F23" s="32"/>
      <c r="G23" s="32"/>
      <c r="H23" s="32"/>
      <c r="I23" s="32"/>
      <c r="J23" s="32"/>
      <c r="K23" s="32"/>
      <c r="L23" s="32"/>
      <c r="M23" s="32"/>
      <c r="N23" s="32"/>
      <c r="O23" s="32"/>
      <c r="P23" s="32"/>
      <c r="Q23" s="32"/>
      <c r="R23" s="32"/>
      <c r="S23" s="32"/>
      <c r="T23" s="32"/>
      <c r="U23" s="32"/>
      <c r="V23" s="32"/>
      <c r="W23" s="32"/>
      <c r="X23" s="32"/>
      <c r="Y23" s="32"/>
      <c r="Z23" s="32"/>
      <c r="AA23" s="32"/>
      <c r="AB23" s="39"/>
      <c r="AC23" s="21">
        <v>0</v>
      </c>
      <c r="AD23" s="4">
        <v>637</v>
      </c>
      <c r="AE23" s="22">
        <f t="shared" si="1"/>
        <v>637</v>
      </c>
      <c r="AG23" s="23"/>
      <c r="AP23" s="15"/>
      <c r="AV23" s="15"/>
      <c r="AW23" s="15"/>
    </row>
    <row r="24" spans="1:49" ht="35.25" customHeight="1" x14ac:dyDescent="0.3">
      <c r="A24" s="16">
        <v>21</v>
      </c>
      <c r="B24" s="17" t="s">
        <v>51</v>
      </c>
      <c r="C24" s="24">
        <v>2.3626348354467464</v>
      </c>
      <c r="D24" s="32"/>
      <c r="E24" s="32"/>
      <c r="F24" s="32"/>
      <c r="G24" s="32"/>
      <c r="H24" s="32"/>
      <c r="I24" s="32"/>
      <c r="J24" s="32"/>
      <c r="K24" s="32"/>
      <c r="L24" s="32"/>
      <c r="M24" s="32"/>
      <c r="N24" s="32"/>
      <c r="O24" s="32"/>
      <c r="P24" s="32"/>
      <c r="Q24" s="32"/>
      <c r="R24" s="32"/>
      <c r="S24" s="32"/>
      <c r="T24" s="32"/>
      <c r="U24" s="32"/>
      <c r="V24" s="32"/>
      <c r="W24" s="32"/>
      <c r="X24" s="32"/>
      <c r="Y24" s="32"/>
      <c r="Z24" s="32"/>
      <c r="AA24" s="32"/>
      <c r="AB24" s="39"/>
      <c r="AC24" s="21">
        <v>0</v>
      </c>
      <c r="AD24" s="4">
        <v>637</v>
      </c>
      <c r="AE24" s="22">
        <f t="shared" si="1"/>
        <v>637</v>
      </c>
      <c r="AG24" s="23"/>
      <c r="AP24" s="15"/>
      <c r="AV24" s="15"/>
      <c r="AW24" s="15"/>
    </row>
    <row r="25" spans="1:49" ht="35.25" customHeight="1" x14ac:dyDescent="0.3">
      <c r="A25" s="16">
        <v>22</v>
      </c>
      <c r="B25" s="17" t="s">
        <v>52</v>
      </c>
      <c r="C25" s="24">
        <v>2.3424844320987659</v>
      </c>
      <c r="D25" s="32"/>
      <c r="E25" s="32"/>
      <c r="F25" s="32"/>
      <c r="G25" s="32"/>
      <c r="H25" s="32"/>
      <c r="I25" s="32"/>
      <c r="J25" s="32"/>
      <c r="K25" s="32"/>
      <c r="L25" s="32"/>
      <c r="M25" s="32"/>
      <c r="N25" s="32"/>
      <c r="O25" s="32"/>
      <c r="P25" s="32"/>
      <c r="Q25" s="32"/>
      <c r="R25" s="32"/>
      <c r="S25" s="32"/>
      <c r="T25" s="32"/>
      <c r="U25" s="32"/>
      <c r="V25" s="32"/>
      <c r="W25" s="32"/>
      <c r="X25" s="32"/>
      <c r="Y25" s="32"/>
      <c r="Z25" s="32"/>
      <c r="AA25" s="32"/>
      <c r="AB25" s="39"/>
      <c r="AC25" s="21">
        <v>0</v>
      </c>
      <c r="AD25" s="4">
        <v>637</v>
      </c>
      <c r="AE25" s="22">
        <f t="shared" si="1"/>
        <v>637</v>
      </c>
      <c r="AG25" s="23"/>
      <c r="AP25" s="15"/>
      <c r="AV25" s="15"/>
      <c r="AW25" s="15"/>
    </row>
    <row r="26" spans="1:49" ht="35.25" customHeight="1" x14ac:dyDescent="0.3">
      <c r="A26" s="16">
        <v>23</v>
      </c>
      <c r="B26" s="17" t="s">
        <v>53</v>
      </c>
      <c r="C26" s="24">
        <v>2.3194208204645324</v>
      </c>
      <c r="D26" s="32"/>
      <c r="E26" s="32"/>
      <c r="F26" s="32"/>
      <c r="G26" s="32"/>
      <c r="H26" s="32"/>
      <c r="I26" s="32"/>
      <c r="J26" s="32"/>
      <c r="K26" s="32"/>
      <c r="L26" s="32"/>
      <c r="M26" s="32"/>
      <c r="N26" s="32"/>
      <c r="O26" s="32"/>
      <c r="P26" s="32"/>
      <c r="Q26" s="32"/>
      <c r="R26" s="32"/>
      <c r="S26" s="32"/>
      <c r="T26" s="32"/>
      <c r="U26" s="32"/>
      <c r="V26" s="32"/>
      <c r="W26" s="32"/>
      <c r="X26" s="32"/>
      <c r="Y26" s="32"/>
      <c r="Z26" s="32"/>
      <c r="AA26" s="32"/>
      <c r="AB26" s="39"/>
      <c r="AC26" s="21">
        <v>0</v>
      </c>
      <c r="AD26" s="4">
        <v>637</v>
      </c>
      <c r="AE26" s="22">
        <f t="shared" si="1"/>
        <v>637</v>
      </c>
      <c r="AG26" s="23"/>
      <c r="AP26" s="15"/>
      <c r="AV26" s="15"/>
      <c r="AW26" s="15"/>
    </row>
    <row r="27" spans="1:49" ht="35.25" customHeight="1" x14ac:dyDescent="0.3">
      <c r="A27" s="16">
        <v>24</v>
      </c>
      <c r="B27" s="17" t="s">
        <v>54</v>
      </c>
      <c r="C27" s="24">
        <v>1.9654645804561623</v>
      </c>
      <c r="D27" s="19"/>
      <c r="E27" s="19"/>
      <c r="F27" s="19"/>
      <c r="G27" s="19"/>
      <c r="H27" s="19"/>
      <c r="I27" s="19"/>
      <c r="J27" s="19"/>
      <c r="K27" s="19"/>
      <c r="L27" s="19"/>
      <c r="M27" s="19"/>
      <c r="N27" s="19"/>
      <c r="O27" s="19"/>
      <c r="P27" s="19"/>
      <c r="Q27" s="19"/>
      <c r="R27" s="19"/>
      <c r="S27" s="19"/>
      <c r="T27" s="19"/>
      <c r="U27" s="19"/>
      <c r="V27" s="19"/>
      <c r="W27" s="19"/>
      <c r="X27" s="19"/>
      <c r="Y27" s="19"/>
      <c r="Z27" s="19"/>
      <c r="AA27" s="19"/>
      <c r="AB27" s="39"/>
      <c r="AC27" s="21">
        <v>0</v>
      </c>
      <c r="AD27" s="4">
        <v>637</v>
      </c>
      <c r="AE27" s="22">
        <f t="shared" si="1"/>
        <v>637</v>
      </c>
      <c r="AP27" s="15"/>
      <c r="AV27" s="15"/>
      <c r="AW27" s="15"/>
    </row>
    <row r="28" spans="1:49" ht="35.25" customHeight="1" x14ac:dyDescent="0.3">
      <c r="A28" s="16">
        <v>25</v>
      </c>
      <c r="B28" s="17" t="s">
        <v>55</v>
      </c>
      <c r="C28" s="24">
        <v>1.829</v>
      </c>
      <c r="D28" s="19"/>
      <c r="E28" s="19"/>
      <c r="F28" s="19"/>
      <c r="G28" s="19"/>
      <c r="H28" s="19"/>
      <c r="I28" s="19"/>
      <c r="J28" s="19"/>
      <c r="K28" s="19"/>
      <c r="L28" s="19"/>
      <c r="M28" s="19"/>
      <c r="N28" s="19"/>
      <c r="O28" s="19"/>
      <c r="P28" s="19"/>
      <c r="Q28" s="19"/>
      <c r="R28" s="19"/>
      <c r="S28" s="19"/>
      <c r="T28" s="19"/>
      <c r="U28" s="19"/>
      <c r="V28" s="19"/>
      <c r="W28" s="19"/>
      <c r="X28" s="19"/>
      <c r="Y28" s="19"/>
      <c r="Z28" s="19"/>
      <c r="AA28" s="19"/>
      <c r="AB28" s="39"/>
      <c r="AE28" s="15"/>
      <c r="AP28" s="15"/>
      <c r="AV28" s="15"/>
      <c r="AW28" s="15"/>
    </row>
    <row r="29" spans="1:49" ht="35.25" customHeight="1" x14ac:dyDescent="0.3">
      <c r="A29" s="16">
        <v>26</v>
      </c>
      <c r="B29" s="17" t="s">
        <v>56</v>
      </c>
      <c r="C29" s="24">
        <v>1.5560391423263658</v>
      </c>
      <c r="D29" s="19"/>
      <c r="E29" s="19"/>
      <c r="F29" s="19"/>
      <c r="G29" s="19"/>
      <c r="H29" s="19"/>
      <c r="I29" s="19"/>
      <c r="J29" s="19"/>
      <c r="K29" s="19"/>
      <c r="L29" s="19"/>
      <c r="M29" s="19"/>
      <c r="N29" s="19"/>
      <c r="O29" s="19"/>
      <c r="P29" s="19"/>
      <c r="Q29" s="19"/>
      <c r="R29" s="19"/>
      <c r="S29" s="19"/>
      <c r="T29" s="19"/>
      <c r="U29" s="19"/>
      <c r="V29" s="19"/>
      <c r="W29" s="19"/>
      <c r="X29" s="19"/>
      <c r="Y29" s="19"/>
      <c r="Z29" s="19"/>
      <c r="AA29" s="19"/>
      <c r="AB29" s="39"/>
      <c r="AE29" s="15"/>
      <c r="AP29" s="15"/>
      <c r="AV29" s="15"/>
      <c r="AW29" s="15"/>
    </row>
    <row r="30" spans="1:49" ht="35.25" customHeight="1" x14ac:dyDescent="0.3">
      <c r="A30" s="16">
        <v>27</v>
      </c>
      <c r="B30" s="17" t="s">
        <v>57</v>
      </c>
      <c r="C30" s="24">
        <v>1.5110332110399665</v>
      </c>
      <c r="D30" s="19"/>
      <c r="E30" s="19"/>
      <c r="F30" s="19"/>
      <c r="G30" s="19"/>
      <c r="H30" s="19"/>
      <c r="I30" s="19"/>
      <c r="J30" s="19"/>
      <c r="K30" s="19"/>
      <c r="L30" s="19"/>
      <c r="M30" s="19"/>
      <c r="N30" s="19"/>
      <c r="O30" s="19"/>
      <c r="P30" s="19"/>
      <c r="Q30" s="19"/>
      <c r="R30" s="19"/>
      <c r="S30" s="19"/>
      <c r="T30" s="19"/>
      <c r="U30" s="19"/>
      <c r="V30" s="19"/>
      <c r="W30" s="19"/>
      <c r="X30" s="19"/>
      <c r="Y30" s="19"/>
      <c r="Z30" s="19"/>
      <c r="AA30" s="19"/>
      <c r="AB30" s="39"/>
      <c r="AE30" s="15"/>
      <c r="AP30" s="15"/>
      <c r="AV30" s="15"/>
      <c r="AW30" s="15"/>
    </row>
    <row r="31" spans="1:49" ht="35.25" customHeight="1" x14ac:dyDescent="0.3">
      <c r="A31" s="16">
        <v>28</v>
      </c>
      <c r="B31" s="17" t="s">
        <v>58</v>
      </c>
      <c r="C31" s="24">
        <v>1.4664777589976985</v>
      </c>
      <c r="D31" s="19"/>
      <c r="E31" s="19"/>
      <c r="F31" s="19"/>
      <c r="G31" s="19"/>
      <c r="H31" s="19"/>
      <c r="I31" s="19"/>
      <c r="J31" s="19"/>
      <c r="K31" s="19"/>
      <c r="L31" s="19"/>
      <c r="M31" s="19"/>
      <c r="N31" s="19"/>
      <c r="O31" s="19"/>
      <c r="P31" s="19"/>
      <c r="Q31" s="19"/>
      <c r="R31" s="19"/>
      <c r="S31" s="19"/>
      <c r="T31" s="19"/>
      <c r="U31" s="19"/>
      <c r="V31" s="19"/>
      <c r="W31" s="19"/>
      <c r="X31" s="19"/>
      <c r="Y31" s="19"/>
      <c r="Z31" s="19"/>
      <c r="AA31" s="19"/>
      <c r="AB31" s="39"/>
      <c r="AE31" s="15"/>
      <c r="AP31" s="15"/>
      <c r="AV31" s="15"/>
      <c r="AW31" s="15"/>
    </row>
    <row r="32" spans="1:49" ht="35.25" customHeight="1" x14ac:dyDescent="0.3">
      <c r="A32" s="16">
        <v>29</v>
      </c>
      <c r="B32" s="17" t="s">
        <v>59</v>
      </c>
      <c r="C32" s="24">
        <v>1.435389874503034</v>
      </c>
      <c r="D32" s="19"/>
      <c r="E32" s="19"/>
      <c r="F32" s="19"/>
      <c r="G32" s="19"/>
      <c r="H32" s="19"/>
      <c r="I32" s="19"/>
      <c r="J32" s="19"/>
      <c r="K32" s="19"/>
      <c r="L32" s="19"/>
      <c r="M32" s="19"/>
      <c r="N32" s="19"/>
      <c r="O32" s="19"/>
      <c r="P32" s="19"/>
      <c r="Q32" s="19"/>
      <c r="R32" s="19"/>
      <c r="S32" s="19"/>
      <c r="T32" s="19"/>
      <c r="U32" s="19"/>
      <c r="V32" s="19"/>
      <c r="W32" s="19"/>
      <c r="X32" s="19"/>
      <c r="Y32" s="19"/>
      <c r="Z32" s="19"/>
      <c r="AA32" s="19"/>
      <c r="AB32" s="39"/>
      <c r="AE32" s="15"/>
      <c r="AP32" s="15"/>
      <c r="AV32" s="15"/>
      <c r="AW32" s="15"/>
    </row>
    <row r="33" spans="1:49" ht="35.25" customHeight="1" x14ac:dyDescent="0.3">
      <c r="A33" s="16">
        <v>30</v>
      </c>
      <c r="B33" s="17" t="s">
        <v>60</v>
      </c>
      <c r="C33" s="24">
        <v>1.4166364967043317</v>
      </c>
      <c r="D33" s="19"/>
      <c r="E33" s="19"/>
      <c r="F33" s="19"/>
      <c r="G33" s="19"/>
      <c r="H33" s="19"/>
      <c r="I33" s="19"/>
      <c r="J33" s="19"/>
      <c r="K33" s="19"/>
      <c r="L33" s="19"/>
      <c r="M33" s="19"/>
      <c r="N33" s="19"/>
      <c r="O33" s="19"/>
      <c r="P33" s="19"/>
      <c r="Q33" s="19"/>
      <c r="R33" s="19"/>
      <c r="S33" s="19"/>
      <c r="T33" s="19"/>
      <c r="U33" s="19"/>
      <c r="V33" s="19"/>
      <c r="W33" s="19"/>
      <c r="X33" s="19"/>
      <c r="Y33" s="19"/>
      <c r="Z33" s="19"/>
      <c r="AA33" s="19"/>
      <c r="AB33" s="39"/>
      <c r="AE33" s="15"/>
      <c r="AP33" s="15"/>
      <c r="AV33" s="15"/>
      <c r="AW33" s="15"/>
    </row>
    <row r="34" spans="1:49" ht="35.25" customHeight="1" x14ac:dyDescent="0.3">
      <c r="A34" s="16">
        <v>31</v>
      </c>
      <c r="B34" s="17" t="s">
        <v>61</v>
      </c>
      <c r="C34" s="24">
        <v>1.4119254692927392</v>
      </c>
      <c r="D34" s="19"/>
      <c r="E34" s="19"/>
      <c r="F34" s="19"/>
      <c r="G34" s="19"/>
      <c r="H34" s="19"/>
      <c r="I34" s="19"/>
      <c r="J34" s="19"/>
      <c r="K34" s="19"/>
      <c r="L34" s="19"/>
      <c r="M34" s="19"/>
      <c r="N34" s="19"/>
      <c r="O34" s="19"/>
      <c r="P34" s="19"/>
      <c r="Q34" s="19"/>
      <c r="R34" s="19"/>
      <c r="S34" s="19"/>
      <c r="T34" s="19"/>
      <c r="U34" s="19"/>
      <c r="V34" s="19"/>
      <c r="W34" s="19"/>
      <c r="X34" s="19"/>
      <c r="Y34" s="19"/>
      <c r="Z34" s="19"/>
      <c r="AA34" s="19"/>
      <c r="AB34" s="19"/>
      <c r="AL34" s="33" t="s">
        <v>62</v>
      </c>
      <c r="AP34" s="15"/>
    </row>
    <row r="35" spans="1:49" ht="35.25" customHeight="1" x14ac:dyDescent="0.3">
      <c r="A35" s="16">
        <v>32</v>
      </c>
      <c r="B35" s="40" t="s">
        <v>63</v>
      </c>
      <c r="C35" s="41">
        <v>0.92760700878844937</v>
      </c>
      <c r="D35" s="19"/>
      <c r="E35" s="19"/>
      <c r="F35" s="19"/>
      <c r="G35" s="19"/>
      <c r="H35" s="19"/>
      <c r="I35" s="19"/>
      <c r="J35" s="19"/>
      <c r="K35" s="19"/>
      <c r="L35" s="19"/>
      <c r="M35" s="19"/>
      <c r="N35" s="19"/>
      <c r="O35" s="19"/>
      <c r="P35" s="19"/>
      <c r="Q35" s="19"/>
      <c r="R35" s="19"/>
      <c r="S35" s="19"/>
      <c r="T35" s="19"/>
      <c r="U35" s="19"/>
      <c r="V35" s="19"/>
      <c r="W35" s="19"/>
      <c r="X35" s="19"/>
      <c r="Y35" s="19"/>
      <c r="Z35" s="19"/>
      <c r="AA35" s="19"/>
      <c r="AB35" s="19"/>
      <c r="AL35" s="33" t="s">
        <v>56</v>
      </c>
    </row>
    <row r="36" spans="1:49" ht="35.25" customHeight="1" x14ac:dyDescent="0.3">
      <c r="A36" s="42"/>
      <c r="B36" s="42" t="s">
        <v>64</v>
      </c>
      <c r="C36" s="43"/>
      <c r="D36" s="19">
        <f>SUM(D4:D35)</f>
        <v>469.17999999999984</v>
      </c>
      <c r="E36" s="19">
        <f>SUM(E4:E35)</f>
        <v>586.69999999999993</v>
      </c>
      <c r="F36" s="19">
        <f>SUM(F4:F35)</f>
        <v>578.49</v>
      </c>
      <c r="G36" s="19">
        <f>SUM(G4:G35)</f>
        <v>485.02999999999992</v>
      </c>
      <c r="H36" s="19">
        <f>SUM(H4:H35)</f>
        <v>485.02999999999992</v>
      </c>
      <c r="I36" s="19">
        <f>SUM(I4:I35)</f>
        <v>578.49</v>
      </c>
      <c r="J36" s="19">
        <f>SUM(J4:J35)</f>
        <v>618.37999999999988</v>
      </c>
      <c r="K36" s="19">
        <f>SUM(K4:K35)</f>
        <v>618.37999999999988</v>
      </c>
      <c r="L36" s="19">
        <f>SUM(L4:L35)</f>
        <v>618.37999999999988</v>
      </c>
      <c r="M36" s="19">
        <f>SUM(M4:M35)</f>
        <v>618.37999999999988</v>
      </c>
      <c r="N36" s="19">
        <f>SUM(N4:N35)</f>
        <v>618.37999999999988</v>
      </c>
      <c r="O36" s="19">
        <f>SUM(O4:O35)</f>
        <v>618.37999999999988</v>
      </c>
      <c r="P36" s="19">
        <f>SUM(P4:P35)</f>
        <v>618.37999999999988</v>
      </c>
      <c r="Q36" s="19">
        <f>SUM(Q4:Q35)</f>
        <v>618.37999999999988</v>
      </c>
      <c r="R36" s="19">
        <f>SUM(R4:R35)</f>
        <v>733.37999999999988</v>
      </c>
      <c r="S36" s="19">
        <f>SUM(S4:S35)</f>
        <v>888.75999999999988</v>
      </c>
      <c r="T36" s="19">
        <f>SUM(T4:T35)</f>
        <v>888.75999999999988</v>
      </c>
      <c r="U36" s="19">
        <f>SUM(U4:U35)</f>
        <v>888.75999999999988</v>
      </c>
      <c r="V36" s="19">
        <f>SUM(V4:V35)</f>
        <v>965.05</v>
      </c>
      <c r="W36" s="19">
        <f>SUM(W4:W35)</f>
        <v>965.05</v>
      </c>
      <c r="X36" s="19">
        <f>SUM(X4:X35)</f>
        <v>1079.9699999999998</v>
      </c>
      <c r="Y36" s="19">
        <f>SUM(Y4:Y35)</f>
        <v>1080.6299999999999</v>
      </c>
      <c r="Z36" s="19">
        <f>SUM(Z4:Z35)</f>
        <v>1080.6299999999999</v>
      </c>
      <c r="AA36" s="19">
        <f>SUM(AA4:AA35)</f>
        <v>1080.6299999999999</v>
      </c>
    </row>
    <row r="37" spans="1:49" x14ac:dyDescent="0.3">
      <c r="A37" s="42"/>
      <c r="B37" s="42"/>
      <c r="C37" s="43"/>
      <c r="F37" s="44"/>
      <c r="S37" s="4" t="s">
        <v>65</v>
      </c>
    </row>
    <row r="38" spans="1:49" x14ac:dyDescent="0.3">
      <c r="A38" s="42"/>
      <c r="B38" s="42"/>
      <c r="C38" s="43"/>
      <c r="F38" s="44"/>
      <c r="S38" s="4" t="s">
        <v>65</v>
      </c>
    </row>
    <row r="39" spans="1:49" x14ac:dyDescent="0.3">
      <c r="A39" s="42"/>
      <c r="B39" s="42"/>
      <c r="C39" s="43"/>
      <c r="F39" s="44"/>
      <c r="S39" s="4" t="s">
        <v>65</v>
      </c>
      <c r="AB39" s="45"/>
    </row>
    <row r="40" spans="1:49" x14ac:dyDescent="0.3">
      <c r="A40" s="42"/>
      <c r="B40" s="42"/>
      <c r="C40" s="43"/>
      <c r="F40" s="44"/>
      <c r="S40" s="4" t="s">
        <v>65</v>
      </c>
      <c r="AB40" s="45"/>
    </row>
    <row r="41" spans="1:49" x14ac:dyDescent="0.3">
      <c r="A41" s="42"/>
      <c r="B41" s="42"/>
      <c r="C41" s="43"/>
      <c r="F41" s="44"/>
      <c r="S41" s="4" t="s">
        <v>65</v>
      </c>
      <c r="AB41" s="45"/>
    </row>
    <row r="42" spans="1:49" x14ac:dyDescent="0.3">
      <c r="A42" s="42"/>
      <c r="B42" s="42"/>
      <c r="C42" s="43"/>
      <c r="F42" s="44"/>
      <c r="S42" s="4" t="s">
        <v>65</v>
      </c>
      <c r="AB42" s="45"/>
    </row>
    <row r="43" spans="1:49" x14ac:dyDescent="0.3">
      <c r="A43" s="42"/>
      <c r="B43" s="42"/>
      <c r="C43" s="43"/>
      <c r="F43" s="44"/>
      <c r="S43" s="4" t="s">
        <v>65</v>
      </c>
      <c r="AB43" s="45"/>
    </row>
    <row r="44" spans="1:49" x14ac:dyDescent="0.3">
      <c r="A44" s="42"/>
      <c r="B44" s="42"/>
      <c r="C44" s="43"/>
      <c r="F44" s="44"/>
      <c r="S44" s="4" t="s">
        <v>65</v>
      </c>
      <c r="AB44" s="45"/>
    </row>
    <row r="45" spans="1:49" x14ac:dyDescent="0.3">
      <c r="A45" s="42"/>
      <c r="B45" s="42"/>
      <c r="C45" s="43"/>
      <c r="F45" s="44"/>
      <c r="S45" s="4" t="s">
        <v>65</v>
      </c>
      <c r="AB45" s="45"/>
    </row>
    <row r="46" spans="1:49" x14ac:dyDescent="0.3">
      <c r="A46" s="42"/>
      <c r="B46" s="42"/>
      <c r="C46" s="43"/>
      <c r="F46" s="44"/>
      <c r="S46" s="4" t="s">
        <v>65</v>
      </c>
      <c r="AB46" s="45"/>
    </row>
    <row r="47" spans="1:49" x14ac:dyDescent="0.3">
      <c r="A47" s="42"/>
      <c r="B47" s="42"/>
      <c r="C47" s="43"/>
      <c r="F47" s="44"/>
      <c r="S47" s="4" t="s">
        <v>65</v>
      </c>
      <c r="AB47" s="45"/>
    </row>
    <row r="48" spans="1:49" x14ac:dyDescent="0.3">
      <c r="A48" s="42"/>
      <c r="B48" s="42"/>
      <c r="C48" s="43"/>
      <c r="F48" s="44"/>
      <c r="S48" s="4" t="s">
        <v>65</v>
      </c>
      <c r="AB48" s="45"/>
    </row>
    <row r="49" spans="1:28" x14ac:dyDescent="0.3">
      <c r="A49" s="42"/>
      <c r="B49" s="42"/>
      <c r="C49" s="43"/>
      <c r="F49" s="44"/>
      <c r="S49" s="4" t="s">
        <v>65</v>
      </c>
      <c r="AB49" s="45"/>
    </row>
    <row r="50" spans="1:28" x14ac:dyDescent="0.3">
      <c r="A50" s="42"/>
      <c r="B50" s="42"/>
      <c r="C50" s="43"/>
      <c r="F50" s="44"/>
      <c r="S50" s="4" t="s">
        <v>65</v>
      </c>
      <c r="AB50" s="45"/>
    </row>
    <row r="51" spans="1:28" x14ac:dyDescent="0.3">
      <c r="A51" s="42"/>
      <c r="B51" s="42"/>
      <c r="C51" s="43"/>
      <c r="F51" s="44"/>
      <c r="S51" s="4" t="s">
        <v>65</v>
      </c>
      <c r="AB51" s="45"/>
    </row>
    <row r="52" spans="1:28" x14ac:dyDescent="0.3">
      <c r="A52" s="42"/>
      <c r="B52" s="42"/>
      <c r="C52" s="43"/>
      <c r="F52" s="44"/>
      <c r="S52" s="4" t="s">
        <v>65</v>
      </c>
    </row>
    <row r="53" spans="1:28" x14ac:dyDescent="0.3">
      <c r="A53" s="42"/>
      <c r="B53" s="42"/>
      <c r="C53" s="43"/>
      <c r="F53" s="44"/>
      <c r="S53" s="4" t="s">
        <v>65</v>
      </c>
    </row>
    <row r="54" spans="1:28" x14ac:dyDescent="0.3">
      <c r="A54" s="42"/>
      <c r="B54" s="42"/>
      <c r="C54" s="43"/>
      <c r="F54" s="44"/>
      <c r="S54" s="4" t="s">
        <v>65</v>
      </c>
    </row>
    <row r="55" spans="1:28" x14ac:dyDescent="0.3">
      <c r="A55" s="42"/>
      <c r="B55" s="42"/>
      <c r="C55" s="43"/>
      <c r="F55" s="44"/>
      <c r="S55" s="4" t="s">
        <v>65</v>
      </c>
    </row>
    <row r="56" spans="1:28" x14ac:dyDescent="0.3">
      <c r="A56" s="42"/>
      <c r="B56" s="42"/>
      <c r="C56" s="43"/>
      <c r="F56" s="44"/>
      <c r="S56" s="4" t="s">
        <v>65</v>
      </c>
    </row>
    <row r="57" spans="1:28" x14ac:dyDescent="0.3">
      <c r="A57" s="42"/>
      <c r="B57" s="42"/>
      <c r="C57" s="43"/>
      <c r="F57" s="44"/>
      <c r="S57" s="4" t="s">
        <v>65</v>
      </c>
    </row>
    <row r="58" spans="1:28" x14ac:dyDescent="0.3">
      <c r="A58" s="42"/>
      <c r="B58" s="42"/>
      <c r="C58" s="43"/>
      <c r="F58" s="44"/>
      <c r="S58" s="4" t="s">
        <v>65</v>
      </c>
    </row>
    <row r="59" spans="1:28" x14ac:dyDescent="0.3">
      <c r="A59" s="42"/>
      <c r="B59" s="42"/>
      <c r="C59" s="43"/>
      <c r="F59" s="44"/>
      <c r="S59" s="4" t="s">
        <v>65</v>
      </c>
    </row>
    <row r="60" spans="1:28" x14ac:dyDescent="0.3">
      <c r="A60" s="42"/>
      <c r="B60" s="42"/>
      <c r="C60" s="43"/>
      <c r="F60" s="44"/>
      <c r="S60" s="4" t="s">
        <v>65</v>
      </c>
    </row>
    <row r="61" spans="1:28" x14ac:dyDescent="0.3">
      <c r="A61" s="42"/>
      <c r="B61" s="42"/>
      <c r="C61" s="43"/>
      <c r="F61" s="44"/>
      <c r="S61" s="4" t="s">
        <v>65</v>
      </c>
    </row>
    <row r="62" spans="1:28" x14ac:dyDescent="0.3">
      <c r="A62" s="42"/>
      <c r="B62" s="42"/>
      <c r="C62" s="43"/>
      <c r="F62" s="44"/>
      <c r="S62" s="4" t="s">
        <v>65</v>
      </c>
    </row>
    <row r="63" spans="1:28" x14ac:dyDescent="0.3">
      <c r="A63" s="42"/>
      <c r="B63" s="42"/>
      <c r="C63" s="43"/>
      <c r="F63" s="44"/>
      <c r="S63" s="4" t="s">
        <v>65</v>
      </c>
    </row>
    <row r="64" spans="1:28" x14ac:dyDescent="0.3">
      <c r="A64" s="42"/>
      <c r="B64" s="42"/>
      <c r="C64" s="43"/>
      <c r="F64" s="44"/>
      <c r="S64" s="4" t="s">
        <v>65</v>
      </c>
    </row>
    <row r="65" spans="1:27" x14ac:dyDescent="0.3">
      <c r="A65" s="42"/>
      <c r="B65" s="42"/>
      <c r="C65" s="43"/>
      <c r="D65" s="23">
        <f>SUM(D4:D34)</f>
        <v>469.17999999999984</v>
      </c>
      <c r="E65" s="23">
        <f t="shared" ref="E65:AA65" si="2">SUM(E34:E34)</f>
        <v>0</v>
      </c>
      <c r="F65" s="44">
        <f t="shared" si="2"/>
        <v>0</v>
      </c>
      <c r="G65" s="23">
        <f t="shared" si="2"/>
        <v>0</v>
      </c>
      <c r="H65" s="23">
        <f t="shared" si="2"/>
        <v>0</v>
      </c>
      <c r="I65" s="23">
        <f t="shared" si="2"/>
        <v>0</v>
      </c>
      <c r="J65" s="23">
        <f t="shared" si="2"/>
        <v>0</v>
      </c>
      <c r="K65" s="23">
        <f t="shared" si="2"/>
        <v>0</v>
      </c>
      <c r="L65" s="23">
        <f t="shared" si="2"/>
        <v>0</v>
      </c>
      <c r="M65" s="23">
        <f t="shared" si="2"/>
        <v>0</v>
      </c>
      <c r="N65" s="23">
        <f t="shared" si="2"/>
        <v>0</v>
      </c>
      <c r="O65" s="23">
        <f t="shared" si="2"/>
        <v>0</v>
      </c>
      <c r="P65" s="23">
        <f t="shared" si="2"/>
        <v>0</v>
      </c>
      <c r="Q65" s="23">
        <f t="shared" si="2"/>
        <v>0</v>
      </c>
      <c r="R65" s="23">
        <f t="shared" si="2"/>
        <v>0</v>
      </c>
      <c r="S65" s="23">
        <f t="shared" si="2"/>
        <v>0</v>
      </c>
      <c r="T65" s="23">
        <f t="shared" si="2"/>
        <v>0</v>
      </c>
      <c r="U65" s="23">
        <f t="shared" si="2"/>
        <v>0</v>
      </c>
      <c r="V65" s="23">
        <f t="shared" si="2"/>
        <v>0</v>
      </c>
      <c r="W65" s="23">
        <f t="shared" si="2"/>
        <v>0</v>
      </c>
      <c r="X65" s="23">
        <f t="shared" si="2"/>
        <v>0</v>
      </c>
      <c r="Y65" s="23">
        <f t="shared" si="2"/>
        <v>0</v>
      </c>
      <c r="Z65" s="23">
        <f t="shared" si="2"/>
        <v>0</v>
      </c>
      <c r="AA65" s="23">
        <f t="shared" si="2"/>
        <v>0</v>
      </c>
    </row>
    <row r="66" spans="1:27" x14ac:dyDescent="0.3">
      <c r="A66" s="42"/>
      <c r="B66" s="42"/>
      <c r="C66" s="43"/>
      <c r="F66" s="44"/>
    </row>
    <row r="67" spans="1:27" x14ac:dyDescent="0.3">
      <c r="A67" s="42"/>
      <c r="B67" s="42"/>
      <c r="C67" s="43"/>
      <c r="F67" s="44"/>
    </row>
    <row r="68" spans="1:27" x14ac:dyDescent="0.3">
      <c r="B68" s="42"/>
      <c r="C68" s="43"/>
      <c r="F68" s="44"/>
    </row>
    <row r="69" spans="1:27" x14ac:dyDescent="0.3">
      <c r="B69" s="42"/>
      <c r="C69" s="43"/>
      <c r="F69" s="44"/>
    </row>
    <row r="70" spans="1:27" x14ac:dyDescent="0.3">
      <c r="B70" s="42"/>
      <c r="C70" s="43"/>
      <c r="F70" s="44"/>
    </row>
    <row r="71" spans="1:27" x14ac:dyDescent="0.3">
      <c r="F71" s="44"/>
    </row>
    <row r="72" spans="1:27" x14ac:dyDescent="0.3">
      <c r="F72" s="44"/>
    </row>
    <row r="73" spans="1:27" x14ac:dyDescent="0.3">
      <c r="F73" s="44"/>
    </row>
    <row r="74" spans="1:27" x14ac:dyDescent="0.3">
      <c r="F74" s="44"/>
    </row>
    <row r="75" spans="1:27" x14ac:dyDescent="0.3">
      <c r="F75" s="44"/>
    </row>
    <row r="76" spans="1:27" x14ac:dyDescent="0.3">
      <c r="F76" s="44"/>
    </row>
    <row r="77" spans="1:27" x14ac:dyDescent="0.3">
      <c r="F77" s="44"/>
    </row>
    <row r="78" spans="1:27" x14ac:dyDescent="0.3">
      <c r="F78" s="44"/>
    </row>
    <row r="79" spans="1:27" x14ac:dyDescent="0.3">
      <c r="F79" s="44"/>
    </row>
    <row r="80" spans="1:27" x14ac:dyDescent="0.3">
      <c r="F80" s="44"/>
    </row>
    <row r="81" spans="6:6" x14ac:dyDescent="0.3">
      <c r="F81" s="44"/>
    </row>
    <row r="82" spans="6:6" x14ac:dyDescent="0.3">
      <c r="F82" s="44"/>
    </row>
    <row r="83" spans="6:6" x14ac:dyDescent="0.3">
      <c r="F83" s="44"/>
    </row>
    <row r="84" spans="6:6" x14ac:dyDescent="0.3">
      <c r="F84" s="44"/>
    </row>
    <row r="85" spans="6:6" x14ac:dyDescent="0.3">
      <c r="F85" s="44"/>
    </row>
    <row r="86" spans="6:6" x14ac:dyDescent="0.3">
      <c r="F86" s="44"/>
    </row>
    <row r="87" spans="6:6" x14ac:dyDescent="0.3">
      <c r="F87" s="44"/>
    </row>
    <row r="88" spans="6:6" x14ac:dyDescent="0.3">
      <c r="F88" s="44"/>
    </row>
    <row r="89" spans="6:6" x14ac:dyDescent="0.3">
      <c r="F89" s="44"/>
    </row>
    <row r="90" spans="6:6" x14ac:dyDescent="0.3">
      <c r="F90" s="44"/>
    </row>
  </sheetData>
  <mergeCells count="1">
    <mergeCell ref="A1:AB1"/>
  </mergeCells>
  <pageMargins left="0" right="0" top="0" bottom="0" header="0.31496062992125984" footer="0.31496062992125984"/>
  <pageSetup paperSize="9" scale="45"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L38"/>
  <sheetViews>
    <sheetView tabSelected="1" view="pageBreakPreview" zoomScale="30" zoomScaleNormal="30" zoomScaleSheetLayoutView="30" workbookViewId="0">
      <selection activeCell="I23" sqref="I23"/>
    </sheetView>
  </sheetViews>
  <sheetFormatPr defaultColWidth="9.140625" defaultRowHeight="88.5" customHeight="1" x14ac:dyDescent="0.45"/>
  <cols>
    <col min="1" max="1" width="18" style="102" customWidth="1"/>
    <col min="2" max="2" width="162.42578125" style="51" customWidth="1"/>
    <col min="3" max="3" width="75.42578125" style="51" customWidth="1"/>
    <col min="4" max="4" width="50.140625" style="51" customWidth="1"/>
    <col min="5" max="5" width="48.42578125" style="51" customWidth="1"/>
    <col min="6" max="6" width="49.42578125" style="51" customWidth="1"/>
    <col min="7" max="7" width="41.5703125" style="51" customWidth="1"/>
    <col min="8" max="8" width="38.42578125" style="51" customWidth="1"/>
    <col min="9" max="9" width="123.140625" style="51" customWidth="1"/>
    <col min="10" max="10" width="124.28515625" style="51" customWidth="1"/>
    <col min="11" max="11" width="92.28515625" style="51" customWidth="1"/>
    <col min="12" max="13" width="9.140625" style="51"/>
    <col min="14" max="14" width="12.5703125" style="51" bestFit="1" customWidth="1"/>
    <col min="15" max="16384" width="9.140625" style="51"/>
  </cols>
  <sheetData>
    <row r="1" spans="1:11" ht="88.5" customHeight="1" x14ac:dyDescent="1.35">
      <c r="A1" s="48" t="s">
        <v>66</v>
      </c>
      <c r="B1" s="49"/>
      <c r="C1" s="49"/>
      <c r="D1" s="49"/>
      <c r="E1" s="49"/>
      <c r="F1" s="49"/>
      <c r="G1" s="49"/>
      <c r="H1" s="49"/>
      <c r="I1" s="49"/>
      <c r="J1" s="49"/>
      <c r="K1" s="50"/>
    </row>
    <row r="2" spans="1:11" ht="88.5" customHeight="1" x14ac:dyDescent="0.9">
      <c r="A2" s="52" t="s">
        <v>67</v>
      </c>
      <c r="B2" s="53"/>
      <c r="C2" s="53"/>
      <c r="D2" s="53"/>
      <c r="E2" s="53"/>
      <c r="F2" s="53"/>
      <c r="G2" s="53"/>
      <c r="H2" s="53"/>
      <c r="I2" s="53"/>
      <c r="J2" s="53"/>
      <c r="K2" s="54"/>
    </row>
    <row r="3" spans="1:11" ht="178.5" customHeight="1" x14ac:dyDescent="0.45">
      <c r="A3" s="55" t="s">
        <v>68</v>
      </c>
      <c r="B3" s="56"/>
      <c r="C3" s="56"/>
      <c r="D3" s="56"/>
      <c r="E3" s="56"/>
      <c r="F3" s="56"/>
      <c r="G3" s="56"/>
      <c r="H3" s="56"/>
      <c r="I3" s="56"/>
      <c r="J3" s="56"/>
      <c r="K3" s="57"/>
    </row>
    <row r="4" spans="1:11" s="60" customFormat="1" ht="105" customHeight="1" x14ac:dyDescent="0.45">
      <c r="A4" s="58" t="s">
        <v>69</v>
      </c>
      <c r="B4" s="59" t="s">
        <v>70</v>
      </c>
      <c r="C4" s="59" t="s">
        <v>71</v>
      </c>
      <c r="D4" s="59" t="s">
        <v>72</v>
      </c>
      <c r="E4" s="59"/>
      <c r="F4" s="59" t="s">
        <v>73</v>
      </c>
      <c r="G4" s="59"/>
      <c r="H4" s="59" t="s">
        <v>74</v>
      </c>
      <c r="I4" s="59" t="s">
        <v>75</v>
      </c>
      <c r="J4" s="59" t="s">
        <v>76</v>
      </c>
      <c r="K4" s="59" t="s">
        <v>28</v>
      </c>
    </row>
    <row r="5" spans="1:11" ht="64.5" customHeight="1" x14ac:dyDescent="0.45">
      <c r="A5" s="61"/>
      <c r="B5" s="59"/>
      <c r="C5" s="59"/>
      <c r="D5" s="62" t="s">
        <v>77</v>
      </c>
      <c r="E5" s="62" t="s">
        <v>78</v>
      </c>
      <c r="F5" s="62" t="s">
        <v>77</v>
      </c>
      <c r="G5" s="62" t="s">
        <v>78</v>
      </c>
      <c r="H5" s="59"/>
      <c r="I5" s="59"/>
      <c r="J5" s="59"/>
      <c r="K5" s="59"/>
    </row>
    <row r="6" spans="1:11" ht="315" customHeight="1" x14ac:dyDescent="0.45">
      <c r="A6" s="63">
        <v>1</v>
      </c>
      <c r="B6" s="64" t="s">
        <v>79</v>
      </c>
      <c r="C6" s="64" t="s">
        <v>80</v>
      </c>
      <c r="D6" s="65" t="s">
        <v>81</v>
      </c>
      <c r="E6" s="66">
        <v>0.31736111111111115</v>
      </c>
      <c r="F6" s="66" t="s">
        <v>81</v>
      </c>
      <c r="G6" s="66">
        <v>0.3298611111111111</v>
      </c>
      <c r="H6" s="67">
        <f>G6-E6</f>
        <v>1.2499999999999956E-2</v>
      </c>
      <c r="I6" s="64" t="s">
        <v>82</v>
      </c>
      <c r="J6" s="64" t="s">
        <v>83</v>
      </c>
      <c r="K6" s="68"/>
    </row>
    <row r="7" spans="1:11" ht="184.5" customHeight="1" x14ac:dyDescent="0.45">
      <c r="A7" s="63">
        <v>2</v>
      </c>
      <c r="B7" s="69" t="s">
        <v>84</v>
      </c>
      <c r="C7" s="69" t="s">
        <v>80</v>
      </c>
      <c r="D7" s="65" t="s">
        <v>81</v>
      </c>
      <c r="E7" s="70">
        <v>0.47361111111111115</v>
      </c>
      <c r="F7" s="65" t="s">
        <v>81</v>
      </c>
      <c r="G7" s="70">
        <v>0.4826388888888889</v>
      </c>
      <c r="H7" s="67">
        <f t="shared" ref="H7:H20" si="0">G7-E7</f>
        <v>9.0277777777777457E-3</v>
      </c>
      <c r="I7" s="69" t="s">
        <v>85</v>
      </c>
      <c r="J7" s="69" t="s">
        <v>86</v>
      </c>
      <c r="K7" s="64"/>
    </row>
    <row r="8" spans="1:11" ht="184.5" customHeight="1" x14ac:dyDescent="0.45">
      <c r="A8" s="63">
        <v>3</v>
      </c>
      <c r="B8" s="64" t="s">
        <v>87</v>
      </c>
      <c r="C8" s="69" t="s">
        <v>80</v>
      </c>
      <c r="D8" s="65" t="s">
        <v>81</v>
      </c>
      <c r="E8" s="66">
        <v>0.5395833333333333</v>
      </c>
      <c r="F8" s="65" t="s">
        <v>81</v>
      </c>
      <c r="G8" s="66">
        <v>0.56597222222222221</v>
      </c>
      <c r="H8" s="67">
        <f t="shared" si="0"/>
        <v>2.6388888888888906E-2</v>
      </c>
      <c r="I8" s="69" t="s">
        <v>88</v>
      </c>
      <c r="J8" s="64" t="s">
        <v>89</v>
      </c>
      <c r="K8" s="64"/>
    </row>
    <row r="9" spans="1:11" ht="184.5" customHeight="1" x14ac:dyDescent="0.45">
      <c r="A9" s="63">
        <v>4</v>
      </c>
      <c r="B9" s="64" t="s">
        <v>90</v>
      </c>
      <c r="C9" s="71" t="s">
        <v>91</v>
      </c>
      <c r="D9" s="65" t="s">
        <v>81</v>
      </c>
      <c r="E9" s="66">
        <v>0.64166666666666672</v>
      </c>
      <c r="F9" s="65" t="s">
        <v>81</v>
      </c>
      <c r="G9" s="66">
        <v>0.88124999999999998</v>
      </c>
      <c r="H9" s="67">
        <f t="shared" si="0"/>
        <v>0.23958333333333326</v>
      </c>
      <c r="I9" s="72" t="s">
        <v>92</v>
      </c>
      <c r="J9" s="73" t="s">
        <v>93</v>
      </c>
      <c r="K9" s="74" t="s">
        <v>94</v>
      </c>
    </row>
    <row r="10" spans="1:11" ht="184.5" customHeight="1" x14ac:dyDescent="0.45">
      <c r="A10" s="63">
        <v>5</v>
      </c>
      <c r="B10" s="64" t="s">
        <v>95</v>
      </c>
      <c r="C10" s="75"/>
      <c r="D10" s="65" t="s">
        <v>81</v>
      </c>
      <c r="E10" s="66">
        <v>0.64166666666666672</v>
      </c>
      <c r="F10" s="65" t="s">
        <v>81</v>
      </c>
      <c r="G10" s="66">
        <v>0.88263888888888886</v>
      </c>
      <c r="H10" s="67">
        <f t="shared" si="0"/>
        <v>0.24097222222222214</v>
      </c>
      <c r="I10" s="64" t="s">
        <v>96</v>
      </c>
      <c r="J10" s="64" t="s">
        <v>97</v>
      </c>
      <c r="K10" s="76"/>
    </row>
    <row r="11" spans="1:11" ht="226.5" customHeight="1" x14ac:dyDescent="0.45">
      <c r="A11" s="63">
        <v>6</v>
      </c>
      <c r="B11" s="64" t="s">
        <v>98</v>
      </c>
      <c r="C11" s="69" t="s">
        <v>80</v>
      </c>
      <c r="D11" s="65" t="s">
        <v>81</v>
      </c>
      <c r="E11" s="66">
        <v>0.66111111111111109</v>
      </c>
      <c r="F11" s="65" t="s">
        <v>81</v>
      </c>
      <c r="G11" s="66">
        <v>0.67152777777777783</v>
      </c>
      <c r="H11" s="67">
        <f t="shared" si="0"/>
        <v>1.0416666666666741E-2</v>
      </c>
      <c r="I11" s="64" t="s">
        <v>99</v>
      </c>
      <c r="J11" s="64" t="s">
        <v>100</v>
      </c>
      <c r="K11" s="68"/>
    </row>
    <row r="12" spans="1:11" ht="246" x14ac:dyDescent="0.45">
      <c r="A12" s="63">
        <v>7</v>
      </c>
      <c r="B12" s="64" t="s">
        <v>101</v>
      </c>
      <c r="C12" s="69" t="s">
        <v>80</v>
      </c>
      <c r="D12" s="65" t="s">
        <v>81</v>
      </c>
      <c r="E12" s="66">
        <v>0.62222222222222223</v>
      </c>
      <c r="F12" s="65" t="s">
        <v>81</v>
      </c>
      <c r="G12" s="66">
        <v>0.75486111111111109</v>
      </c>
      <c r="H12" s="67">
        <f t="shared" si="0"/>
        <v>0.13263888888888886</v>
      </c>
      <c r="I12" s="77" t="s">
        <v>102</v>
      </c>
      <c r="J12" s="77" t="s">
        <v>103</v>
      </c>
      <c r="K12" s="78" t="s">
        <v>104</v>
      </c>
    </row>
    <row r="13" spans="1:11" ht="144.75" customHeight="1" x14ac:dyDescent="0.45">
      <c r="A13" s="63">
        <v>8</v>
      </c>
      <c r="B13" s="64" t="s">
        <v>105</v>
      </c>
      <c r="C13" s="69" t="s">
        <v>80</v>
      </c>
      <c r="D13" s="65" t="s">
        <v>81</v>
      </c>
      <c r="E13" s="66">
        <v>0.67708333333333337</v>
      </c>
      <c r="F13" s="65" t="s">
        <v>81</v>
      </c>
      <c r="G13" s="66">
        <v>0.68472222222222223</v>
      </c>
      <c r="H13" s="67">
        <f t="shared" si="0"/>
        <v>7.6388888888888618E-3</v>
      </c>
      <c r="I13" s="77" t="s">
        <v>106</v>
      </c>
      <c r="J13" s="77" t="s">
        <v>107</v>
      </c>
      <c r="K13" s="79"/>
    </row>
    <row r="14" spans="1:11" ht="214.5" customHeight="1" x14ac:dyDescent="0.45">
      <c r="A14" s="63">
        <v>9</v>
      </c>
      <c r="B14" s="64" t="s">
        <v>108</v>
      </c>
      <c r="C14" s="69" t="s">
        <v>80</v>
      </c>
      <c r="D14" s="65" t="s">
        <v>81</v>
      </c>
      <c r="E14" s="66">
        <v>0.69791666666666663</v>
      </c>
      <c r="F14" s="65" t="s">
        <v>81</v>
      </c>
      <c r="G14" s="66">
        <v>0.91875000000000007</v>
      </c>
      <c r="H14" s="67">
        <f t="shared" si="0"/>
        <v>0.22083333333333344</v>
      </c>
      <c r="I14" s="80" t="s">
        <v>109</v>
      </c>
      <c r="J14" s="81"/>
      <c r="K14" s="82"/>
    </row>
    <row r="15" spans="1:11" ht="184.5" customHeight="1" x14ac:dyDescent="0.45">
      <c r="A15" s="63">
        <v>10</v>
      </c>
      <c r="B15" s="64" t="s">
        <v>110</v>
      </c>
      <c r="C15" s="69" t="s">
        <v>80</v>
      </c>
      <c r="D15" s="65" t="s">
        <v>81</v>
      </c>
      <c r="E15" s="66">
        <v>0.69791666666666663</v>
      </c>
      <c r="F15" s="65" t="s">
        <v>81</v>
      </c>
      <c r="G15" s="66">
        <v>0.75763888888888886</v>
      </c>
      <c r="H15" s="67">
        <f t="shared" si="0"/>
        <v>5.9722222222222232E-2</v>
      </c>
      <c r="I15" s="80" t="s">
        <v>109</v>
      </c>
      <c r="J15" s="81"/>
      <c r="K15" s="82"/>
    </row>
    <row r="16" spans="1:11" ht="117" customHeight="1" x14ac:dyDescent="0.45">
      <c r="A16" s="63">
        <v>11</v>
      </c>
      <c r="B16" s="64" t="s">
        <v>111</v>
      </c>
      <c r="C16" s="69" t="s">
        <v>80</v>
      </c>
      <c r="D16" s="65" t="s">
        <v>81</v>
      </c>
      <c r="E16" s="66">
        <v>0.69791666666666663</v>
      </c>
      <c r="F16" s="65" t="s">
        <v>81</v>
      </c>
      <c r="G16" s="66">
        <v>0.80694444444444446</v>
      </c>
      <c r="H16" s="67">
        <f t="shared" si="0"/>
        <v>0.10902777777777783</v>
      </c>
      <c r="I16" s="80" t="s">
        <v>109</v>
      </c>
      <c r="J16" s="81"/>
      <c r="K16" s="68"/>
    </row>
    <row r="17" spans="1:12" ht="121.5" customHeight="1" x14ac:dyDescent="0.45">
      <c r="A17" s="63">
        <v>12</v>
      </c>
      <c r="B17" s="64" t="s">
        <v>112</v>
      </c>
      <c r="C17" s="69" t="s">
        <v>80</v>
      </c>
      <c r="D17" s="65" t="s">
        <v>81</v>
      </c>
      <c r="E17" s="66">
        <v>0.69791666666666663</v>
      </c>
      <c r="F17" s="65" t="s">
        <v>81</v>
      </c>
      <c r="G17" s="66">
        <v>0.83472222222222225</v>
      </c>
      <c r="H17" s="67">
        <f t="shared" si="0"/>
        <v>0.13680555555555562</v>
      </c>
      <c r="I17" s="80" t="s">
        <v>109</v>
      </c>
      <c r="J17" s="81"/>
      <c r="K17" s="82"/>
    </row>
    <row r="18" spans="1:12" ht="159" customHeight="1" x14ac:dyDescent="0.45">
      <c r="A18" s="63">
        <v>13</v>
      </c>
      <c r="B18" s="64" t="s">
        <v>113</v>
      </c>
      <c r="C18" s="69" t="s">
        <v>80</v>
      </c>
      <c r="D18" s="65" t="s">
        <v>81</v>
      </c>
      <c r="E18" s="66">
        <v>0.69791666666666663</v>
      </c>
      <c r="F18" s="65" t="s">
        <v>81</v>
      </c>
      <c r="G18" s="66">
        <v>0.8534722222222223</v>
      </c>
      <c r="H18" s="67">
        <f t="shared" si="0"/>
        <v>0.15555555555555567</v>
      </c>
      <c r="I18" s="80" t="s">
        <v>109</v>
      </c>
      <c r="J18" s="81"/>
      <c r="K18" s="64"/>
    </row>
    <row r="19" spans="1:12" ht="198.75" customHeight="1" x14ac:dyDescent="0.45">
      <c r="A19" s="63">
        <v>14</v>
      </c>
      <c r="B19" s="64" t="s">
        <v>114</v>
      </c>
      <c r="C19" s="69" t="s">
        <v>80</v>
      </c>
      <c r="D19" s="65" t="s">
        <v>81</v>
      </c>
      <c r="E19" s="66">
        <v>0.6958333333333333</v>
      </c>
      <c r="F19" s="65" t="s">
        <v>81</v>
      </c>
      <c r="G19" s="83">
        <v>0.79027777777777775</v>
      </c>
      <c r="H19" s="67">
        <f t="shared" si="0"/>
        <v>9.4444444444444442E-2</v>
      </c>
      <c r="I19" s="77" t="s">
        <v>115</v>
      </c>
      <c r="J19" s="77" t="s">
        <v>116</v>
      </c>
      <c r="K19" s="64"/>
    </row>
    <row r="20" spans="1:12" ht="206.25" customHeight="1" x14ac:dyDescent="0.45">
      <c r="A20" s="84">
        <v>15</v>
      </c>
      <c r="B20" s="64" t="s">
        <v>117</v>
      </c>
      <c r="C20" s="69" t="s">
        <v>80</v>
      </c>
      <c r="D20" s="65" t="s">
        <v>81</v>
      </c>
      <c r="E20" s="66">
        <v>0.69027777777777777</v>
      </c>
      <c r="F20" s="65" t="s">
        <v>81</v>
      </c>
      <c r="G20" s="83">
        <v>0.71388888888888891</v>
      </c>
      <c r="H20" s="67">
        <f t="shared" si="0"/>
        <v>2.3611111111111138E-2</v>
      </c>
      <c r="I20" s="77" t="s">
        <v>118</v>
      </c>
      <c r="J20" s="77" t="s">
        <v>119</v>
      </c>
    </row>
    <row r="21" spans="1:12" ht="373.5" customHeight="1" x14ac:dyDescent="0.45">
      <c r="A21" s="84">
        <v>16</v>
      </c>
      <c r="B21" s="64" t="s">
        <v>120</v>
      </c>
      <c r="C21" s="69" t="s">
        <v>80</v>
      </c>
      <c r="D21" s="65" t="s">
        <v>81</v>
      </c>
      <c r="E21" s="66">
        <v>0.71458333333333324</v>
      </c>
      <c r="F21" s="65" t="s">
        <v>81</v>
      </c>
      <c r="G21" s="83"/>
      <c r="H21" s="67"/>
      <c r="I21" s="64" t="s">
        <v>121</v>
      </c>
      <c r="J21" s="64" t="s">
        <v>122</v>
      </c>
      <c r="K21" s="64" t="s">
        <v>123</v>
      </c>
    </row>
    <row r="22" spans="1:12" ht="148.5" customHeight="1" x14ac:dyDescent="0.45">
      <c r="A22" s="84">
        <v>17</v>
      </c>
      <c r="B22" s="64" t="s">
        <v>124</v>
      </c>
      <c r="C22" s="85" t="s">
        <v>125</v>
      </c>
      <c r="D22" s="65" t="s">
        <v>81</v>
      </c>
      <c r="E22" s="66">
        <v>0.77013888888888893</v>
      </c>
      <c r="F22" s="65" t="s">
        <v>81</v>
      </c>
      <c r="G22" s="83">
        <v>0.82916666666666661</v>
      </c>
      <c r="H22" s="67">
        <f>G22-E22</f>
        <v>5.9027777777777679E-2</v>
      </c>
      <c r="I22" s="64" t="s">
        <v>126</v>
      </c>
      <c r="J22" s="64" t="s">
        <v>127</v>
      </c>
    </row>
    <row r="23" spans="1:12" ht="211.5" customHeight="1" x14ac:dyDescent="0.45">
      <c r="A23" s="86">
        <v>18</v>
      </c>
      <c r="B23" s="87" t="s">
        <v>128</v>
      </c>
      <c r="C23" s="88"/>
      <c r="D23" s="65" t="s">
        <v>81</v>
      </c>
      <c r="E23" s="89">
        <v>0.77013888888888893</v>
      </c>
      <c r="F23" s="65" t="s">
        <v>81</v>
      </c>
      <c r="G23" s="90">
        <v>0.78888888888888886</v>
      </c>
      <c r="H23" s="91">
        <f>G23-E23</f>
        <v>1.8749999999999933E-2</v>
      </c>
      <c r="I23" s="87" t="s">
        <v>129</v>
      </c>
      <c r="J23" s="87" t="s">
        <v>130</v>
      </c>
    </row>
    <row r="24" spans="1:12" ht="93.75" customHeight="1" x14ac:dyDescent="0.45">
      <c r="A24" s="92"/>
      <c r="B24" s="93"/>
      <c r="C24" s="93"/>
      <c r="D24" s="94"/>
      <c r="E24" s="95"/>
      <c r="F24" s="94"/>
      <c r="G24" s="95"/>
      <c r="H24" s="95"/>
      <c r="I24" s="93"/>
      <c r="J24" s="93"/>
      <c r="K24" s="93"/>
    </row>
    <row r="25" spans="1:12" ht="204.75" customHeight="1" x14ac:dyDescent="0.45">
      <c r="A25" s="92"/>
      <c r="B25" s="93"/>
      <c r="C25" s="93"/>
      <c r="D25" s="94"/>
      <c r="E25" s="95"/>
      <c r="F25" s="94"/>
      <c r="G25" s="95"/>
      <c r="H25" s="95"/>
      <c r="I25" s="93"/>
      <c r="J25" s="93"/>
      <c r="K25" s="93"/>
    </row>
    <row r="26" spans="1:12" ht="217.5" customHeight="1" x14ac:dyDescent="0.45">
      <c r="A26" s="92"/>
      <c r="B26" s="93"/>
      <c r="C26" s="93"/>
      <c r="D26" s="94"/>
      <c r="E26" s="95"/>
      <c r="F26" s="94"/>
      <c r="G26" s="95"/>
      <c r="H26" s="95"/>
      <c r="I26" s="93"/>
      <c r="J26" s="93"/>
      <c r="K26" s="93"/>
    </row>
    <row r="27" spans="1:12" ht="163.5" customHeight="1" x14ac:dyDescent="0.45">
      <c r="A27" s="92"/>
      <c r="B27" s="93"/>
      <c r="C27" s="93"/>
      <c r="D27" s="93"/>
      <c r="E27" s="95"/>
      <c r="F27" s="93"/>
      <c r="G27" s="95"/>
      <c r="H27" s="95"/>
      <c r="I27" s="93"/>
      <c r="J27" s="93"/>
      <c r="K27" s="64" t="s">
        <v>131</v>
      </c>
    </row>
    <row r="28" spans="1:12" ht="241.5" customHeight="1" x14ac:dyDescent="0.45">
      <c r="A28" s="96"/>
      <c r="B28" s="97"/>
      <c r="C28" s="97"/>
      <c r="D28" s="97"/>
      <c r="E28" s="98"/>
      <c r="F28" s="97"/>
      <c r="G28" s="98"/>
      <c r="H28" s="98"/>
      <c r="I28" s="97"/>
      <c r="J28" s="97"/>
      <c r="K28" s="97"/>
      <c r="L28" s="99"/>
    </row>
    <row r="29" spans="1:12" s="100" customFormat="1" ht="225.75" customHeight="1" x14ac:dyDescent="0.45">
      <c r="A29" s="96"/>
      <c r="B29" s="97"/>
      <c r="C29" s="97"/>
      <c r="D29" s="97"/>
      <c r="E29" s="98"/>
      <c r="F29" s="97"/>
      <c r="G29" s="98"/>
      <c r="H29" s="98"/>
      <c r="I29" s="97"/>
      <c r="J29" s="97"/>
      <c r="K29" s="51"/>
      <c r="L29" s="99"/>
    </row>
    <row r="30" spans="1:12" s="100" customFormat="1" ht="243.75" customHeight="1" x14ac:dyDescent="0.45">
      <c r="A30" s="96"/>
      <c r="B30" s="101"/>
      <c r="C30" s="97"/>
      <c r="D30" s="97"/>
      <c r="E30" s="98"/>
      <c r="F30" s="97"/>
      <c r="G30" s="98"/>
      <c r="H30" s="98"/>
      <c r="I30" s="97"/>
      <c r="J30" s="97"/>
      <c r="K30" s="51"/>
      <c r="L30" s="99"/>
    </row>
    <row r="31" spans="1:12" s="100" customFormat="1" ht="201" customHeight="1" x14ac:dyDescent="0.45">
      <c r="A31" s="96"/>
      <c r="B31" s="97"/>
      <c r="C31" s="97"/>
      <c r="D31" s="97"/>
      <c r="E31" s="98"/>
      <c r="F31" s="97"/>
      <c r="G31" s="98"/>
      <c r="H31" s="98"/>
      <c r="I31" s="97"/>
      <c r="J31" s="97"/>
      <c r="K31" s="51"/>
      <c r="L31" s="99"/>
    </row>
    <row r="32" spans="1:12" s="100" customFormat="1" ht="178.5" customHeight="1" x14ac:dyDescent="0.45">
      <c r="A32" s="96"/>
      <c r="B32" s="97"/>
      <c r="C32" s="97"/>
      <c r="D32" s="97"/>
      <c r="E32" s="98"/>
      <c r="F32" s="97"/>
      <c r="G32" s="98"/>
      <c r="H32" s="98"/>
      <c r="I32" s="97"/>
      <c r="J32" s="97"/>
      <c r="K32" s="51"/>
      <c r="L32" s="99"/>
    </row>
    <row r="33" spans="1:12" s="100" customFormat="1" ht="255.75" customHeight="1" x14ac:dyDescent="0.45">
      <c r="A33" s="102"/>
      <c r="B33" s="51"/>
      <c r="C33" s="51"/>
      <c r="D33" s="51"/>
      <c r="E33" s="51"/>
      <c r="F33" s="51"/>
      <c r="G33" s="51"/>
      <c r="H33" s="51"/>
      <c r="I33" s="51"/>
      <c r="J33" s="51"/>
      <c r="K33" s="51"/>
      <c r="L33" s="51"/>
    </row>
    <row r="34" spans="1:12" ht="165.75" customHeight="1" x14ac:dyDescent="0.45"/>
    <row r="35" spans="1:12" ht="206.25" customHeight="1" x14ac:dyDescent="0.45"/>
    <row r="36" spans="1:12" ht="174" customHeight="1" x14ac:dyDescent="0.45"/>
    <row r="37" spans="1:12" ht="233.25" customHeight="1" x14ac:dyDescent="0.45"/>
    <row r="38" spans="1:12" ht="198.75" customHeight="1" x14ac:dyDescent="0.45"/>
  </sheetData>
  <mergeCells count="20">
    <mergeCell ref="I16:J16"/>
    <mergeCell ref="I17:J17"/>
    <mergeCell ref="I18:J18"/>
    <mergeCell ref="C22:C23"/>
    <mergeCell ref="J4:J5"/>
    <mergeCell ref="K4:K5"/>
    <mergeCell ref="C9:C10"/>
    <mergeCell ref="K9:K10"/>
    <mergeCell ref="I14:J14"/>
    <mergeCell ref="I15:J15"/>
    <mergeCell ref="A1:K1"/>
    <mergeCell ref="A2:K2"/>
    <mergeCell ref="A3:K3"/>
    <mergeCell ref="A4:A5"/>
    <mergeCell ref="B4:B5"/>
    <mergeCell ref="C4:C5"/>
    <mergeCell ref="D4:E4"/>
    <mergeCell ref="F4:G4"/>
    <mergeCell ref="H4:H5"/>
    <mergeCell ref="I4:I5"/>
  </mergeCells>
  <pageMargins left="0" right="0" top="0" bottom="0" header="0.31496062992125984" footer="0.31496062992125984"/>
  <pageSetup paperSize="9" scale="17" fitToHeight="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3</vt:i4>
      </vt:variant>
    </vt:vector>
  </HeadingPairs>
  <TitlesOfParts>
    <vt:vector size="5" baseType="lpstr">
      <vt:lpstr>POWER SURRENDER  </vt:lpstr>
      <vt:lpstr>TRIPPING REPORT</vt:lpstr>
      <vt:lpstr>'POWER SURRENDER  '!Print_Area</vt:lpstr>
      <vt:lpstr>'TRIPPING REPORT'!Print_Area</vt:lpstr>
      <vt:lpstr>'TRIPPING REPORT'!Print_Titles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2026-05-03T00:22:54Z</dcterms:created>
  <dcterms:modified xsi:type="dcterms:W3CDTF">2026-05-03T15:16:30Z</dcterms:modified>
</cp:coreProperties>
</file>
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Sheet0!$A$1:$M$17</definedName>
  </definedNames>
  <calcPr calcId="162913"/>
</workbook>
</file>

<file path=xl/calcChain.xml><?xml version="1.0" encoding="utf-8"?>
<calcChain xmlns="http://schemas.openxmlformats.org/spreadsheetml/2006/main">
  <c r="A18" i="1" l="1"/>
  <c r="A7" i="1" l="1"/>
  <c r="A8" i="1"/>
  <c r="A9" i="1" s="1"/>
  <c r="A10" i="1" s="1"/>
  <c r="A11" i="1" s="1"/>
  <c r="A12" i="1" s="1"/>
  <c r="A13" i="1" s="1"/>
  <c r="A14" i="1" s="1"/>
  <c r="A15" i="1" s="1"/>
  <c r="A16" i="1" s="1"/>
  <c r="A17" i="1" s="1"/>
  <c r="A6" i="1"/>
</calcChain>
</file>

<file path=xl/sharedStrings.xml><?xml version="1.0" encoding="utf-8"?>
<sst xmlns="http://schemas.openxmlformats.org/spreadsheetml/2006/main" count="164" uniqueCount="121">
  <si>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</si>
  <si>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</si>
  <si>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</si>
  <si>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</si>
  <si>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</si>
  <si>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</si>
  <si>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</si>
  <si>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</si>
  <si>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</si>
  <si>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</si>
  <si>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</si>
  <si>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</si>
  <si>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</si>
  <si>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</si>
  <si>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</si>
  <si>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</si>
  <si>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</si>
  <si>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MR2512/0567</t>
  </si>
  <si>
    <t>Continuous</t>
  </si>
  <si>
    <t>220KV_220 kV Bus 2</t>
  </si>
  <si>
    <t>220KV_BHOPAL</t>
  </si>
  <si>
    <t>NON-OCCM-MP</t>
  </si>
  <si>
    <t>Bus extension work &amp; shifting of PTs</t>
  </si>
  <si>
    <t>31-12-2025 08:00:00</t>
  </si>
  <si>
    <t>01-01-2026 17:00:00</t>
  </si>
  <si>
    <t>A K Jain</t>
  </si>
  <si>
    <t>9425806899</t>
  </si>
  <si>
    <t>MR2512/0592</t>
  </si>
  <si>
    <t>220KV_220kV Bhopal Vidisha ckt</t>
  </si>
  <si>
    <t>400KV_BHOPAL4</t>
  </si>
  <si>
    <t>For modification/shifting work.</t>
  </si>
  <si>
    <t>01-01-2026 09:00:00</t>
  </si>
  <si>
    <t>02-01-2026 18:00:00</t>
  </si>
  <si>
    <t>Rajkumar Bhusare</t>
  </si>
  <si>
    <t>9425820042</t>
  </si>
  <si>
    <t>Daily</t>
  </si>
  <si>
    <t>132KV_132 KV NORTHZONE (INDORE) - CHAMBAL CKT-1</t>
  </si>
  <si>
    <t>8305612190</t>
  </si>
  <si>
    <t>RAVINDRA PATIL</t>
  </si>
  <si>
    <t>CONDUCTOR REPLACEMENT AND OTHER MAINTANANCE WORK.</t>
  </si>
  <si>
    <t>MR2512/0471</t>
  </si>
  <si>
    <t>220KV_INDORE-NZ</t>
  </si>
  <si>
    <t>24-12-2025 07:00:00</t>
  </si>
  <si>
    <t>02-01-2026 19:00:00</t>
  </si>
  <si>
    <t>MR2512/0473</t>
  </si>
  <si>
    <t>132KV_132 KV NORTHZONE (INDORE) - CHAMBAL CKT-2  LINE</t>
  </si>
  <si>
    <t>400KV_400KV KATNI - DAMOH LINE</t>
  </si>
  <si>
    <t>400KV_KATNI4</t>
  </si>
  <si>
    <t>OCCM-MP</t>
  </si>
  <si>
    <t>TOWER STRENGTHENING WORK</t>
  </si>
  <si>
    <t>M.M. BAIG</t>
  </si>
  <si>
    <t>9425805067</t>
  </si>
  <si>
    <t>220KV_220KV KATNI - DAMOH LINE</t>
  </si>
  <si>
    <t>MR2510/0729</t>
  </si>
  <si>
    <t>29-12-2025 09:00:00</t>
  </si>
  <si>
    <t>03-01-2026 18:00:00</t>
  </si>
  <si>
    <t>MR2510/0738</t>
  </si>
  <si>
    <t>M.M.BAIG</t>
  </si>
  <si>
    <t>MR2512/0591</t>
  </si>
  <si>
    <t>400KV_400kV TBC</t>
  </si>
  <si>
    <t>400KV_PITHAMPUR4</t>
  </si>
  <si>
    <t>CB DCRM Testing</t>
  </si>
  <si>
    <t>01-01-2026 10:00:00</t>
  </si>
  <si>
    <t>Raju das bairagi</t>
  </si>
  <si>
    <t>9425801532</t>
  </si>
  <si>
    <t>MR2512/0531</t>
  </si>
  <si>
    <t>400KV_400KV Pithampur-SSTPS Ckt-IV</t>
  </si>
  <si>
    <t>Post monsoon maintenance work</t>
  </si>
  <si>
    <t>01-01-2026 18:00:00</t>
  </si>
  <si>
    <t>Rajudas bairagi</t>
  </si>
  <si>
    <t>MR2512/0507</t>
  </si>
  <si>
    <t>400KV_Sarni Indirasagar</t>
  </si>
  <si>
    <t>400KV_SATPURA TPS</t>
  </si>
  <si>
    <t>OPGW STRINGING WORK</t>
  </si>
  <si>
    <t>26-12-2025 07:00:00</t>
  </si>
  <si>
    <t>10-01-2026 19:00:00</t>
  </si>
  <si>
    <t>SHIV KUMAR</t>
  </si>
  <si>
    <t>9425806917</t>
  </si>
  <si>
    <t>MR2512/0580</t>
  </si>
  <si>
    <t>220KV_Bay no 3 construction transformer</t>
  </si>
  <si>
    <t>400KV_SGTPS</t>
  </si>
  <si>
    <t>Servicing of 220/33 kv transformer</t>
  </si>
  <si>
    <t>01-01-2026 08:00:00</t>
  </si>
  <si>
    <t>S Banerjee</t>
  </si>
  <si>
    <t>9424352880</t>
  </si>
  <si>
    <t>MR2512/0234</t>
  </si>
  <si>
    <t>220KV_220 KV SHUJALPUR-BHOPAL-I CKT</t>
  </si>
  <si>
    <t>220KV_SHUJALPUR</t>
  </si>
  <si>
    <t>220 KV BHOPAL BAY SHIFTING FOR NEW ADD. 200 MVA</t>
  </si>
  <si>
    <t>13-12-2025 09:00:00</t>
  </si>
  <si>
    <t>12-01-2026 18:00:00</t>
  </si>
  <si>
    <t>Er VIJAY OJHA</t>
  </si>
  <si>
    <t>9755836908</t>
  </si>
  <si>
    <t>MR2512/0584</t>
  </si>
  <si>
    <t>400KV_SINGHAJI-TPS-II-PITHAMPUR4_Ckt_3</t>
  </si>
  <si>
    <t>400KV_SINGHAJI-TPS-II</t>
  </si>
  <si>
    <t>LINE ISOLATOR TIGHTNESS WORK</t>
  </si>
  <si>
    <t>31-12-2025 10:00:00</t>
  </si>
  <si>
    <t>MR. DINESH VERMA</t>
  </si>
  <si>
    <t>9699349518</t>
  </si>
  <si>
    <t>MR2512/0585</t>
  </si>
  <si>
    <t>400KV_400kv bus coupler</t>
  </si>
  <si>
    <t>400KV_UJJAIN4</t>
  </si>
  <si>
    <t>bay healthiness test charging work</t>
  </si>
  <si>
    <t>01-01-2026 12:00:00</t>
  </si>
  <si>
    <t>01-01-2026 13:00:00</t>
  </si>
  <si>
    <t>Santosh Chavrasia</t>
  </si>
  <si>
    <t>9425804677</t>
  </si>
  <si>
    <t>Deferred due to s/d on Bhopal 220kv bus, shall be given after normalisation of bus s/d, Electrical Inspector approval required during the charging of ckt</t>
  </si>
  <si>
    <t>sub ld</t>
  </si>
  <si>
    <t>ok, through sub ld</t>
  </si>
  <si>
    <t>deferred due to high SSTPS generation and peak demand</t>
  </si>
  <si>
    <t>ok, line to be in service</t>
  </si>
  <si>
    <t>consent of affected load area is required</t>
  </si>
  <si>
    <t>220KV-KHANDWA-CHHANERA-1</t>
  </si>
  <si>
    <t>MP_SLDC</t>
  </si>
  <si>
    <t>FOR BAY MAINTENANCE &amp; TESTING WORK AT SUBSTASTION, REPLACEMENT OF DAMAGED CLAMPS/JUMPERS ETC.</t>
  </si>
  <si>
    <t>08:00</t>
  </si>
  <si>
    <t>18:00</t>
  </si>
  <si>
    <t>real time</t>
  </si>
  <si>
    <t>WR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</si>
</sst>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6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/>
    </xf>
    <xf numFmtId="164" fontId="4" fillId="3" borderId="5" xfId="0" applyNumberFormat="1" applyFont="1" applyFill="1" applyBorder="1" applyAlignment="1">
      <alignment horizontal="center" vertical="center"/>
    </xf>
    <xf numFmtId="165" fontId="4" fillId="3" borderId="5" xfId="0" applyNumberFormat="1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 wrapText="1"/>
    </xf>
    <xf numFmtId="0" fontId="0" fillId="3" borderId="5" xfId="0" applyFill="1" applyBorder="1"/>
    <xf numFmtId="0" fontId="5" fillId="3" borderId="5" xfId="0" applyFont="1" applyFill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8"/>
  <sheetViews>
    <sheetView tabSelected="1" workbookViewId="0">
      <pane xSplit="5" topLeftCell="F1" activePane="topRight" state="frozen"/>
      <selection activeCell="A4" sqref="A4"/>
      <selection pane="topRight" activeCell="G22" sqref="G22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64.7109375" customWidth="1"/>
    <col min="6" max="6" width="25.85546875" customWidth="1"/>
    <col min="7" max="7" width="15.7109375" customWidth="1"/>
    <col min="8" max="8" width="64.28515625" customWidth="1"/>
    <col min="9" max="9" width="19.5703125" customWidth="1"/>
    <col min="10" max="10" width="19.42578125" customWidth="1"/>
    <col min="11" max="11" width="17.42578125" customWidth="1"/>
    <col min="12" max="12" width="12" customWidth="1"/>
    <col min="13" max="13" width="56.28515625" style="12" customWidth="1"/>
  </cols>
  <sheetData>
    <row r="1" spans="1:13" ht="43.7" customHeight="1" x14ac:dyDescent="0.25">
      <c r="A1" s="1"/>
      <c r="B1" s="13" t="s">
        <v>0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5"/>
    </row>
    <row r="2" spans="1:13" ht="42" customHeight="1" x14ac:dyDescent="0.25">
      <c r="A2" s="1" t="s">
        <v>1</v>
      </c>
      <c r="B2" s="2">
        <v>46023</v>
      </c>
      <c r="C2" s="1"/>
      <c r="D2" s="1"/>
      <c r="E2" s="1"/>
      <c r="F2" s="1"/>
      <c r="G2" s="1"/>
      <c r="H2" s="1"/>
      <c r="I2" s="1"/>
      <c r="J2" s="1"/>
      <c r="K2" s="1"/>
      <c r="L2" s="1"/>
      <c r="M2" s="9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1"/>
      <c r="F3" s="1"/>
      <c r="G3" s="1"/>
      <c r="H3" s="1"/>
      <c r="I3" s="1"/>
      <c r="J3" s="1"/>
      <c r="K3" s="1"/>
      <c r="L3" s="1"/>
      <c r="M3" s="9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3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6" t="s">
        <v>15</v>
      </c>
      <c r="L4" s="15"/>
      <c r="M4" s="10" t="s">
        <v>16</v>
      </c>
    </row>
    <row r="5" spans="1:13" ht="30.75" customHeight="1" x14ac:dyDescent="0.25">
      <c r="A5" s="4">
        <v>1</v>
      </c>
      <c r="B5" s="5">
        <v>46021.520185185182</v>
      </c>
      <c r="C5" s="4" t="s">
        <v>17</v>
      </c>
      <c r="D5" s="4" t="s">
        <v>18</v>
      </c>
      <c r="E5" s="4" t="s">
        <v>19</v>
      </c>
      <c r="F5" s="4" t="s">
        <v>20</v>
      </c>
      <c r="G5" s="4" t="s">
        <v>21</v>
      </c>
      <c r="H5" s="4" t="s">
        <v>22</v>
      </c>
      <c r="I5" s="6" t="s">
        <v>23</v>
      </c>
      <c r="J5" s="6" t="s">
        <v>24</v>
      </c>
      <c r="K5" s="7" t="s">
        <v>25</v>
      </c>
      <c r="L5" s="8" t="s">
        <v>26</v>
      </c>
      <c r="M5" s="11" t="s">
        <v>18</v>
      </c>
    </row>
    <row r="6" spans="1:13" ht="60.75" customHeight="1" x14ac:dyDescent="0.25">
      <c r="A6" s="4">
        <f>A5+1</f>
        <v>2</v>
      </c>
      <c r="B6" s="5">
        <v>46022.685763888891</v>
      </c>
      <c r="C6" s="4" t="s">
        <v>27</v>
      </c>
      <c r="D6" s="4" t="s">
        <v>18</v>
      </c>
      <c r="E6" s="4" t="s">
        <v>28</v>
      </c>
      <c r="F6" s="4" t="s">
        <v>29</v>
      </c>
      <c r="G6" s="4" t="s">
        <v>21</v>
      </c>
      <c r="H6" s="4" t="s">
        <v>30</v>
      </c>
      <c r="I6" s="6" t="s">
        <v>31</v>
      </c>
      <c r="J6" s="6" t="s">
        <v>32</v>
      </c>
      <c r="K6" s="7" t="s">
        <v>33</v>
      </c>
      <c r="L6" s="8" t="s">
        <v>34</v>
      </c>
      <c r="M6" s="11" t="s">
        <v>108</v>
      </c>
    </row>
    <row r="7" spans="1:13" ht="30.75" customHeight="1" x14ac:dyDescent="0.25">
      <c r="A7" s="4">
        <f t="shared" ref="A7:A18" si="0">A6+1</f>
        <v>3</v>
      </c>
      <c r="B7" s="5">
        <v>46014.659282407411</v>
      </c>
      <c r="C7" s="4" t="s">
        <v>40</v>
      </c>
      <c r="D7" s="4" t="s">
        <v>35</v>
      </c>
      <c r="E7" s="4" t="s">
        <v>36</v>
      </c>
      <c r="F7" s="4" t="s">
        <v>41</v>
      </c>
      <c r="G7" s="4" t="s">
        <v>21</v>
      </c>
      <c r="H7" s="4" t="s">
        <v>39</v>
      </c>
      <c r="I7" s="6" t="s">
        <v>42</v>
      </c>
      <c r="J7" s="6" t="s">
        <v>43</v>
      </c>
      <c r="K7" s="7" t="s">
        <v>38</v>
      </c>
      <c r="L7" s="8" t="s">
        <v>37</v>
      </c>
      <c r="M7" s="11" t="s">
        <v>109</v>
      </c>
    </row>
    <row r="8" spans="1:13" ht="30.75" customHeight="1" x14ac:dyDescent="0.25">
      <c r="A8" s="4">
        <f t="shared" si="0"/>
        <v>4</v>
      </c>
      <c r="B8" s="5">
        <v>46014.661435185182</v>
      </c>
      <c r="C8" s="4" t="s">
        <v>44</v>
      </c>
      <c r="D8" s="4" t="s">
        <v>35</v>
      </c>
      <c r="E8" s="4" t="s">
        <v>45</v>
      </c>
      <c r="F8" s="4" t="s">
        <v>41</v>
      </c>
      <c r="G8" s="4" t="s">
        <v>21</v>
      </c>
      <c r="H8" s="4" t="s">
        <v>39</v>
      </c>
      <c r="I8" s="6" t="s">
        <v>42</v>
      </c>
      <c r="J8" s="6" t="s">
        <v>43</v>
      </c>
      <c r="K8" s="7" t="s">
        <v>38</v>
      </c>
      <c r="L8" s="8" t="s">
        <v>37</v>
      </c>
      <c r="M8" s="11" t="s">
        <v>109</v>
      </c>
    </row>
    <row r="9" spans="1:13" ht="30.75" customHeight="1" x14ac:dyDescent="0.25">
      <c r="A9" s="4">
        <f t="shared" si="0"/>
        <v>5</v>
      </c>
      <c r="B9" s="5">
        <v>45961.725763888891</v>
      </c>
      <c r="C9" s="4" t="s">
        <v>53</v>
      </c>
      <c r="D9" s="4" t="s">
        <v>18</v>
      </c>
      <c r="E9" s="4" t="s">
        <v>46</v>
      </c>
      <c r="F9" s="4" t="s">
        <v>47</v>
      </c>
      <c r="G9" s="4" t="s">
        <v>48</v>
      </c>
      <c r="H9" s="4" t="s">
        <v>49</v>
      </c>
      <c r="I9" s="6" t="s">
        <v>54</v>
      </c>
      <c r="J9" s="6" t="s">
        <v>55</v>
      </c>
      <c r="K9" s="7" t="s">
        <v>50</v>
      </c>
      <c r="L9" s="8" t="s">
        <v>51</v>
      </c>
      <c r="M9" s="11" t="s">
        <v>18</v>
      </c>
    </row>
    <row r="10" spans="1:13" ht="30.75" customHeight="1" x14ac:dyDescent="0.25">
      <c r="A10" s="4">
        <f t="shared" si="0"/>
        <v>6</v>
      </c>
      <c r="B10" s="5">
        <v>45961.748831018522</v>
      </c>
      <c r="C10" s="4" t="s">
        <v>56</v>
      </c>
      <c r="D10" s="4" t="s">
        <v>18</v>
      </c>
      <c r="E10" s="4" t="s">
        <v>52</v>
      </c>
      <c r="F10" s="4" t="s">
        <v>47</v>
      </c>
      <c r="G10" s="4" t="s">
        <v>21</v>
      </c>
      <c r="H10" s="4" t="s">
        <v>49</v>
      </c>
      <c r="I10" s="6" t="s">
        <v>54</v>
      </c>
      <c r="J10" s="6" t="s">
        <v>55</v>
      </c>
      <c r="K10" s="7" t="s">
        <v>57</v>
      </c>
      <c r="L10" s="8" t="s">
        <v>51</v>
      </c>
      <c r="M10" s="11" t="s">
        <v>18</v>
      </c>
    </row>
    <row r="11" spans="1:13" ht="30.75" customHeight="1" x14ac:dyDescent="0.25">
      <c r="A11" s="4">
        <f t="shared" si="0"/>
        <v>7</v>
      </c>
      <c r="B11" s="5">
        <v>46022.673437500001</v>
      </c>
      <c r="C11" s="4" t="s">
        <v>58</v>
      </c>
      <c r="D11" s="4"/>
      <c r="E11" s="4" t="s">
        <v>59</v>
      </c>
      <c r="F11" s="4" t="s">
        <v>60</v>
      </c>
      <c r="G11" s="4" t="s">
        <v>21</v>
      </c>
      <c r="H11" s="4" t="s">
        <v>61</v>
      </c>
      <c r="I11" s="6" t="s">
        <v>62</v>
      </c>
      <c r="J11" s="6" t="s">
        <v>24</v>
      </c>
      <c r="K11" s="7" t="s">
        <v>63</v>
      </c>
      <c r="L11" s="8" t="s">
        <v>64</v>
      </c>
      <c r="M11" s="11" t="s">
        <v>110</v>
      </c>
    </row>
    <row r="12" spans="1:13" ht="30.75" customHeight="1" x14ac:dyDescent="0.25">
      <c r="A12" s="4">
        <f t="shared" si="0"/>
        <v>8</v>
      </c>
      <c r="B12" s="5">
        <v>46017.786400462966</v>
      </c>
      <c r="C12" s="4" t="s">
        <v>65</v>
      </c>
      <c r="D12" s="4"/>
      <c r="E12" s="4" t="s">
        <v>66</v>
      </c>
      <c r="F12" s="4" t="s">
        <v>60</v>
      </c>
      <c r="G12" s="4" t="s">
        <v>21</v>
      </c>
      <c r="H12" s="4" t="s">
        <v>67</v>
      </c>
      <c r="I12" s="6" t="s">
        <v>62</v>
      </c>
      <c r="J12" s="6" t="s">
        <v>68</v>
      </c>
      <c r="K12" s="7" t="s">
        <v>69</v>
      </c>
      <c r="L12" s="8" t="s">
        <v>64</v>
      </c>
      <c r="M12" s="11" t="s">
        <v>111</v>
      </c>
    </row>
    <row r="13" spans="1:13" ht="30.75" customHeight="1" x14ac:dyDescent="0.25">
      <c r="A13" s="4">
        <f t="shared" si="0"/>
        <v>9</v>
      </c>
      <c r="B13" s="5">
        <v>46016.785428240742</v>
      </c>
      <c r="C13" s="4" t="s">
        <v>70</v>
      </c>
      <c r="D13" s="4" t="s">
        <v>35</v>
      </c>
      <c r="E13" s="4" t="s">
        <v>71</v>
      </c>
      <c r="F13" s="4" t="s">
        <v>72</v>
      </c>
      <c r="G13" s="4" t="s">
        <v>21</v>
      </c>
      <c r="H13" s="4" t="s">
        <v>73</v>
      </c>
      <c r="I13" s="6" t="s">
        <v>74</v>
      </c>
      <c r="J13" s="6" t="s">
        <v>75</v>
      </c>
      <c r="K13" s="7" t="s">
        <v>76</v>
      </c>
      <c r="L13" s="8" t="s">
        <v>77</v>
      </c>
      <c r="M13" s="11" t="s">
        <v>112</v>
      </c>
    </row>
    <row r="14" spans="1:13" ht="30.75" customHeight="1" x14ac:dyDescent="0.25">
      <c r="A14" s="17">
        <f t="shared" si="0"/>
        <v>10</v>
      </c>
      <c r="B14" s="18">
        <v>46021.717083333337</v>
      </c>
      <c r="C14" s="17" t="s">
        <v>78</v>
      </c>
      <c r="D14" s="17"/>
      <c r="E14" s="17" t="s">
        <v>79</v>
      </c>
      <c r="F14" s="17" t="s">
        <v>80</v>
      </c>
      <c r="G14" s="17" t="s">
        <v>21</v>
      </c>
      <c r="H14" s="17" t="s">
        <v>81</v>
      </c>
      <c r="I14" s="19" t="s">
        <v>82</v>
      </c>
      <c r="J14" s="19" t="s">
        <v>24</v>
      </c>
      <c r="K14" s="20" t="s">
        <v>83</v>
      </c>
      <c r="L14" s="21" t="s">
        <v>84</v>
      </c>
      <c r="M14" s="22" t="s">
        <v>113</v>
      </c>
    </row>
    <row r="15" spans="1:13" ht="30.75" customHeight="1" x14ac:dyDescent="0.25">
      <c r="A15" s="23">
        <f t="shared" si="0"/>
        <v>11</v>
      </c>
      <c r="B15" s="24">
        <v>46003.541250000002</v>
      </c>
      <c r="C15" s="23" t="s">
        <v>85</v>
      </c>
      <c r="D15" s="23" t="s">
        <v>18</v>
      </c>
      <c r="E15" s="23" t="s">
        <v>86</v>
      </c>
      <c r="F15" s="23" t="s">
        <v>87</v>
      </c>
      <c r="G15" s="23" t="s">
        <v>21</v>
      </c>
      <c r="H15" s="23" t="s">
        <v>88</v>
      </c>
      <c r="I15" s="25" t="s">
        <v>89</v>
      </c>
      <c r="J15" s="25" t="s">
        <v>90</v>
      </c>
      <c r="K15" s="23" t="s">
        <v>91</v>
      </c>
      <c r="L15" s="23" t="s">
        <v>92</v>
      </c>
      <c r="M15" s="26" t="s">
        <v>18</v>
      </c>
    </row>
    <row r="16" spans="1:13" ht="30.75" customHeight="1" x14ac:dyDescent="0.25">
      <c r="A16" s="23">
        <f t="shared" si="0"/>
        <v>12</v>
      </c>
      <c r="B16" s="24">
        <v>46022.127685185187</v>
      </c>
      <c r="C16" s="23" t="s">
        <v>93</v>
      </c>
      <c r="D16" s="23" t="s">
        <v>35</v>
      </c>
      <c r="E16" s="23" t="s">
        <v>94</v>
      </c>
      <c r="F16" s="23" t="s">
        <v>95</v>
      </c>
      <c r="G16" s="23" t="s">
        <v>21</v>
      </c>
      <c r="H16" s="23" t="s">
        <v>96</v>
      </c>
      <c r="I16" s="25" t="s">
        <v>97</v>
      </c>
      <c r="J16" s="25" t="s">
        <v>68</v>
      </c>
      <c r="K16" s="23" t="s">
        <v>98</v>
      </c>
      <c r="L16" s="23" t="s">
        <v>99</v>
      </c>
      <c r="M16" s="26" t="s">
        <v>111</v>
      </c>
    </row>
    <row r="17" spans="1:13" ht="30.75" customHeight="1" x14ac:dyDescent="0.25">
      <c r="A17" s="23">
        <f t="shared" si="0"/>
        <v>13</v>
      </c>
      <c r="B17" s="24">
        <v>46022.464641203704</v>
      </c>
      <c r="C17" s="23" t="s">
        <v>100</v>
      </c>
      <c r="D17" s="23"/>
      <c r="E17" s="23" t="s">
        <v>101</v>
      </c>
      <c r="F17" s="23" t="s">
        <v>102</v>
      </c>
      <c r="G17" s="23" t="s">
        <v>21</v>
      </c>
      <c r="H17" s="23" t="s">
        <v>103</v>
      </c>
      <c r="I17" s="25" t="s">
        <v>104</v>
      </c>
      <c r="J17" s="25" t="s">
        <v>105</v>
      </c>
      <c r="K17" s="23" t="s">
        <v>106</v>
      </c>
      <c r="L17" s="23" t="s">
        <v>107</v>
      </c>
      <c r="M17" s="26" t="s">
        <v>110</v>
      </c>
    </row>
    <row r="18" spans="1:13" ht="30" x14ac:dyDescent="0.25">
      <c r="A18" s="23">
        <f t="shared" si="0"/>
        <v>14</v>
      </c>
      <c r="B18" s="27"/>
      <c r="C18" s="28">
        <v>281017</v>
      </c>
      <c r="D18" s="27"/>
      <c r="E18" s="28" t="s">
        <v>114</v>
      </c>
      <c r="F18" s="28" t="s">
        <v>115</v>
      </c>
      <c r="G18" s="29" t="s">
        <v>120</v>
      </c>
      <c r="H18" s="28" t="s">
        <v>116</v>
      </c>
      <c r="I18" s="28" t="s">
        <v>117</v>
      </c>
      <c r="J18" s="28" t="s">
        <v>118</v>
      </c>
      <c r="K18" s="27"/>
      <c r="L18" s="27"/>
      <c r="M18" s="29" t="s">
        <v>119</v>
      </c>
    </row>
  </sheetData>
  <mergeCells count="2">
    <mergeCell ref="B1:M1"/>
    <mergeCell ref="K4:L4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2025-12-31T11:10:05Z</dcterms:created>
  <dcterms:modified xsi:type="dcterms:W3CDTF">2025-12-31T14:30:16Z</dcterms:modified>
</cp:coreProperties>
</file>
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" i="1" l="1"/>
  <c r="A31" i="1" s="1"/>
  <c r="A32" i="1" s="1"/>
  <c r="A33" i="1" s="1"/>
  <c r="A34" i="1" s="1"/>
  <c r="A35" i="1" s="1"/>
  <c r="A36" i="1" s="1"/>
  <c r="A37" i="1" s="1"/>
  <c r="A38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6" i="1"/>
</calcChain>
</file>

<file path=xl/sharedStrings.xml><?xml version="1.0" encoding="utf-8"?>
<sst xmlns="http://schemas.openxmlformats.org/spreadsheetml/2006/main" count="333" uniqueCount="211">
  <si>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</si>
  <si>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</si>
  <si>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</si>
  <si>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</si>
  <si>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</si>
  <si>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</si>
  <si>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</si>
  <si>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</si>
  <si>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</si>
  <si>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</si>
  <si>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</si>
  <si>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</si>
  <si>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</si>
  <si>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</si>
  <si>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</si>
  <si>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</si>
  <si>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</si>
  <si>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MR2604/0452</t>
  </si>
  <si>
    <t>220KV_Main Bus 1</t>
  </si>
  <si>
    <t>220KV_AMARKANTAK</t>
  </si>
  <si>
    <t>NON-OCCM-MP</t>
  </si>
  <si>
    <t>Conductor Stringing at ATPS Chachai</t>
  </si>
  <si>
    <t>20-04-2026 10:00:00</t>
  </si>
  <si>
    <t>20-04-2026 14:00:00</t>
  </si>
  <si>
    <t>AJAY PARTETI</t>
  </si>
  <si>
    <t>9425808877</t>
  </si>
  <si>
    <t>MR2604/0451</t>
  </si>
  <si>
    <t>220KV_AMARKANTAK-SIDHI_Ckt_1</t>
  </si>
  <si>
    <t>MR2604/0405</t>
  </si>
  <si>
    <t>Continuous</t>
  </si>
  <si>
    <t>220KV_160MVA BBL TRANSFORMER</t>
  </si>
  <si>
    <t>220KV_ANUPPUR</t>
  </si>
  <si>
    <t>BELL TANK OIL LEAKAGE ATTENDING WORK</t>
  </si>
  <si>
    <t>17-04-2026 10:00:00</t>
  </si>
  <si>
    <t>06-05-2026 18:00:00</t>
  </si>
  <si>
    <t>SUNIL KUMAR BHALAVI</t>
  </si>
  <si>
    <t>9425804704</t>
  </si>
  <si>
    <t>MR2604/0453</t>
  </si>
  <si>
    <t>132KV_132 kV Shahdol-Birsinghpur Circuit I</t>
  </si>
  <si>
    <t>220KV_BIRSINGHPUR</t>
  </si>
  <si>
    <t>For Jumper Cone  tightening &amp; other line maint.</t>
  </si>
  <si>
    <t>20-04-2026 18:00:00</t>
  </si>
  <si>
    <t>Jagdish Prasad Asati</t>
  </si>
  <si>
    <t>9424445533</t>
  </si>
  <si>
    <t>MR2604/0426</t>
  </si>
  <si>
    <t>220KV_220 KV Itarsi(PGCIL)-Budhni Ckt-I</t>
  </si>
  <si>
    <t>220KV_BUDHNI</t>
  </si>
  <si>
    <t>OCCM-MP</t>
  </si>
  <si>
    <t>Jumper cone, arching horn &amp; VD tightening work</t>
  </si>
  <si>
    <t>20-04-2026 17:00:00</t>
  </si>
  <si>
    <t>Ashutosh rai</t>
  </si>
  <si>
    <t>9425806902</t>
  </si>
  <si>
    <t>MR2604/0449</t>
  </si>
  <si>
    <t>220KV_160 MVA Transformer</t>
  </si>
  <si>
    <t>220KV_CHATARPUR</t>
  </si>
  <si>
    <t>for Pre Monsoon Maintenance</t>
  </si>
  <si>
    <t>20-04-2026 09:00:00</t>
  </si>
  <si>
    <t>Brajendra Soni</t>
  </si>
  <si>
    <t>9131327770</t>
  </si>
  <si>
    <t>MR2604/0450</t>
  </si>
  <si>
    <t>132KV_132/33 kV 50 Mva BHEL xmer-2</t>
  </si>
  <si>
    <t>220KV_CHICHLI</t>
  </si>
  <si>
    <t>Premonsoon maintenance &amp; testing work</t>
  </si>
  <si>
    <t>20-04-2026 20:00:00</t>
  </si>
  <si>
    <t>Rajesh chaturvedi</t>
  </si>
  <si>
    <t>9425805203</t>
  </si>
  <si>
    <t>MR2601/0438</t>
  </si>
  <si>
    <t>Daily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</si>
  <si>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</si>
  <si>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</si>
  <si>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</si>
  <si>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</si>
  <si>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</si>
  <si>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</si>
  <si>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</si>
  <si>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MR2604/0328</t>
  </si>
  <si>
    <t>400KV_UNIT#2</t>
  </si>
  <si>
    <t>400KV_INDIRASAGAR</t>
  </si>
  <si>
    <t>NON-OCCM-WR</t>
  </si>
  <si>
    <t>ANNUAL MAINTENANCE OF U#2</t>
  </si>
  <si>
    <t>16-04-2026 06:00:00</t>
  </si>
  <si>
    <t>30-04-2026 18:00:00</t>
  </si>
  <si>
    <t>SANJAY PATEL</t>
  </si>
  <si>
    <t>9575074321</t>
  </si>
  <si>
    <t>MR2604/0417</t>
  </si>
  <si>
    <t>220KV_220 kV Jabalpur- Narsinghpur ckt-I</t>
  </si>
  <si>
    <t>220KV_JABALPUR</t>
  </si>
  <si>
    <t>Resagging work at Loc. No. 15-236</t>
  </si>
  <si>
    <t>19-04-2026 08:00:00</t>
  </si>
  <si>
    <t>20-04-2026 19:00:00</t>
  </si>
  <si>
    <t>Jitendra Tiwari</t>
  </si>
  <si>
    <t>9425805298</t>
  </si>
  <si>
    <t>MR2604/0419</t>
  </si>
  <si>
    <t>220KV_220 kV Jabalpur- Narsinghpur ckt-II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</si>
  <si>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</si>
  <si>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</si>
  <si>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</si>
  <si>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</si>
  <si>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</si>
  <si>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</si>
  <si>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</si>
  <si>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</si>
  <si>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MR2604/0055</t>
  </si>
  <si>
    <t>132KV_132KV KATNI IC LINE IST CKT</t>
  </si>
  <si>
    <t>132KV_KATNI</t>
  </si>
  <si>
    <t>HTLS CONDUCTOR REPLACEMENT WORK</t>
  </si>
  <si>
    <t>23-04-2026 18:00:00</t>
  </si>
  <si>
    <t>MANOJ KUMAR TIWARI</t>
  </si>
  <si>
    <t>9425804993</t>
  </si>
  <si>
    <t>MR2604/0444</t>
  </si>
  <si>
    <t>220KV_Main BUS-A with Bus coupler</t>
  </si>
  <si>
    <t>220KV_OMKARESHWAR</t>
  </si>
  <si>
    <t>Annual Mainenance</t>
  </si>
  <si>
    <t>Nitin Tamrekar</t>
  </si>
  <si>
    <t>9425433977</t>
  </si>
  <si>
    <t>MR2604/0392</t>
  </si>
  <si>
    <t>220KV_Generating Unit No. 02</t>
  </si>
  <si>
    <t>Annual maintenance</t>
  </si>
  <si>
    <t>16-04-2026 10:00:00</t>
  </si>
  <si>
    <t>Sh. M. S. Karunakar</t>
  </si>
  <si>
    <t>7898703187</t>
  </si>
  <si>
    <t>MR2604/0443</t>
  </si>
  <si>
    <t>220KV_OMKARESHWAR-JULWANIYA4_Ckt_1</t>
  </si>
  <si>
    <t>Annual Maintnance</t>
  </si>
  <si>
    <t>21-04-2026 18:00:00</t>
  </si>
  <si>
    <t>9415433977</t>
  </si>
  <si>
    <t>MR2604/0431</t>
  </si>
  <si>
    <t>132KV_132 kV Panagar- Patan</t>
  </si>
  <si>
    <t>220KV_PANAGAR</t>
  </si>
  <si>
    <t>Modification of line</t>
  </si>
  <si>
    <t>18-04-2026 08:00:00</t>
  </si>
  <si>
    <t>MR2604/0280</t>
  </si>
  <si>
    <t>400KV_400 KV SSTPH-Pithampur ckt 2</t>
  </si>
  <si>
    <t>400KV_PITHAMPUR4</t>
  </si>
  <si>
    <t>Tower Restrengthening work on cross arm</t>
  </si>
  <si>
    <t>17-04-2026 08:00:00</t>
  </si>
  <si>
    <t>30-04-2026 19:00:00</t>
  </si>
  <si>
    <t>Naresh Pandre</t>
  </si>
  <si>
    <t>9425806905</t>
  </si>
  <si>
    <t>MR2604/0279</t>
  </si>
  <si>
    <t>400KV_400 KV SSTPH-Pithampur ckt 1</t>
  </si>
  <si>
    <t>MR2604/0439</t>
  </si>
  <si>
    <t>220KV_220kv Sabalgarh Sheopur Ckt IInd</t>
  </si>
  <si>
    <t>220KV_SABALGARH</t>
  </si>
  <si>
    <t>Line Maintenance work</t>
  </si>
  <si>
    <t>Suraj Pawar</t>
  </si>
  <si>
    <t>9425814079</t>
  </si>
  <si>
    <t>MR2604/0437</t>
  </si>
  <si>
    <t>220KV_220  kV Satna (MPPTCL)  â¿¿  Ajaygarh ckt</t>
  </si>
  <si>
    <t>220KV_SATNA</t>
  </si>
  <si>
    <t>For replacement of single suspension hardware to d</t>
  </si>
  <si>
    <t>18-04-2026 10:00:00</t>
  </si>
  <si>
    <t>27-04-2026 18:00:00</t>
  </si>
  <si>
    <t>Mr. R.K Prajapati</t>
  </si>
  <si>
    <t>9407070182</t>
  </si>
  <si>
    <t>MR2604/0350</t>
  </si>
  <si>
    <t>220KV_220 kV Satna (MPPTCL) -Ajaygarh line</t>
  </si>
  <si>
    <t>ERS and Tower erection work</t>
  </si>
  <si>
    <t>15-04-2026 08:00:00</t>
  </si>
  <si>
    <t>Mr. R.K.Prajapati</t>
  </si>
  <si>
    <t>MR2604/0144</t>
  </si>
  <si>
    <t>132KV_132 kV Satna - IC -II</t>
  </si>
  <si>
    <t>Conductor Replacement work</t>
  </si>
  <si>
    <t>07-04-2026 08:00:00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</si>
  <si>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</si>
  <si>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</si>
  <si>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</si>
  <si>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</si>
  <si>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</si>
  <si>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</si>
  <si>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</si>
  <si>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</si>
  <si>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</si>
  <si>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</si>
  <si>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</si>
  <si>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</si>
  <si>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</si>
  <si>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</si>
  <si>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</si>
  <si>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</si>
  <si>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</si>
  <si>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ok, through sub ld</t>
  </si>
  <si>
    <t>o&amp;m consent required</t>
  </si>
  <si>
    <t>as per system availability</t>
  </si>
  <si>
    <t>deferred</t>
  </si>
  <si>
    <t>under review</t>
  </si>
  <si>
    <t>real time a sper load management</t>
  </si>
  <si>
    <t>INDORE - 220KV - BUS 1</t>
  </si>
  <si>
    <t>SHUJALPUR - 220KV - BUS 1</t>
  </si>
  <si>
    <t>400KV-SSP-RAJGARH-2</t>
  </si>
  <si>
    <t>220KV-ITARSI-BUDNI-1</t>
  </si>
  <si>
    <t>400KV-BINA-JP-BINA-1</t>
  </si>
  <si>
    <t>400KV-SSP-RAJGARH-1</t>
  </si>
  <si>
    <t>20-Apr-2026</t>
  </si>
  <si>
    <t>09:00</t>
  </si>
  <si>
    <t>18:00</t>
  </si>
  <si>
    <t>08:00</t>
  </si>
  <si>
    <t>17:30</t>
  </si>
  <si>
    <t>10:00</t>
  </si>
  <si>
    <t>17:00</t>
  </si>
  <si>
    <t>06:00</t>
  </si>
  <si>
    <t>19:00</t>
  </si>
  <si>
    <t>POWERGRID_WR2</t>
  </si>
  <si>
    <t>MP_SLDC</t>
  </si>
  <si>
    <t xml:space="preserve">BUS AMP WORK </t>
  </si>
  <si>
    <t>AMP WORK OF 220KV BUS 1 at SHUJALPUR SS</t>
  </si>
  <si>
    <t>SHUTDOWN REQUIRED FOR REPLACEMENT OF DEFECTIVE DISC INSULATOR</t>
  </si>
  <si>
    <t>FOR BAY MAINTENANCE &amp; TESTING WORK AT SUBSTASTION, REPLACEMENT OF DAMAGED CLAMPS/JUMPERS ETC.</t>
  </si>
  <si>
    <t xml:space="preserve">
For line maintenance and conductor resagging work</t>
  </si>
  <si>
    <t>A/R OFF REQUIRED DUE TO OUTAGE OF CKT -1</t>
  </si>
  <si>
    <t>deferred by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</si>
</sst>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color rgb="FF000000"/>
      <name val="Arial"/>
      <family val="2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0" fillId="0" borderId="0" xfId="0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0" fontId="6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89060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selection activeCell="H8" sqref="H8"/>
    </sheetView>
  </sheetViews>
  <sheetFormatPr defaultRowHeight="36.75" customHeight="1"/>
  <cols>
    <col min="1" max="1" width="9.140625" style="5"/>
    <col min="2" max="2" width="11.140625" style="5" customWidth="1"/>
    <col min="3" max="3" width="8.42578125" style="5" customWidth="1"/>
    <col min="4" max="4" width="7.7109375" style="5" customWidth="1"/>
    <col min="5" max="5" width="43.28515625" style="5" customWidth="1"/>
    <col min="6" max="6" width="22" style="28" customWidth="1"/>
    <col min="7" max="7" width="7.42578125" style="5" customWidth="1"/>
    <col min="8" max="8" width="48.140625" style="28" customWidth="1"/>
    <col min="9" max="9" width="10.85546875" style="5" customWidth="1"/>
    <col min="10" max="10" width="11.42578125" style="5" customWidth="1"/>
    <col min="11" max="11" width="29.42578125" style="28" customWidth="1"/>
    <col min="12" max="12" width="6.42578125" style="5" customWidth="1"/>
    <col min="13" max="13" width="44.85546875" style="28" customWidth="1"/>
    <col min="14" max="16384" width="9.140625" style="5"/>
  </cols>
  <sheetData>
    <row r="1" spans="1:13" ht="36.75" customHeight="1">
      <c r="A1" s="2"/>
      <c r="B1" s="1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36.75" customHeight="1">
      <c r="A2" s="2" t="s">
        <v>1</v>
      </c>
      <c r="B2" s="6">
        <v>46132</v>
      </c>
      <c r="C2" s="2"/>
      <c r="D2" s="2"/>
      <c r="E2" s="2"/>
      <c r="F2" s="22"/>
      <c r="G2" s="2"/>
      <c r="H2" s="22"/>
      <c r="I2" s="2"/>
      <c r="J2" s="2"/>
      <c r="K2" s="22"/>
      <c r="L2" s="2"/>
      <c r="M2" s="22"/>
    </row>
    <row r="3" spans="1:13" ht="36.75" customHeight="1">
      <c r="A3" s="7" t="s">
        <v>2</v>
      </c>
      <c r="B3" s="7" t="s">
        <v>3</v>
      </c>
      <c r="C3" s="7" t="s">
        <v>4</v>
      </c>
      <c r="D3" s="7" t="s">
        <v>3</v>
      </c>
      <c r="E3" s="2"/>
      <c r="F3" s="22"/>
      <c r="G3" s="2"/>
      <c r="H3" s="22"/>
      <c r="I3" s="2"/>
      <c r="J3" s="2"/>
      <c r="K3" s="22"/>
      <c r="L3" s="2"/>
      <c r="M3" s="22"/>
    </row>
    <row r="4" spans="1:13" ht="36.75" customHeight="1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23" t="s">
        <v>10</v>
      </c>
      <c r="G4" s="7" t="s">
        <v>11</v>
      </c>
      <c r="H4" s="23" t="s">
        <v>12</v>
      </c>
      <c r="I4" s="7" t="s">
        <v>13</v>
      </c>
      <c r="J4" s="7" t="s">
        <v>14</v>
      </c>
      <c r="K4" s="8" t="s">
        <v>15</v>
      </c>
      <c r="L4" s="4"/>
      <c r="M4" s="23" t="s">
        <v>16</v>
      </c>
    </row>
    <row r="5" spans="1:13" ht="36.75" customHeight="1">
      <c r="A5" s="9">
        <v>1</v>
      </c>
      <c r="B5" s="10">
        <v>46131.581458333334</v>
      </c>
      <c r="C5" s="9" t="s">
        <v>17</v>
      </c>
      <c r="D5" s="9"/>
      <c r="E5" s="9" t="s">
        <v>18</v>
      </c>
      <c r="F5" s="23" t="s">
        <v>19</v>
      </c>
      <c r="G5" s="9" t="s">
        <v>20</v>
      </c>
      <c r="H5" s="23" t="s">
        <v>21</v>
      </c>
      <c r="I5" s="11" t="s">
        <v>22</v>
      </c>
      <c r="J5" s="11" t="s">
        <v>23</v>
      </c>
      <c r="K5" s="29" t="s">
        <v>24</v>
      </c>
      <c r="L5" s="12" t="s">
        <v>25</v>
      </c>
      <c r="M5" s="23" t="s">
        <v>180</v>
      </c>
    </row>
    <row r="6" spans="1:13" ht="36.75" customHeight="1">
      <c r="A6" s="9">
        <f>A5+1</f>
        <v>2</v>
      </c>
      <c r="B6" s="10">
        <v>46131.578460648147</v>
      </c>
      <c r="C6" s="9" t="s">
        <v>26</v>
      </c>
      <c r="D6" s="9"/>
      <c r="E6" s="9" t="s">
        <v>27</v>
      </c>
      <c r="F6" s="23" t="s">
        <v>19</v>
      </c>
      <c r="G6" s="9" t="s">
        <v>20</v>
      </c>
      <c r="H6" s="23" t="s">
        <v>21</v>
      </c>
      <c r="I6" s="11" t="s">
        <v>22</v>
      </c>
      <c r="J6" s="11" t="s">
        <v>23</v>
      </c>
      <c r="K6" s="29" t="s">
        <v>24</v>
      </c>
      <c r="L6" s="12" t="s">
        <v>25</v>
      </c>
      <c r="M6" s="23" t="s">
        <v>180</v>
      </c>
    </row>
    <row r="7" spans="1:13" ht="36.75" customHeight="1">
      <c r="A7" s="9">
        <f t="shared" ref="A7:A38" si="0">A6+1</f>
        <v>3</v>
      </c>
      <c r="B7" s="10">
        <v>46128.598124999997</v>
      </c>
      <c r="C7" s="9" t="s">
        <v>28</v>
      </c>
      <c r="D7" s="9" t="s">
        <v>29</v>
      </c>
      <c r="E7" s="9" t="s">
        <v>30</v>
      </c>
      <c r="F7" s="23" t="s">
        <v>31</v>
      </c>
      <c r="G7" s="9" t="s">
        <v>20</v>
      </c>
      <c r="H7" s="23" t="s">
        <v>32</v>
      </c>
      <c r="I7" s="11" t="s">
        <v>33</v>
      </c>
      <c r="J7" s="11" t="s">
        <v>34</v>
      </c>
      <c r="K7" s="29" t="s">
        <v>35</v>
      </c>
      <c r="L7" s="12" t="s">
        <v>36</v>
      </c>
      <c r="M7" s="23" t="s">
        <v>29</v>
      </c>
    </row>
    <row r="8" spans="1:13" ht="36.75" customHeight="1">
      <c r="A8" s="9">
        <f t="shared" si="0"/>
        <v>4</v>
      </c>
      <c r="B8" s="10">
        <v>46131.611932870372</v>
      </c>
      <c r="C8" s="9" t="s">
        <v>37</v>
      </c>
      <c r="D8" s="9"/>
      <c r="E8" s="9" t="s">
        <v>38</v>
      </c>
      <c r="F8" s="23" t="s">
        <v>39</v>
      </c>
      <c r="G8" s="9" t="s">
        <v>20</v>
      </c>
      <c r="H8" s="23" t="s">
        <v>40</v>
      </c>
      <c r="I8" s="11" t="s">
        <v>22</v>
      </c>
      <c r="J8" s="11" t="s">
        <v>41</v>
      </c>
      <c r="K8" s="29" t="s">
        <v>42</v>
      </c>
      <c r="L8" s="12" t="s">
        <v>43</v>
      </c>
      <c r="M8" s="23" t="s">
        <v>180</v>
      </c>
    </row>
    <row r="9" spans="1:13" ht="36.75" customHeight="1">
      <c r="A9" s="9">
        <f t="shared" si="0"/>
        <v>5</v>
      </c>
      <c r="B9" s="10">
        <v>46129.491296296299</v>
      </c>
      <c r="C9" s="9" t="s">
        <v>44</v>
      </c>
      <c r="D9" s="9"/>
      <c r="E9" s="9" t="s">
        <v>45</v>
      </c>
      <c r="F9" s="23" t="s">
        <v>46</v>
      </c>
      <c r="G9" s="9" t="s">
        <v>47</v>
      </c>
      <c r="H9" s="23" t="s">
        <v>48</v>
      </c>
      <c r="I9" s="11" t="s">
        <v>22</v>
      </c>
      <c r="J9" s="11" t="s">
        <v>49</v>
      </c>
      <c r="K9" s="29" t="s">
        <v>50</v>
      </c>
      <c r="L9" s="12" t="s">
        <v>51</v>
      </c>
      <c r="M9" s="23" t="s">
        <v>181</v>
      </c>
    </row>
    <row r="10" spans="1:13" ht="36.75" customHeight="1">
      <c r="A10" s="9">
        <f t="shared" si="0"/>
        <v>6</v>
      </c>
      <c r="B10" s="10">
        <v>46131.522673611114</v>
      </c>
      <c r="C10" s="9" t="s">
        <v>52</v>
      </c>
      <c r="D10" s="9"/>
      <c r="E10" s="9" t="s">
        <v>53</v>
      </c>
      <c r="F10" s="23" t="s">
        <v>54</v>
      </c>
      <c r="G10" s="9" t="s">
        <v>20</v>
      </c>
      <c r="H10" s="23" t="s">
        <v>55</v>
      </c>
      <c r="I10" s="11" t="s">
        <v>56</v>
      </c>
      <c r="J10" s="11" t="s">
        <v>49</v>
      </c>
      <c r="K10" s="29" t="s">
        <v>57</v>
      </c>
      <c r="L10" s="12" t="s">
        <v>58</v>
      </c>
      <c r="M10" s="23" t="s">
        <v>180</v>
      </c>
    </row>
    <row r="11" spans="1:13" ht="36.75" customHeight="1">
      <c r="A11" s="9">
        <f t="shared" si="0"/>
        <v>7</v>
      </c>
      <c r="B11" s="10">
        <v>46131.544988425929</v>
      </c>
      <c r="C11" s="9" t="s">
        <v>59</v>
      </c>
      <c r="D11" s="9"/>
      <c r="E11" s="9" t="s">
        <v>60</v>
      </c>
      <c r="F11" s="23" t="s">
        <v>61</v>
      </c>
      <c r="G11" s="9" t="s">
        <v>20</v>
      </c>
      <c r="H11" s="23" t="s">
        <v>62</v>
      </c>
      <c r="I11" s="11" t="s">
        <v>23</v>
      </c>
      <c r="J11" s="11" t="s">
        <v>63</v>
      </c>
      <c r="K11" s="29" t="s">
        <v>64</v>
      </c>
      <c r="L11" s="12" t="s">
        <v>65</v>
      </c>
      <c r="M11" s="23" t="s">
        <v>182</v>
      </c>
    </row>
    <row r="12" spans="1:13" ht="36.75" customHeight="1">
      <c r="A12" s="9">
        <f t="shared" si="0"/>
        <v>8</v>
      </c>
      <c r="B12" s="10">
        <v>46050.577592592592</v>
      </c>
      <c r="C12" s="9" t="s">
        <v>66</v>
      </c>
      <c r="D12" s="9" t="s">
        <v>67</v>
      </c>
      <c r="E12" s="9" t="s">
        <v>68</v>
      </c>
      <c r="F12" s="23" t="s">
        <v>69</v>
      </c>
      <c r="G12" s="9" t="s">
        <v>20</v>
      </c>
      <c r="H12" s="23" t="s">
        <v>70</v>
      </c>
      <c r="I12" s="11" t="s">
        <v>71</v>
      </c>
      <c r="J12" s="11" t="s">
        <v>72</v>
      </c>
      <c r="K12" s="29" t="s">
        <v>73</v>
      </c>
      <c r="L12" s="12" t="s">
        <v>74</v>
      </c>
      <c r="M12" s="23" t="s">
        <v>180</v>
      </c>
    </row>
    <row r="13" spans="1:13" ht="36.75" customHeight="1">
      <c r="A13" s="9">
        <f t="shared" si="0"/>
        <v>9</v>
      </c>
      <c r="B13" s="10">
        <v>46126.359826388885</v>
      </c>
      <c r="C13" s="9" t="s">
        <v>75</v>
      </c>
      <c r="D13" s="9" t="s">
        <v>29</v>
      </c>
      <c r="E13" s="9" t="s">
        <v>76</v>
      </c>
      <c r="F13" s="23" t="s">
        <v>77</v>
      </c>
      <c r="G13" s="9" t="s">
        <v>78</v>
      </c>
      <c r="H13" s="23" t="s">
        <v>79</v>
      </c>
      <c r="I13" s="11" t="s">
        <v>80</v>
      </c>
      <c r="J13" s="11" t="s">
        <v>81</v>
      </c>
      <c r="K13" s="29" t="s">
        <v>82</v>
      </c>
      <c r="L13" s="12" t="s">
        <v>83</v>
      </c>
      <c r="M13" s="23" t="s">
        <v>183</v>
      </c>
    </row>
    <row r="14" spans="1:13" ht="36.75" customHeight="1">
      <c r="A14" s="9">
        <f t="shared" si="0"/>
        <v>10</v>
      </c>
      <c r="B14" s="10">
        <v>46128.647048611114</v>
      </c>
      <c r="C14" s="9" t="s">
        <v>84</v>
      </c>
      <c r="D14" s="9" t="s">
        <v>67</v>
      </c>
      <c r="E14" s="9" t="s">
        <v>85</v>
      </c>
      <c r="F14" s="23" t="s">
        <v>86</v>
      </c>
      <c r="G14" s="9" t="s">
        <v>20</v>
      </c>
      <c r="H14" s="23" t="s">
        <v>87</v>
      </c>
      <c r="I14" s="11" t="s">
        <v>88</v>
      </c>
      <c r="J14" s="11" t="s">
        <v>89</v>
      </c>
      <c r="K14" s="29" t="s">
        <v>90</v>
      </c>
      <c r="L14" s="12" t="s">
        <v>91</v>
      </c>
      <c r="M14" s="23" t="s">
        <v>184</v>
      </c>
    </row>
    <row r="15" spans="1:13" ht="36.75" customHeight="1">
      <c r="A15" s="9">
        <f t="shared" si="0"/>
        <v>11</v>
      </c>
      <c r="B15" s="10">
        <v>46128.648472222223</v>
      </c>
      <c r="C15" s="9" t="s">
        <v>92</v>
      </c>
      <c r="D15" s="9" t="s">
        <v>67</v>
      </c>
      <c r="E15" s="9" t="s">
        <v>93</v>
      </c>
      <c r="F15" s="23" t="s">
        <v>86</v>
      </c>
      <c r="G15" s="9" t="s">
        <v>20</v>
      </c>
      <c r="H15" s="23" t="s">
        <v>87</v>
      </c>
      <c r="I15" s="11" t="s">
        <v>88</v>
      </c>
      <c r="J15" s="11" t="s">
        <v>89</v>
      </c>
      <c r="K15" s="29" t="s">
        <v>90</v>
      </c>
      <c r="L15" s="12" t="s">
        <v>91</v>
      </c>
      <c r="M15" s="23" t="s">
        <v>184</v>
      </c>
    </row>
    <row r="16" spans="1:13" ht="36.75" customHeight="1">
      <c r="A16" s="9">
        <f t="shared" si="0"/>
        <v>12</v>
      </c>
      <c r="B16" s="10">
        <v>46095.722418981481</v>
      </c>
      <c r="C16" s="9" t="s">
        <v>94</v>
      </c>
      <c r="D16" s="9" t="s">
        <v>67</v>
      </c>
      <c r="E16" s="9" t="s">
        <v>95</v>
      </c>
      <c r="F16" s="23" t="s">
        <v>96</v>
      </c>
      <c r="G16" s="9" t="s">
        <v>78</v>
      </c>
      <c r="H16" s="23" t="s">
        <v>97</v>
      </c>
      <c r="I16" s="11" t="s">
        <v>98</v>
      </c>
      <c r="J16" s="11" t="s">
        <v>99</v>
      </c>
      <c r="K16" s="29" t="s">
        <v>100</v>
      </c>
      <c r="L16" s="12" t="s">
        <v>101</v>
      </c>
      <c r="M16" s="23" t="s">
        <v>180</v>
      </c>
    </row>
    <row r="17" spans="1:13" ht="36.75" customHeight="1">
      <c r="A17" s="9">
        <f t="shared" si="0"/>
        <v>13</v>
      </c>
      <c r="B17" s="10">
        <v>46114.690162037034</v>
      </c>
      <c r="C17" s="9" t="s">
        <v>102</v>
      </c>
      <c r="D17" s="9" t="s">
        <v>67</v>
      </c>
      <c r="E17" s="9" t="s">
        <v>103</v>
      </c>
      <c r="F17" s="23" t="s">
        <v>104</v>
      </c>
      <c r="G17" s="9" t="s">
        <v>20</v>
      </c>
      <c r="H17" s="23" t="s">
        <v>105</v>
      </c>
      <c r="I17" s="11" t="s">
        <v>56</v>
      </c>
      <c r="J17" s="11" t="s">
        <v>106</v>
      </c>
      <c r="K17" s="29" t="s">
        <v>107</v>
      </c>
      <c r="L17" s="12" t="s">
        <v>108</v>
      </c>
      <c r="M17" s="23" t="s">
        <v>186</v>
      </c>
    </row>
    <row r="18" spans="1:13" ht="36.75" customHeight="1">
      <c r="A18" s="9">
        <f t="shared" si="0"/>
        <v>14</v>
      </c>
      <c r="B18" s="10">
        <v>46131.420277777775</v>
      </c>
      <c r="C18" s="9" t="s">
        <v>109</v>
      </c>
      <c r="D18" s="9"/>
      <c r="E18" s="9" t="s">
        <v>110</v>
      </c>
      <c r="F18" s="23" t="s">
        <v>111</v>
      </c>
      <c r="G18" s="9" t="s">
        <v>78</v>
      </c>
      <c r="H18" s="23" t="s">
        <v>112</v>
      </c>
      <c r="I18" s="11" t="s">
        <v>22</v>
      </c>
      <c r="J18" s="11" t="s">
        <v>41</v>
      </c>
      <c r="K18" s="29" t="s">
        <v>113</v>
      </c>
      <c r="L18" s="12" t="s">
        <v>114</v>
      </c>
      <c r="M18" s="23" t="s">
        <v>180</v>
      </c>
    </row>
    <row r="19" spans="1:13" ht="36.75" customHeight="1">
      <c r="A19" s="9">
        <f t="shared" si="0"/>
        <v>15</v>
      </c>
      <c r="B19" s="10">
        <v>46127.687465277777</v>
      </c>
      <c r="C19" s="9" t="s">
        <v>115</v>
      </c>
      <c r="D19" s="9" t="s">
        <v>29</v>
      </c>
      <c r="E19" s="9" t="s">
        <v>116</v>
      </c>
      <c r="F19" s="23" t="s">
        <v>111</v>
      </c>
      <c r="G19" s="9" t="s">
        <v>78</v>
      </c>
      <c r="H19" s="23" t="s">
        <v>117</v>
      </c>
      <c r="I19" s="11" t="s">
        <v>118</v>
      </c>
      <c r="J19" s="11" t="s">
        <v>81</v>
      </c>
      <c r="K19" s="29" t="s">
        <v>119</v>
      </c>
      <c r="L19" s="12" t="s">
        <v>120</v>
      </c>
      <c r="M19" s="23" t="s">
        <v>183</v>
      </c>
    </row>
    <row r="20" spans="1:13" ht="36.75" customHeight="1">
      <c r="A20" s="9">
        <f t="shared" si="0"/>
        <v>16</v>
      </c>
      <c r="B20" s="10">
        <v>46131.416597222225</v>
      </c>
      <c r="C20" s="9" t="s">
        <v>121</v>
      </c>
      <c r="D20" s="9" t="s">
        <v>29</v>
      </c>
      <c r="E20" s="9" t="s">
        <v>122</v>
      </c>
      <c r="F20" s="23" t="s">
        <v>111</v>
      </c>
      <c r="G20" s="9" t="s">
        <v>78</v>
      </c>
      <c r="H20" s="23" t="s">
        <v>123</v>
      </c>
      <c r="I20" s="11" t="s">
        <v>22</v>
      </c>
      <c r="J20" s="11" t="s">
        <v>124</v>
      </c>
      <c r="K20" s="29" t="s">
        <v>113</v>
      </c>
      <c r="L20" s="12" t="s">
        <v>125</v>
      </c>
      <c r="M20" s="23" t="s">
        <v>181</v>
      </c>
    </row>
    <row r="21" spans="1:13" ht="36.75" customHeight="1">
      <c r="A21" s="9">
        <f t="shared" si="0"/>
        <v>17</v>
      </c>
      <c r="B21" s="10">
        <v>46129.602199074077</v>
      </c>
      <c r="C21" s="9" t="s">
        <v>126</v>
      </c>
      <c r="D21" s="9" t="s">
        <v>29</v>
      </c>
      <c r="E21" s="9" t="s">
        <v>127</v>
      </c>
      <c r="F21" s="23" t="s">
        <v>128</v>
      </c>
      <c r="G21" s="9" t="s">
        <v>20</v>
      </c>
      <c r="H21" s="23" t="s">
        <v>129</v>
      </c>
      <c r="I21" s="11" t="s">
        <v>130</v>
      </c>
      <c r="J21" s="11" t="s">
        <v>41</v>
      </c>
      <c r="K21" s="29" t="s">
        <v>90</v>
      </c>
      <c r="L21" s="12" t="s">
        <v>91</v>
      </c>
      <c r="M21" s="23" t="s">
        <v>29</v>
      </c>
    </row>
    <row r="22" spans="1:13" ht="36.75" customHeight="1">
      <c r="A22" s="9">
        <f t="shared" si="0"/>
        <v>18</v>
      </c>
      <c r="B22" s="10">
        <v>46123.359305555554</v>
      </c>
      <c r="C22" s="9" t="s">
        <v>131</v>
      </c>
      <c r="D22" s="9" t="s">
        <v>29</v>
      </c>
      <c r="E22" s="9" t="s">
        <v>132</v>
      </c>
      <c r="F22" s="23" t="s">
        <v>133</v>
      </c>
      <c r="G22" s="9" t="s">
        <v>20</v>
      </c>
      <c r="H22" s="23" t="s">
        <v>134</v>
      </c>
      <c r="I22" s="11" t="s">
        <v>135</v>
      </c>
      <c r="J22" s="11" t="s">
        <v>136</v>
      </c>
      <c r="K22" s="29" t="s">
        <v>137</v>
      </c>
      <c r="L22" s="12" t="s">
        <v>138</v>
      </c>
      <c r="M22" s="23" t="s">
        <v>29</v>
      </c>
    </row>
    <row r="23" spans="1:13" ht="36.75" customHeight="1">
      <c r="A23" s="9">
        <f t="shared" si="0"/>
        <v>19</v>
      </c>
      <c r="B23" s="10">
        <v>46123.357719907406</v>
      </c>
      <c r="C23" s="9" t="s">
        <v>139</v>
      </c>
      <c r="D23" s="9" t="s">
        <v>29</v>
      </c>
      <c r="E23" s="9" t="s">
        <v>140</v>
      </c>
      <c r="F23" s="23" t="s">
        <v>133</v>
      </c>
      <c r="G23" s="9" t="s">
        <v>20</v>
      </c>
      <c r="H23" s="23" t="s">
        <v>134</v>
      </c>
      <c r="I23" s="11" t="s">
        <v>135</v>
      </c>
      <c r="J23" s="11" t="s">
        <v>136</v>
      </c>
      <c r="K23" s="29" t="s">
        <v>137</v>
      </c>
      <c r="L23" s="12" t="s">
        <v>138</v>
      </c>
      <c r="M23" s="23" t="s">
        <v>29</v>
      </c>
    </row>
    <row r="24" spans="1:13" ht="36.75" customHeight="1">
      <c r="A24" s="9">
        <f t="shared" si="0"/>
        <v>20</v>
      </c>
      <c r="B24" s="10">
        <v>46130.478587962964</v>
      </c>
      <c r="C24" s="9" t="s">
        <v>141</v>
      </c>
      <c r="D24" s="9"/>
      <c r="E24" s="9" t="s">
        <v>142</v>
      </c>
      <c r="F24" s="23" t="s">
        <v>143</v>
      </c>
      <c r="G24" s="9" t="s">
        <v>20</v>
      </c>
      <c r="H24" s="23" t="s">
        <v>144</v>
      </c>
      <c r="I24" s="11" t="s">
        <v>22</v>
      </c>
      <c r="J24" s="11" t="s">
        <v>41</v>
      </c>
      <c r="K24" s="29" t="s">
        <v>145</v>
      </c>
      <c r="L24" s="12" t="s">
        <v>146</v>
      </c>
      <c r="M24" s="23" t="s">
        <v>181</v>
      </c>
    </row>
    <row r="25" spans="1:13" ht="36.75" customHeight="1">
      <c r="A25" s="9">
        <f t="shared" si="0"/>
        <v>21</v>
      </c>
      <c r="B25" s="10">
        <v>46130.442025462966</v>
      </c>
      <c r="C25" s="9" t="s">
        <v>147</v>
      </c>
      <c r="D25" s="9" t="s">
        <v>29</v>
      </c>
      <c r="E25" s="9" t="s">
        <v>148</v>
      </c>
      <c r="F25" s="23" t="s">
        <v>149</v>
      </c>
      <c r="G25" s="9" t="s">
        <v>20</v>
      </c>
      <c r="H25" s="23" t="s">
        <v>150</v>
      </c>
      <c r="I25" s="11" t="s">
        <v>151</v>
      </c>
      <c r="J25" s="11" t="s">
        <v>152</v>
      </c>
      <c r="K25" s="29" t="s">
        <v>153</v>
      </c>
      <c r="L25" s="12" t="s">
        <v>154</v>
      </c>
      <c r="M25" s="23" t="s">
        <v>29</v>
      </c>
    </row>
    <row r="26" spans="1:13" ht="36.75" customHeight="1">
      <c r="A26" s="9">
        <f t="shared" si="0"/>
        <v>22</v>
      </c>
      <c r="B26" s="10">
        <v>46126.637708333335</v>
      </c>
      <c r="C26" s="9" t="s">
        <v>155</v>
      </c>
      <c r="D26" s="9" t="s">
        <v>29</v>
      </c>
      <c r="E26" s="9" t="s">
        <v>156</v>
      </c>
      <c r="F26" s="23" t="s">
        <v>149</v>
      </c>
      <c r="G26" s="9" t="s">
        <v>20</v>
      </c>
      <c r="H26" s="23" t="s">
        <v>157</v>
      </c>
      <c r="I26" s="11" t="s">
        <v>158</v>
      </c>
      <c r="J26" s="11" t="s">
        <v>152</v>
      </c>
      <c r="K26" s="29" t="s">
        <v>159</v>
      </c>
      <c r="L26" s="12" t="s">
        <v>154</v>
      </c>
      <c r="M26" s="23" t="s">
        <v>184</v>
      </c>
    </row>
    <row r="27" spans="1:13" ht="36.75" customHeight="1">
      <c r="A27" s="13">
        <f t="shared" si="0"/>
        <v>23</v>
      </c>
      <c r="B27" s="14">
        <v>46118.497673611113</v>
      </c>
      <c r="C27" s="13" t="s">
        <v>160</v>
      </c>
      <c r="D27" s="13" t="s">
        <v>67</v>
      </c>
      <c r="E27" s="13" t="s">
        <v>161</v>
      </c>
      <c r="F27" s="24" t="s">
        <v>149</v>
      </c>
      <c r="G27" s="13" t="s">
        <v>20</v>
      </c>
      <c r="H27" s="24" t="s">
        <v>162</v>
      </c>
      <c r="I27" s="15" t="s">
        <v>163</v>
      </c>
      <c r="J27" s="15" t="s">
        <v>136</v>
      </c>
      <c r="K27" s="30" t="s">
        <v>159</v>
      </c>
      <c r="L27" s="16" t="s">
        <v>154</v>
      </c>
      <c r="M27" s="24" t="s">
        <v>180</v>
      </c>
    </row>
    <row r="28" spans="1:13" ht="36.75" customHeight="1">
      <c r="A28" s="17">
        <f t="shared" si="0"/>
        <v>24</v>
      </c>
      <c r="B28" s="18">
        <v>46123.698136574072</v>
      </c>
      <c r="C28" s="17" t="s">
        <v>164</v>
      </c>
      <c r="D28" s="17" t="s">
        <v>67</v>
      </c>
      <c r="E28" s="17" t="s">
        <v>165</v>
      </c>
      <c r="F28" s="25" t="s">
        <v>166</v>
      </c>
      <c r="G28" s="17" t="s">
        <v>20</v>
      </c>
      <c r="H28" s="25" t="s">
        <v>167</v>
      </c>
      <c r="I28" s="19" t="s">
        <v>168</v>
      </c>
      <c r="J28" s="19" t="s">
        <v>169</v>
      </c>
      <c r="K28" s="25" t="s">
        <v>170</v>
      </c>
      <c r="L28" s="17" t="s">
        <v>171</v>
      </c>
      <c r="M28" s="25" t="s">
        <v>185</v>
      </c>
    </row>
    <row r="29" spans="1:13" ht="36.75" customHeight="1">
      <c r="A29" s="17">
        <f t="shared" si="0"/>
        <v>25</v>
      </c>
      <c r="B29" s="18">
        <v>46111.697233796294</v>
      </c>
      <c r="C29" s="17" t="s">
        <v>172</v>
      </c>
      <c r="D29" s="17" t="s">
        <v>67</v>
      </c>
      <c r="E29" s="17" t="s">
        <v>173</v>
      </c>
      <c r="F29" s="25" t="s">
        <v>174</v>
      </c>
      <c r="G29" s="17" t="s">
        <v>20</v>
      </c>
      <c r="H29" s="25" t="s">
        <v>175</v>
      </c>
      <c r="I29" s="19" t="s">
        <v>176</v>
      </c>
      <c r="J29" s="19" t="s">
        <v>177</v>
      </c>
      <c r="K29" s="25" t="s">
        <v>178</v>
      </c>
      <c r="L29" s="17" t="s">
        <v>179</v>
      </c>
      <c r="M29" s="25" t="s">
        <v>184</v>
      </c>
    </row>
    <row r="30" spans="1:13" ht="42" customHeight="1">
      <c r="A30" s="17">
        <f t="shared" si="0"/>
        <v>26</v>
      </c>
      <c r="B30" s="20"/>
      <c r="C30" s="21">
        <v>299396</v>
      </c>
      <c r="D30" s="20"/>
      <c r="E30" s="21" t="s">
        <v>187</v>
      </c>
      <c r="F30" s="26">
        <v>220</v>
      </c>
      <c r="G30" s="21" t="s">
        <v>202</v>
      </c>
      <c r="H30" s="26" t="s">
        <v>204</v>
      </c>
      <c r="I30" s="21" t="s">
        <v>193</v>
      </c>
      <c r="J30" s="21" t="s">
        <v>194</v>
      </c>
      <c r="K30" s="26" t="s">
        <v>193</v>
      </c>
      <c r="L30" s="21" t="s">
        <v>195</v>
      </c>
      <c r="M30" s="31" t="s">
        <v>180</v>
      </c>
    </row>
    <row r="31" spans="1:13" ht="42" customHeight="1">
      <c r="A31" s="17">
        <f t="shared" si="0"/>
        <v>27</v>
      </c>
      <c r="B31" s="20"/>
      <c r="C31" s="21">
        <v>307571</v>
      </c>
      <c r="D31" s="20"/>
      <c r="E31" s="21" t="s">
        <v>188</v>
      </c>
      <c r="F31" s="26">
        <v>220</v>
      </c>
      <c r="G31" s="21" t="s">
        <v>202</v>
      </c>
      <c r="H31" s="26" t="s">
        <v>205</v>
      </c>
      <c r="I31" s="21" t="s">
        <v>193</v>
      </c>
      <c r="J31" s="21" t="s">
        <v>196</v>
      </c>
      <c r="K31" s="26" t="s">
        <v>193</v>
      </c>
      <c r="L31" s="21" t="s">
        <v>197</v>
      </c>
      <c r="M31" s="31" t="s">
        <v>180</v>
      </c>
    </row>
    <row r="32" spans="1:13" ht="42" customHeight="1">
      <c r="A32" s="17">
        <f t="shared" si="0"/>
        <v>28</v>
      </c>
      <c r="B32" s="20"/>
      <c r="C32" s="21">
        <v>297707</v>
      </c>
      <c r="D32" s="20"/>
      <c r="E32" s="21" t="s">
        <v>189</v>
      </c>
      <c r="F32" s="26">
        <v>400</v>
      </c>
      <c r="G32" s="21" t="s">
        <v>203</v>
      </c>
      <c r="H32" s="26" t="s">
        <v>206</v>
      </c>
      <c r="I32" s="21" t="s">
        <v>193</v>
      </c>
      <c r="J32" s="21" t="s">
        <v>196</v>
      </c>
      <c r="K32" s="26" t="s">
        <v>193</v>
      </c>
      <c r="L32" s="21" t="s">
        <v>195</v>
      </c>
      <c r="M32" s="31" t="s">
        <v>210</v>
      </c>
    </row>
    <row r="33" spans="1:13" ht="74.25" customHeight="1">
      <c r="A33" s="17">
        <f t="shared" si="0"/>
        <v>29</v>
      </c>
      <c r="B33" s="20"/>
      <c r="C33" s="21">
        <v>297749</v>
      </c>
      <c r="D33" s="20"/>
      <c r="E33" s="21" t="s">
        <v>190</v>
      </c>
      <c r="F33" s="26">
        <v>220</v>
      </c>
      <c r="G33" s="21" t="s">
        <v>203</v>
      </c>
      <c r="H33" s="26" t="s">
        <v>207</v>
      </c>
      <c r="I33" s="21" t="s">
        <v>193</v>
      </c>
      <c r="J33" s="21" t="s">
        <v>198</v>
      </c>
      <c r="K33" s="26" t="s">
        <v>193</v>
      </c>
      <c r="L33" s="21" t="s">
        <v>199</v>
      </c>
      <c r="M33" s="31" t="s">
        <v>180</v>
      </c>
    </row>
    <row r="34" spans="1:13" ht="48.75" customHeight="1">
      <c r="A34" s="17">
        <f t="shared" si="0"/>
        <v>30</v>
      </c>
      <c r="B34" s="20"/>
      <c r="C34" s="21">
        <v>298692</v>
      </c>
      <c r="D34" s="20"/>
      <c r="E34" s="21" t="s">
        <v>191</v>
      </c>
      <c r="F34" s="26">
        <v>400</v>
      </c>
      <c r="G34" s="21" t="s">
        <v>203</v>
      </c>
      <c r="H34" s="26" t="s">
        <v>208</v>
      </c>
      <c r="I34" s="21" t="s">
        <v>193</v>
      </c>
      <c r="J34" s="21" t="s">
        <v>200</v>
      </c>
      <c r="K34" s="26" t="s">
        <v>193</v>
      </c>
      <c r="L34" s="21" t="s">
        <v>201</v>
      </c>
      <c r="M34" s="31" t="s">
        <v>180</v>
      </c>
    </row>
    <row r="35" spans="1:13" ht="42" customHeight="1">
      <c r="A35" s="17">
        <f t="shared" si="0"/>
        <v>31</v>
      </c>
      <c r="B35" s="20"/>
      <c r="C35" s="21">
        <v>297706</v>
      </c>
      <c r="D35" s="20"/>
      <c r="E35" s="21" t="s">
        <v>192</v>
      </c>
      <c r="F35" s="26">
        <v>400</v>
      </c>
      <c r="G35" s="21" t="s">
        <v>203</v>
      </c>
      <c r="H35" s="26" t="s">
        <v>209</v>
      </c>
      <c r="I35" s="21" t="s">
        <v>193</v>
      </c>
      <c r="J35" s="21" t="s">
        <v>196</v>
      </c>
      <c r="K35" s="26" t="s">
        <v>193</v>
      </c>
      <c r="L35" s="21" t="s">
        <v>195</v>
      </c>
      <c r="M35" s="31" t="s">
        <v>210</v>
      </c>
    </row>
    <row r="36" spans="1:13" ht="36.75" customHeight="1">
      <c r="A36" s="17">
        <f t="shared" si="0"/>
        <v>32</v>
      </c>
      <c r="B36" s="20"/>
      <c r="C36" s="20"/>
      <c r="D36" s="20"/>
      <c r="E36" s="20"/>
      <c r="F36" s="27"/>
      <c r="G36" s="20"/>
      <c r="H36" s="27"/>
      <c r="I36" s="20"/>
      <c r="J36" s="20"/>
      <c r="K36" s="27"/>
      <c r="L36" s="20"/>
      <c r="M36" s="27"/>
    </row>
    <row r="37" spans="1:13" ht="36.75" customHeight="1">
      <c r="A37" s="17">
        <f t="shared" si="0"/>
        <v>33</v>
      </c>
      <c r="B37" s="20"/>
      <c r="C37" s="20"/>
      <c r="D37" s="20"/>
      <c r="E37" s="20"/>
      <c r="F37" s="27"/>
      <c r="G37" s="20"/>
      <c r="H37" s="27"/>
      <c r="I37" s="20"/>
      <c r="J37" s="20"/>
      <c r="K37" s="27"/>
      <c r="L37" s="20"/>
      <c r="M37" s="27"/>
    </row>
    <row r="38" spans="1:13" ht="36.75" customHeight="1">
      <c r="A38" s="17">
        <f t="shared" si="0"/>
        <v>34</v>
      </c>
      <c r="B38" s="20"/>
      <c r="C38" s="20"/>
      <c r="D38" s="20"/>
      <c r="E38" s="20"/>
      <c r="F38" s="27"/>
      <c r="G38" s="20"/>
      <c r="H38" s="27"/>
      <c r="I38" s="20"/>
      <c r="J38" s="20"/>
      <c r="K38" s="27"/>
      <c r="L38" s="20"/>
      <c r="M38" s="27"/>
    </row>
    <row r="39" spans="1:13" ht="36.75" customHeight="1">
      <c r="A39" s="20"/>
      <c r="B39" s="20"/>
      <c r="C39" s="20"/>
      <c r="D39" s="20"/>
      <c r="E39" s="20"/>
      <c r="F39" s="27"/>
      <c r="G39" s="20"/>
      <c r="H39" s="27"/>
      <c r="I39" s="20"/>
      <c r="J39" s="20"/>
      <c r="K39" s="27"/>
      <c r="L39" s="20"/>
      <c r="M39" s="27"/>
    </row>
    <row r="40" spans="1:13" ht="36.75" customHeight="1">
      <c r="A40" s="20"/>
      <c r="B40" s="20"/>
      <c r="C40" s="20"/>
      <c r="D40" s="20"/>
      <c r="E40" s="20"/>
      <c r="F40" s="27"/>
      <c r="G40" s="20"/>
      <c r="H40" s="27"/>
      <c r="I40" s="20"/>
      <c r="J40" s="20"/>
      <c r="K40" s="27"/>
      <c r="L40" s="20"/>
      <c r="M40" s="27"/>
    </row>
    <row r="41" spans="1:13" ht="36.75" customHeight="1">
      <c r="A41" s="20"/>
      <c r="B41" s="20"/>
      <c r="C41" s="20"/>
      <c r="D41" s="20"/>
      <c r="E41" s="20"/>
      <c r="F41" s="27"/>
      <c r="G41" s="20"/>
      <c r="H41" s="27"/>
      <c r="I41" s="20"/>
      <c r="J41" s="20"/>
      <c r="K41" s="27"/>
      <c r="L41" s="20"/>
      <c r="M41" s="27"/>
    </row>
    <row r="42" spans="1:13" ht="36.75" customHeight="1">
      <c r="A42" s="20"/>
      <c r="B42" s="20"/>
      <c r="C42" s="20"/>
      <c r="D42" s="20"/>
      <c r="E42" s="20"/>
      <c r="F42" s="27"/>
      <c r="G42" s="20"/>
      <c r="H42" s="27"/>
      <c r="I42" s="20"/>
      <c r="J42" s="20"/>
      <c r="K42" s="27"/>
      <c r="L42" s="20"/>
      <c r="M42" s="27"/>
    </row>
    <row r="43" spans="1:13" ht="36.75" customHeight="1">
      <c r="A43" s="20"/>
      <c r="B43" s="20"/>
      <c r="C43" s="20"/>
      <c r="D43" s="20"/>
      <c r="E43" s="20"/>
      <c r="F43" s="27"/>
      <c r="G43" s="20"/>
      <c r="H43" s="27"/>
      <c r="I43" s="20"/>
      <c r="J43" s="20"/>
      <c r="K43" s="27"/>
      <c r="L43" s="20"/>
      <c r="M43" s="27"/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2026-04-19T12:22:44Z</dcterms:created>
  <dcterms:modified xsi:type="dcterms:W3CDTF">2026-04-19T13:49:42Z</dcterms:modified>
</cp:coreProperties>
</file>
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0730" windowHeight="11160"/>
  </bookViews>
  <sheets>
    <sheet name="Sheet0" sheetId="1" r:id="rId1"/>
  </sheets>
  <definedNames>
    <definedName name="__bookmark_1">Sheet0!$A$1:$M$23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4" i="1" l="1"/>
  <c r="A25" i="1"/>
  <c r="A26" i="1" s="1"/>
  <c r="A27" i="1" s="1"/>
  <c r="A28" i="1" s="1"/>
  <c r="A29" i="1" s="1"/>
  <c r="A16" i="1" l="1"/>
  <c r="A17" i="1"/>
  <c r="A18" i="1" s="1"/>
  <c r="A19" i="1" s="1"/>
  <c r="A20" i="1" s="1"/>
  <c r="A21" i="1" s="1"/>
  <c r="A22" i="1" s="1"/>
  <c r="A23" i="1" s="1"/>
  <c r="A7" i="1"/>
  <c r="A8" i="1"/>
  <c r="A9" i="1"/>
  <c r="A10" i="1" s="1"/>
  <c r="A11" i="1" s="1"/>
  <c r="A12" i="1" s="1"/>
  <c r="A13" i="1" s="1"/>
  <c r="A14" i="1" s="1"/>
  <c r="A15" i="1" s="1"/>
  <c r="A6" i="1"/>
</calcChain>
</file>

<file path=xl/sharedStrings.xml><?xml version="1.0" encoding="utf-8"?>
<sst xmlns="http://schemas.openxmlformats.org/spreadsheetml/2006/main" count="269" uniqueCount="156">
  <si>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</si>
  <si>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</si>
  <si>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</si>
  <si>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</si>
  <si>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</si>
  <si>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</si>
  <si>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</si>
  <si>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</si>
  <si>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</si>
  <si>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</si>
  <si>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</si>
  <si>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</si>
  <si>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</si>
  <si>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</si>
  <si>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</si>
  <si>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</si>
  <si>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</si>
  <si>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MR2603/0425</t>
  </si>
  <si>
    <t>220KV_160 MVA BHEL TRANSFORMER</t>
  </si>
  <si>
    <t>220KV_BINA</t>
  </si>
  <si>
    <t>NON-OCCM-MP</t>
  </si>
  <si>
    <t>PREMONSOON MAINTENANCE AND TESTING WORK</t>
  </si>
  <si>
    <t>20-03-2026 09:30:00</t>
  </si>
  <si>
    <t>20-03-2026 18:00:00</t>
  </si>
  <si>
    <t>ER. BHUPENDRA KHAWSE</t>
  </si>
  <si>
    <t>9425806471</t>
  </si>
  <si>
    <t>MR2603/0426</t>
  </si>
  <si>
    <t>220KV_220KV JABALPUR CKT-1</t>
  </si>
  <si>
    <t>220KV_BIRSINGHPUR</t>
  </si>
  <si>
    <t>PRE MONSOON MAINTENANCE WORK</t>
  </si>
  <si>
    <t>20-03-2026 10:00:00</t>
  </si>
  <si>
    <t>TOSHAN SINGH</t>
  </si>
  <si>
    <t>9425809482</t>
  </si>
  <si>
    <t>Continuous</t>
  </si>
  <si>
    <t>132KV_HATTA</t>
  </si>
  <si>
    <t>9425805067</t>
  </si>
  <si>
    <t>MR2601/0438</t>
  </si>
  <si>
    <t>Daily</t>
  </si>
  <si>
    <t>132KV_132KV HATTA-BIJAWAR</t>
  </si>
  <si>
    <t>Replacement of ACSR Panther Conductor with HTLS</t>
  </si>
  <si>
    <t>29-01-2026 09:00:00</t>
  </si>
  <si>
    <t>25-04-2026 18:00:00</t>
  </si>
  <si>
    <t>M.M. Baig</t>
  </si>
  <si>
    <t>MR2603/0282</t>
  </si>
  <si>
    <t>400KV_UNIT#08</t>
  </si>
  <si>
    <t>400KV_INDIRASAGAR</t>
  </si>
  <si>
    <t>NON-OCCM-WR</t>
  </si>
  <si>
    <t>ANNUAL MAINTENANCE</t>
  </si>
  <si>
    <t>16-03-2026 06:00:00</t>
  </si>
  <si>
    <t>31-03-2026 18:00:00</t>
  </si>
  <si>
    <t>SANJAY PATEL</t>
  </si>
  <si>
    <t>9575074321</t>
  </si>
  <si>
    <t>MR2603/0414</t>
  </si>
  <si>
    <t>220KV_220 kV Jabalpur- Narsinghpur ckt-II</t>
  </si>
  <si>
    <t>220KV_JABALPUR</t>
  </si>
  <si>
    <t>Tower errection at Loc. No. 27R, 27R1, 28R, 29R</t>
  </si>
  <si>
    <t>19-03-2026 08:00:00</t>
  </si>
  <si>
    <t>25-03-2026 19:00:00</t>
  </si>
  <si>
    <t>Jitendra Tiwari</t>
  </si>
  <si>
    <t>9425805298</t>
  </si>
  <si>
    <t>14-03-2026 10:00:00</t>
  </si>
  <si>
    <t>MR2603/0247</t>
  </si>
  <si>
    <t>220KV_220 kV Jabalpur- Narsinghpur ckt-I</t>
  </si>
  <si>
    <t>MR2603/0316</t>
  </si>
  <si>
    <t>220KV_220  kv Satna (PGCIL)  â¿¿  Maihar line</t>
  </si>
  <si>
    <t>220KV_MAIHAR</t>
  </si>
  <si>
    <t>Double  fitting work</t>
  </si>
  <si>
    <t>17-03-2026 08:00:00</t>
  </si>
  <si>
    <t>Mr. R.K.Prajapati</t>
  </si>
  <si>
    <t>9407070182</t>
  </si>
  <si>
    <t>132KV_132 KV Narsinghpur-Interconnector Line Ckt-II</t>
  </si>
  <si>
    <t>220KV_NARSINGHPUR</t>
  </si>
  <si>
    <t>Uprating the capacity of 132 KV Transmission Lines</t>
  </si>
  <si>
    <t>31-03-2026 17:00:00</t>
  </si>
  <si>
    <t>Ashish Kumar</t>
  </si>
  <si>
    <t>9425805935</t>
  </si>
  <si>
    <t>MR2603/0256</t>
  </si>
  <si>
    <t>18-03-2026 08:00:00</t>
  </si>
  <si>
    <t>MR2603/0230</t>
  </si>
  <si>
    <t>220KV_Generating Unit No.08</t>
  </si>
  <si>
    <t>220KV_OMKARESHWAR</t>
  </si>
  <si>
    <t>Annual maintenance</t>
  </si>
  <si>
    <t>16-03-2026 10:00:00</t>
  </si>
  <si>
    <t>30-03-2026 18:00:00</t>
  </si>
  <si>
    <t>Sh. M. S. Karunakar</t>
  </si>
  <si>
    <t>7898703187</t>
  </si>
  <si>
    <t>MR2603/0314</t>
  </si>
  <si>
    <t>400KV_400KV SSTPH Pithampur ckt-2</t>
  </si>
  <si>
    <t>400KV_PITHAMPUR4</t>
  </si>
  <si>
    <t>Tower Restrengthening work on cross arm.</t>
  </si>
  <si>
    <t>Naresh Pandre</t>
  </si>
  <si>
    <t>9425806905</t>
  </si>
  <si>
    <t>MR2603/0313</t>
  </si>
  <si>
    <t>400KV_400KV SSTPH Pithampur ckt 1</t>
  </si>
  <si>
    <t>MR2603/0419</t>
  </si>
  <si>
    <t>132KV_132kV Raghogarh Rajgarh line</t>
  </si>
  <si>
    <t>132KV_RAGHOGARH</t>
  </si>
  <si>
    <t>For DF/O replacement &amp; other line Maint work</t>
  </si>
  <si>
    <t>Akhilesh Singh</t>
  </si>
  <si>
    <t>8586865656</t>
  </si>
  <si>
    <t>MR2603/0317</t>
  </si>
  <si>
    <t>220KV_220  kv Satna (MPPTCL)  â¿¿  Katni line</t>
  </si>
  <si>
    <t>220KV_SATNA</t>
  </si>
  <si>
    <t>Mr.R.K.Prajapati</t>
  </si>
  <si>
    <t>MR2603/0428</t>
  </si>
  <si>
    <t>220KV_220 KV PGCIL CKT-2ND</t>
  </si>
  <si>
    <t>220KV_SHUJALPUR</t>
  </si>
  <si>
    <t>Due to Main bus shutdown</t>
  </si>
  <si>
    <t>20-03-2026 12:00:00</t>
  </si>
  <si>
    <t>20-03-2026 17:00:00</t>
  </si>
  <si>
    <t>N.N. Verma</t>
  </si>
  <si>
    <t>9881559007</t>
  </si>
  <si>
    <t>MR2603/0429</t>
  </si>
  <si>
    <t>220KV_160 MVA XMER 1st BHEL</t>
  </si>
  <si>
    <t>7587951076</t>
  </si>
  <si>
    <t>MR2603/0431</t>
  </si>
  <si>
    <t>220KV_160 MVA XMER -3rd CGL</t>
  </si>
  <si>
    <t>MR2603/0427</t>
  </si>
  <si>
    <t>220KV_220KV PGCIL CKT-1st</t>
  </si>
  <si>
    <t>MR2603/0430</t>
  </si>
  <si>
    <t>220KV_160 MVA XMER -2nd BHEL</t>
  </si>
  <si>
    <t>MR2603/0337</t>
  </si>
  <si>
    <t>132KV_132kV Vidisha-Sanchi Rly. Tr.-I</t>
  </si>
  <si>
    <t>220KV_VIDISHA</t>
  </si>
  <si>
    <t>For modification/shifting work of line.</t>
  </si>
  <si>
    <t>17-03-2026 09:00:00</t>
  </si>
  <si>
    <t>21-03-2026 18:00:00</t>
  </si>
  <si>
    <t>Rajkumar Bhusare</t>
  </si>
  <si>
    <t>9425820042</t>
  </si>
  <si>
    <t>ok, through sub ld</t>
  </si>
  <si>
    <t>ok</t>
  </si>
  <si>
    <t>as per system availability</t>
  </si>
  <si>
    <t>deferred, not in WR list</t>
  </si>
  <si>
    <t>sub ld</t>
  </si>
  <si>
    <t>deferred, as 220 KV PGCIL CKT-1 &amp; 2 are not approved in WR list</t>
  </si>
  <si>
    <t>APPROVED OUTAGE LIST FOR DTD.20.03.26</t>
  </si>
  <si>
    <t>SATNA - 220KV - BUS 1</t>
  </si>
  <si>
    <t>400KV-NAGDA-DEHGAM-2</t>
  </si>
  <si>
    <t>400KV/220KV ITARSI-ICT-1</t>
  </si>
  <si>
    <t>220KV-MORENA-MALANPUR-1</t>
  </si>
  <si>
    <t>220KV-INDORE-UJJAIN-2</t>
  </si>
  <si>
    <t>20-Mar-2026</t>
  </si>
  <si>
    <t>09:00</t>
  </si>
  <si>
    <t>18:00</t>
  </si>
  <si>
    <t>07:00</t>
  </si>
  <si>
    <t>19:00</t>
  </si>
  <si>
    <t>17:00</t>
  </si>
  <si>
    <t>08:00</t>
  </si>
  <si>
    <t>real time</t>
  </si>
  <si>
    <t>For testing &amp; integration of Bay no. 213 (Main bay of upcoming 400/220KV ICT-4 on 220KV Side)</t>
  </si>
  <si>
    <t>For KITE THREAD REMOVAL. Dia to be kept open at both ends</t>
  </si>
  <si>
    <t>LINE REACTOR DIFFRENTIAL RELAY REPLACEMENT WORK at dehgam ss and LINE REACTOR AMP WORK  at nagda end.</t>
  </si>
  <si>
    <t>For Air cell discharge checking and 220kv Side CT Hot Spot attending works, Dia to be kept open at both sides.</t>
  </si>
  <si>
    <t>FOR LINE MAINTENANCE WORK i.e. CLEANING OF DISC INSULATORS DURING LINE PATROLLING , REPLACEMENT OF FLASHOVERED DISC INSULATORS, TREE BRANCH CUTTING ETC AT VARIOUS TOWER LOCATIONS</t>
  </si>
  <si>
    <t>OCCM-WR</t>
  </si>
  <si>
    <t>S/I ,SLDC MPPTCL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</si>
</sst>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13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0"/>
      <color rgb="FF000000"/>
      <name val="Arial"/>
      <family val="2"/>
    </font>
    <font>
      <b/>
      <sz val="14"/>
      <color rgb="FF000000"/>
      <name val="Arial"/>
      <family val="2"/>
    </font>
    <font>
      <b/>
      <sz val="20"/>
      <color rgb="FF000000"/>
      <name val="Arial"/>
      <family val="2"/>
    </font>
    <font>
      <sz val="20"/>
      <name val="Calibri"/>
      <family val="2"/>
    </font>
    <font>
      <sz val="12"/>
      <color indexed="8"/>
      <name val="Calibri"/>
      <family val="2"/>
      <scheme val="minor"/>
    </font>
    <font>
      <sz val="12"/>
      <name val="Calibri"/>
      <family val="2"/>
    </font>
    <font>
      <b/>
      <sz val="22"/>
      <color rgb="FF000000"/>
      <name val="Arial"/>
      <family val="2"/>
    </font>
    <font>
      <sz val="11"/>
      <color rgb="FF000000"/>
      <name val="Arial"/>
      <family val="2"/>
    </font>
    <font>
      <sz val="14"/>
      <color rgb="FF000000"/>
      <name val="Arial"/>
      <family val="2"/>
    </font>
    <font>
      <sz val="14"/>
      <color indexed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6" fillId="0" borderId="2" xfId="0" applyFont="1" applyBorder="1"/>
    <xf numFmtId="0" fontId="6" fillId="0" borderId="3" xfId="0" applyFont="1" applyBorder="1"/>
    <xf numFmtId="0" fontId="0" fillId="0" borderId="0" xfId="0" applyAlignment="1">
      <alignment wrapText="1"/>
    </xf>
    <xf numFmtId="0" fontId="7" fillId="0" borderId="0" xfId="0" applyFont="1" applyAlignment="1">
      <alignment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wrapText="1"/>
    </xf>
    <xf numFmtId="164" fontId="4" fillId="2" borderId="1" xfId="0" applyNumberFormat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164" fontId="11" fillId="0" borderId="1" xfId="0" applyNumberFormat="1" applyFont="1" applyBorder="1" applyAlignment="1">
      <alignment horizontal="center" vertical="center" wrapText="1"/>
    </xf>
    <xf numFmtId="165" fontId="11" fillId="0" borderId="1" xfId="0" applyNumberFormat="1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2" fillId="0" borderId="0" xfId="0" applyFont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0</xdr:row>
      <xdr:rowOff>561228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8"/>
  <sheetViews>
    <sheetView tabSelected="1" topLeftCell="A19" zoomScale="70" zoomScaleNormal="70" workbookViewId="0">
      <selection activeCell="P26" sqref="P26"/>
    </sheetView>
  </sheetViews>
  <sheetFormatPr defaultRowHeight="15" x14ac:dyDescent="0.25"/>
  <cols>
    <col min="2" max="2" width="14.85546875" customWidth="1"/>
    <col min="3" max="3" width="13.42578125" customWidth="1"/>
    <col min="4" max="4" width="11" customWidth="1"/>
    <col min="5" max="5" width="49" customWidth="1"/>
    <col min="6" max="6" width="35" customWidth="1"/>
    <col min="7" max="7" width="16.140625" customWidth="1"/>
    <col min="8" max="8" width="51.5703125" customWidth="1"/>
    <col min="9" max="9" width="19.5703125" customWidth="1"/>
    <col min="10" max="10" width="23" customWidth="1"/>
    <col min="11" max="11" width="26.5703125" customWidth="1"/>
    <col min="12" max="12" width="12" customWidth="1"/>
    <col min="13" max="13" width="45" style="12" customWidth="1"/>
  </cols>
  <sheetData>
    <row r="1" spans="1:13" ht="68.25" customHeight="1" x14ac:dyDescent="0.4">
      <c r="A1" s="1"/>
      <c r="B1" s="9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1"/>
    </row>
    <row r="2" spans="1:13" s="13" customFormat="1" ht="60" customHeight="1" x14ac:dyDescent="0.25">
      <c r="A2" s="7" t="s">
        <v>1</v>
      </c>
      <c r="B2" s="17">
        <v>46101</v>
      </c>
      <c r="C2" s="7"/>
      <c r="D2" s="7"/>
      <c r="E2" s="25" t="s">
        <v>135</v>
      </c>
      <c r="F2" s="26"/>
      <c r="G2" s="26"/>
      <c r="H2" s="26"/>
      <c r="I2" s="26"/>
      <c r="J2" s="26"/>
      <c r="K2" s="26"/>
      <c r="L2" s="27"/>
      <c r="M2" s="7"/>
    </row>
    <row r="3" spans="1:13" s="13" customFormat="1" ht="42" customHeight="1" x14ac:dyDescent="0.25">
      <c r="A3" s="14" t="s">
        <v>2</v>
      </c>
      <c r="B3" s="14" t="s">
        <v>3</v>
      </c>
      <c r="C3" s="14" t="s">
        <v>4</v>
      </c>
      <c r="D3" s="14" t="s">
        <v>3</v>
      </c>
      <c r="E3" s="7"/>
      <c r="F3" s="7"/>
      <c r="G3" s="7"/>
      <c r="H3" s="7"/>
      <c r="I3" s="7"/>
      <c r="J3" s="7"/>
      <c r="K3" s="7"/>
      <c r="L3" s="7"/>
      <c r="M3" s="7"/>
    </row>
    <row r="4" spans="1:13" s="13" customFormat="1" ht="42" customHeight="1" x14ac:dyDescent="0.25">
      <c r="A4" s="14" t="s">
        <v>5</v>
      </c>
      <c r="B4" s="14" t="s">
        <v>6</v>
      </c>
      <c r="C4" s="14" t="s">
        <v>7</v>
      </c>
      <c r="D4" s="14" t="s">
        <v>8</v>
      </c>
      <c r="E4" s="14" t="s">
        <v>9</v>
      </c>
      <c r="F4" s="14" t="s">
        <v>10</v>
      </c>
      <c r="G4" s="14" t="s">
        <v>11</v>
      </c>
      <c r="H4" s="14" t="s">
        <v>12</v>
      </c>
      <c r="I4" s="14" t="s">
        <v>13</v>
      </c>
      <c r="J4" s="14" t="s">
        <v>14</v>
      </c>
      <c r="K4" s="15" t="s">
        <v>15</v>
      </c>
      <c r="L4" s="16"/>
      <c r="M4" s="14" t="s">
        <v>16</v>
      </c>
    </row>
    <row r="5" spans="1:13" s="24" customFormat="1" ht="53.25" customHeight="1" x14ac:dyDescent="0.3">
      <c r="A5" s="19">
        <v>1</v>
      </c>
      <c r="B5" s="20">
        <v>46100.390439814815</v>
      </c>
      <c r="C5" s="19" t="s">
        <v>17</v>
      </c>
      <c r="D5" s="19"/>
      <c r="E5" s="19" t="s">
        <v>18</v>
      </c>
      <c r="F5" s="19" t="s">
        <v>19</v>
      </c>
      <c r="G5" s="19" t="s">
        <v>20</v>
      </c>
      <c r="H5" s="19" t="s">
        <v>21</v>
      </c>
      <c r="I5" s="21" t="s">
        <v>22</v>
      </c>
      <c r="J5" s="21" t="s">
        <v>23</v>
      </c>
      <c r="K5" s="22" t="s">
        <v>24</v>
      </c>
      <c r="L5" s="23" t="s">
        <v>25</v>
      </c>
      <c r="M5" s="19" t="s">
        <v>129</v>
      </c>
    </row>
    <row r="6" spans="1:13" s="24" customFormat="1" ht="53.25" customHeight="1" x14ac:dyDescent="0.3">
      <c r="A6" s="19">
        <f>A5+1</f>
        <v>2</v>
      </c>
      <c r="B6" s="20">
        <v>46100.412939814814</v>
      </c>
      <c r="C6" s="19" t="s">
        <v>26</v>
      </c>
      <c r="D6" s="19"/>
      <c r="E6" s="19" t="s">
        <v>27</v>
      </c>
      <c r="F6" s="19" t="s">
        <v>28</v>
      </c>
      <c r="G6" s="19" t="s">
        <v>20</v>
      </c>
      <c r="H6" s="19" t="s">
        <v>29</v>
      </c>
      <c r="I6" s="21" t="s">
        <v>30</v>
      </c>
      <c r="J6" s="21" t="s">
        <v>23</v>
      </c>
      <c r="K6" s="22" t="s">
        <v>31</v>
      </c>
      <c r="L6" s="23" t="s">
        <v>32</v>
      </c>
      <c r="M6" s="19" t="s">
        <v>130</v>
      </c>
    </row>
    <row r="7" spans="1:13" s="24" customFormat="1" ht="53.25" customHeight="1" x14ac:dyDescent="0.3">
      <c r="A7" s="19">
        <f t="shared" ref="A7:A29" si="0">A6+1</f>
        <v>3</v>
      </c>
      <c r="B7" s="20">
        <v>46050.577592592592</v>
      </c>
      <c r="C7" s="19" t="s">
        <v>36</v>
      </c>
      <c r="D7" s="19" t="s">
        <v>37</v>
      </c>
      <c r="E7" s="19" t="s">
        <v>38</v>
      </c>
      <c r="F7" s="19" t="s">
        <v>34</v>
      </c>
      <c r="G7" s="19" t="s">
        <v>20</v>
      </c>
      <c r="H7" s="19" t="s">
        <v>39</v>
      </c>
      <c r="I7" s="21" t="s">
        <v>40</v>
      </c>
      <c r="J7" s="21" t="s">
        <v>41</v>
      </c>
      <c r="K7" s="22" t="s">
        <v>42</v>
      </c>
      <c r="L7" s="23" t="s">
        <v>35</v>
      </c>
      <c r="M7" s="19" t="s">
        <v>130</v>
      </c>
    </row>
    <row r="8" spans="1:13" s="24" customFormat="1" ht="53.25" customHeight="1" x14ac:dyDescent="0.3">
      <c r="A8" s="19">
        <f t="shared" si="0"/>
        <v>4</v>
      </c>
      <c r="B8" s="20">
        <v>46095.523935185185</v>
      </c>
      <c r="C8" s="19" t="s">
        <v>43</v>
      </c>
      <c r="D8" s="19" t="s">
        <v>33</v>
      </c>
      <c r="E8" s="19" t="s">
        <v>44</v>
      </c>
      <c r="F8" s="19" t="s">
        <v>45</v>
      </c>
      <c r="G8" s="19" t="s">
        <v>46</v>
      </c>
      <c r="H8" s="19" t="s">
        <v>47</v>
      </c>
      <c r="I8" s="21" t="s">
        <v>48</v>
      </c>
      <c r="J8" s="21" t="s">
        <v>49</v>
      </c>
      <c r="K8" s="22" t="s">
        <v>50</v>
      </c>
      <c r="L8" s="23" t="s">
        <v>51</v>
      </c>
      <c r="M8" s="19" t="s">
        <v>131</v>
      </c>
    </row>
    <row r="9" spans="1:13" s="24" customFormat="1" ht="53.25" customHeight="1" x14ac:dyDescent="0.3">
      <c r="A9" s="19">
        <f t="shared" si="0"/>
        <v>5</v>
      </c>
      <c r="B9" s="20">
        <v>46099.536562499998</v>
      </c>
      <c r="C9" s="19" t="s">
        <v>52</v>
      </c>
      <c r="D9" s="19" t="s">
        <v>37</v>
      </c>
      <c r="E9" s="19" t="s">
        <v>53</v>
      </c>
      <c r="F9" s="19" t="s">
        <v>54</v>
      </c>
      <c r="G9" s="19" t="s">
        <v>20</v>
      </c>
      <c r="H9" s="19" t="s">
        <v>55</v>
      </c>
      <c r="I9" s="21" t="s">
        <v>56</v>
      </c>
      <c r="J9" s="21" t="s">
        <v>57</v>
      </c>
      <c r="K9" s="22" t="s">
        <v>58</v>
      </c>
      <c r="L9" s="23" t="s">
        <v>59</v>
      </c>
      <c r="M9" s="19" t="s">
        <v>130</v>
      </c>
    </row>
    <row r="10" spans="1:13" s="24" customFormat="1" ht="53.25" customHeight="1" x14ac:dyDescent="0.3">
      <c r="A10" s="19">
        <f t="shared" si="0"/>
        <v>6</v>
      </c>
      <c r="B10" s="20">
        <v>46094.559374999997</v>
      </c>
      <c r="C10" s="19" t="s">
        <v>61</v>
      </c>
      <c r="D10" s="19" t="s">
        <v>33</v>
      </c>
      <c r="E10" s="19" t="s">
        <v>62</v>
      </c>
      <c r="F10" s="19" t="s">
        <v>54</v>
      </c>
      <c r="G10" s="19" t="s">
        <v>20</v>
      </c>
      <c r="H10" s="19" t="s">
        <v>55</v>
      </c>
      <c r="I10" s="21" t="s">
        <v>60</v>
      </c>
      <c r="J10" s="21" t="s">
        <v>57</v>
      </c>
      <c r="K10" s="22" t="s">
        <v>58</v>
      </c>
      <c r="L10" s="23" t="s">
        <v>59</v>
      </c>
      <c r="M10" s="19" t="s">
        <v>33</v>
      </c>
    </row>
    <row r="11" spans="1:13" s="24" customFormat="1" ht="53.25" customHeight="1" x14ac:dyDescent="0.3">
      <c r="A11" s="19">
        <f t="shared" si="0"/>
        <v>7</v>
      </c>
      <c r="B11" s="20">
        <v>46097.470451388886</v>
      </c>
      <c r="C11" s="19" t="s">
        <v>63</v>
      </c>
      <c r="D11" s="19" t="s">
        <v>37</v>
      </c>
      <c r="E11" s="19" t="s">
        <v>64</v>
      </c>
      <c r="F11" s="19" t="s">
        <v>65</v>
      </c>
      <c r="G11" s="19" t="s">
        <v>20</v>
      </c>
      <c r="H11" s="19" t="s">
        <v>66</v>
      </c>
      <c r="I11" s="21" t="s">
        <v>67</v>
      </c>
      <c r="J11" s="21" t="s">
        <v>49</v>
      </c>
      <c r="K11" s="22" t="s">
        <v>68</v>
      </c>
      <c r="L11" s="23" t="s">
        <v>69</v>
      </c>
      <c r="M11" s="19" t="s">
        <v>132</v>
      </c>
    </row>
    <row r="12" spans="1:13" s="24" customFormat="1" ht="53.25" customHeight="1" x14ac:dyDescent="0.3">
      <c r="A12" s="19">
        <f t="shared" si="0"/>
        <v>8</v>
      </c>
      <c r="B12" s="20">
        <v>46094.592499999999</v>
      </c>
      <c r="C12" s="19" t="s">
        <v>76</v>
      </c>
      <c r="D12" s="19" t="s">
        <v>33</v>
      </c>
      <c r="E12" s="19" t="s">
        <v>70</v>
      </c>
      <c r="F12" s="19" t="s">
        <v>71</v>
      </c>
      <c r="G12" s="19" t="s">
        <v>20</v>
      </c>
      <c r="H12" s="19" t="s">
        <v>72</v>
      </c>
      <c r="I12" s="21" t="s">
        <v>77</v>
      </c>
      <c r="J12" s="21" t="s">
        <v>73</v>
      </c>
      <c r="K12" s="22" t="s">
        <v>74</v>
      </c>
      <c r="L12" s="23" t="s">
        <v>75</v>
      </c>
      <c r="M12" s="19" t="s">
        <v>33</v>
      </c>
    </row>
    <row r="13" spans="1:13" s="24" customFormat="1" ht="53.25" customHeight="1" x14ac:dyDescent="0.3">
      <c r="A13" s="19">
        <f t="shared" si="0"/>
        <v>9</v>
      </c>
      <c r="B13" s="20">
        <v>46093.757233796299</v>
      </c>
      <c r="C13" s="19" t="s">
        <v>78</v>
      </c>
      <c r="D13" s="19" t="s">
        <v>33</v>
      </c>
      <c r="E13" s="19" t="s">
        <v>79</v>
      </c>
      <c r="F13" s="19" t="s">
        <v>80</v>
      </c>
      <c r="G13" s="19" t="s">
        <v>46</v>
      </c>
      <c r="H13" s="19" t="s">
        <v>81</v>
      </c>
      <c r="I13" s="21" t="s">
        <v>82</v>
      </c>
      <c r="J13" s="21" t="s">
        <v>83</v>
      </c>
      <c r="K13" s="22" t="s">
        <v>84</v>
      </c>
      <c r="L13" s="23" t="s">
        <v>85</v>
      </c>
      <c r="M13" s="19" t="s">
        <v>131</v>
      </c>
    </row>
    <row r="14" spans="1:13" s="24" customFormat="1" ht="53.25" customHeight="1" x14ac:dyDescent="0.3">
      <c r="A14" s="19">
        <f t="shared" si="0"/>
        <v>10</v>
      </c>
      <c r="B14" s="20">
        <v>46096.847037037034</v>
      </c>
      <c r="C14" s="19" t="s">
        <v>86</v>
      </c>
      <c r="D14" s="19" t="s">
        <v>33</v>
      </c>
      <c r="E14" s="19" t="s">
        <v>87</v>
      </c>
      <c r="F14" s="19" t="s">
        <v>88</v>
      </c>
      <c r="G14" s="19" t="s">
        <v>20</v>
      </c>
      <c r="H14" s="19" t="s">
        <v>89</v>
      </c>
      <c r="I14" s="21" t="s">
        <v>67</v>
      </c>
      <c r="J14" s="21" t="s">
        <v>49</v>
      </c>
      <c r="K14" s="22" t="s">
        <v>90</v>
      </c>
      <c r="L14" s="23" t="s">
        <v>91</v>
      </c>
      <c r="M14" s="19" t="s">
        <v>33</v>
      </c>
    </row>
    <row r="15" spans="1:13" s="24" customFormat="1" ht="53.25" customHeight="1" x14ac:dyDescent="0.3">
      <c r="A15" s="19">
        <f t="shared" si="0"/>
        <v>11</v>
      </c>
      <c r="B15" s="20">
        <v>46096.845358796294</v>
      </c>
      <c r="C15" s="19" t="s">
        <v>92</v>
      </c>
      <c r="D15" s="19" t="s">
        <v>33</v>
      </c>
      <c r="E15" s="19" t="s">
        <v>93</v>
      </c>
      <c r="F15" s="19" t="s">
        <v>88</v>
      </c>
      <c r="G15" s="19" t="s">
        <v>20</v>
      </c>
      <c r="H15" s="19" t="s">
        <v>89</v>
      </c>
      <c r="I15" s="21" t="s">
        <v>67</v>
      </c>
      <c r="J15" s="21" t="s">
        <v>49</v>
      </c>
      <c r="K15" s="22" t="s">
        <v>90</v>
      </c>
      <c r="L15" s="23" t="s">
        <v>91</v>
      </c>
      <c r="M15" s="19" t="s">
        <v>33</v>
      </c>
    </row>
    <row r="16" spans="1:13" s="24" customFormat="1" ht="53.25" customHeight="1" x14ac:dyDescent="0.3">
      <c r="A16" s="19">
        <f t="shared" si="0"/>
        <v>12</v>
      </c>
      <c r="B16" s="20">
        <v>46099.701747685183</v>
      </c>
      <c r="C16" s="19" t="s">
        <v>94</v>
      </c>
      <c r="D16" s="19"/>
      <c r="E16" s="19" t="s">
        <v>95</v>
      </c>
      <c r="F16" s="19" t="s">
        <v>96</v>
      </c>
      <c r="G16" s="19" t="s">
        <v>20</v>
      </c>
      <c r="H16" s="19" t="s">
        <v>97</v>
      </c>
      <c r="I16" s="21" t="s">
        <v>30</v>
      </c>
      <c r="J16" s="21" t="s">
        <v>23</v>
      </c>
      <c r="K16" s="22" t="s">
        <v>98</v>
      </c>
      <c r="L16" s="23" t="s">
        <v>99</v>
      </c>
      <c r="M16" s="19" t="s">
        <v>133</v>
      </c>
    </row>
    <row r="17" spans="1:13" s="24" customFormat="1" ht="53.25" customHeight="1" x14ac:dyDescent="0.3">
      <c r="A17" s="19">
        <f t="shared" si="0"/>
        <v>13</v>
      </c>
      <c r="B17" s="20">
        <v>46097.474606481483</v>
      </c>
      <c r="C17" s="19" t="s">
        <v>100</v>
      </c>
      <c r="D17" s="19" t="s">
        <v>37</v>
      </c>
      <c r="E17" s="19" t="s">
        <v>101</v>
      </c>
      <c r="F17" s="19" t="s">
        <v>102</v>
      </c>
      <c r="G17" s="19" t="s">
        <v>20</v>
      </c>
      <c r="H17" s="19" t="s">
        <v>66</v>
      </c>
      <c r="I17" s="21" t="s">
        <v>67</v>
      </c>
      <c r="J17" s="21" t="s">
        <v>49</v>
      </c>
      <c r="K17" s="22" t="s">
        <v>103</v>
      </c>
      <c r="L17" s="23" t="s">
        <v>69</v>
      </c>
      <c r="M17" s="19" t="s">
        <v>130</v>
      </c>
    </row>
    <row r="18" spans="1:13" s="24" customFormat="1" ht="53.25" customHeight="1" x14ac:dyDescent="0.3">
      <c r="A18" s="19">
        <f t="shared" si="0"/>
        <v>14</v>
      </c>
      <c r="B18" s="20">
        <v>46100.514467592591</v>
      </c>
      <c r="C18" s="19" t="s">
        <v>104</v>
      </c>
      <c r="D18" s="19"/>
      <c r="E18" s="19" t="s">
        <v>105</v>
      </c>
      <c r="F18" s="19" t="s">
        <v>106</v>
      </c>
      <c r="G18" s="19" t="s">
        <v>20</v>
      </c>
      <c r="H18" s="19" t="s">
        <v>107</v>
      </c>
      <c r="I18" s="21" t="s">
        <v>108</v>
      </c>
      <c r="J18" s="21" t="s">
        <v>109</v>
      </c>
      <c r="K18" s="22" t="s">
        <v>110</v>
      </c>
      <c r="L18" s="23" t="s">
        <v>111</v>
      </c>
      <c r="M18" s="19" t="s">
        <v>132</v>
      </c>
    </row>
    <row r="19" spans="1:13" s="24" customFormat="1" ht="53.25" customHeight="1" x14ac:dyDescent="0.3">
      <c r="A19" s="19">
        <f t="shared" si="0"/>
        <v>15</v>
      </c>
      <c r="B19" s="20">
        <v>46100.516770833332</v>
      </c>
      <c r="C19" s="19" t="s">
        <v>112</v>
      </c>
      <c r="D19" s="19"/>
      <c r="E19" s="19" t="s">
        <v>113</v>
      </c>
      <c r="F19" s="19" t="s">
        <v>106</v>
      </c>
      <c r="G19" s="19" t="s">
        <v>20</v>
      </c>
      <c r="H19" s="19" t="s">
        <v>107</v>
      </c>
      <c r="I19" s="21" t="s">
        <v>108</v>
      </c>
      <c r="J19" s="21" t="s">
        <v>109</v>
      </c>
      <c r="K19" s="22" t="s">
        <v>110</v>
      </c>
      <c r="L19" s="23" t="s">
        <v>114</v>
      </c>
      <c r="M19" s="19" t="s">
        <v>134</v>
      </c>
    </row>
    <row r="20" spans="1:13" s="24" customFormat="1" ht="53.25" customHeight="1" x14ac:dyDescent="0.3">
      <c r="A20" s="19">
        <f t="shared" si="0"/>
        <v>16</v>
      </c>
      <c r="B20" s="20">
        <v>46100.521145833336</v>
      </c>
      <c r="C20" s="19" t="s">
        <v>115</v>
      </c>
      <c r="D20" s="19"/>
      <c r="E20" s="19" t="s">
        <v>116</v>
      </c>
      <c r="F20" s="19" t="s">
        <v>106</v>
      </c>
      <c r="G20" s="19" t="s">
        <v>20</v>
      </c>
      <c r="H20" s="19" t="s">
        <v>107</v>
      </c>
      <c r="I20" s="21" t="s">
        <v>108</v>
      </c>
      <c r="J20" s="21" t="s">
        <v>109</v>
      </c>
      <c r="K20" s="22" t="s">
        <v>110</v>
      </c>
      <c r="L20" s="23" t="s">
        <v>114</v>
      </c>
      <c r="M20" s="19" t="s">
        <v>134</v>
      </c>
    </row>
    <row r="21" spans="1:13" s="24" customFormat="1" ht="53.25" customHeight="1" x14ac:dyDescent="0.3">
      <c r="A21" s="19">
        <f t="shared" si="0"/>
        <v>17</v>
      </c>
      <c r="B21" s="20">
        <v>46100.512187499997</v>
      </c>
      <c r="C21" s="19" t="s">
        <v>117</v>
      </c>
      <c r="D21" s="19"/>
      <c r="E21" s="19" t="s">
        <v>118</v>
      </c>
      <c r="F21" s="19" t="s">
        <v>106</v>
      </c>
      <c r="G21" s="19" t="s">
        <v>20</v>
      </c>
      <c r="H21" s="19" t="s">
        <v>107</v>
      </c>
      <c r="I21" s="21" t="s">
        <v>108</v>
      </c>
      <c r="J21" s="21" t="s">
        <v>109</v>
      </c>
      <c r="K21" s="22" t="s">
        <v>110</v>
      </c>
      <c r="L21" s="23" t="s">
        <v>114</v>
      </c>
      <c r="M21" s="19" t="s">
        <v>132</v>
      </c>
    </row>
    <row r="22" spans="1:13" s="24" customFormat="1" ht="53.25" customHeight="1" x14ac:dyDescent="0.3">
      <c r="A22" s="19">
        <f t="shared" si="0"/>
        <v>18</v>
      </c>
      <c r="B22" s="20">
        <v>46100.518888888888</v>
      </c>
      <c r="C22" s="19" t="s">
        <v>119</v>
      </c>
      <c r="D22" s="19"/>
      <c r="E22" s="19" t="s">
        <v>120</v>
      </c>
      <c r="F22" s="19" t="s">
        <v>106</v>
      </c>
      <c r="G22" s="19" t="s">
        <v>20</v>
      </c>
      <c r="H22" s="19" t="s">
        <v>107</v>
      </c>
      <c r="I22" s="21" t="s">
        <v>108</v>
      </c>
      <c r="J22" s="21" t="s">
        <v>109</v>
      </c>
      <c r="K22" s="22" t="s">
        <v>110</v>
      </c>
      <c r="L22" s="23" t="s">
        <v>114</v>
      </c>
      <c r="M22" s="19" t="s">
        <v>134</v>
      </c>
    </row>
    <row r="23" spans="1:13" s="24" customFormat="1" ht="53.25" customHeight="1" x14ac:dyDescent="0.3">
      <c r="A23" s="19">
        <f t="shared" si="0"/>
        <v>19</v>
      </c>
      <c r="B23" s="20">
        <v>46097.607141203705</v>
      </c>
      <c r="C23" s="19" t="s">
        <v>121</v>
      </c>
      <c r="D23" s="19" t="s">
        <v>33</v>
      </c>
      <c r="E23" s="19" t="s">
        <v>122</v>
      </c>
      <c r="F23" s="19" t="s">
        <v>123</v>
      </c>
      <c r="G23" s="19" t="s">
        <v>46</v>
      </c>
      <c r="H23" s="19" t="s">
        <v>124</v>
      </c>
      <c r="I23" s="21" t="s">
        <v>125</v>
      </c>
      <c r="J23" s="21" t="s">
        <v>126</v>
      </c>
      <c r="K23" s="22" t="s">
        <v>127</v>
      </c>
      <c r="L23" s="23" t="s">
        <v>128</v>
      </c>
      <c r="M23" s="19" t="s">
        <v>133</v>
      </c>
    </row>
    <row r="24" spans="1:13" s="24" customFormat="1" ht="57" customHeight="1" x14ac:dyDescent="0.3">
      <c r="A24" s="19">
        <f t="shared" si="0"/>
        <v>20</v>
      </c>
      <c r="B24" s="20">
        <v>46097.607141203705</v>
      </c>
      <c r="C24" s="19"/>
      <c r="D24" s="19"/>
      <c r="E24" s="19" t="s">
        <v>136</v>
      </c>
      <c r="F24" s="19"/>
      <c r="G24" s="19" t="s">
        <v>154</v>
      </c>
      <c r="H24" s="18" t="s">
        <v>149</v>
      </c>
      <c r="I24" s="21" t="s">
        <v>141</v>
      </c>
      <c r="J24" s="21" t="s">
        <v>142</v>
      </c>
      <c r="K24" s="22" t="s">
        <v>141</v>
      </c>
      <c r="L24" s="23" t="s">
        <v>143</v>
      </c>
      <c r="M24" s="19" t="s">
        <v>130</v>
      </c>
    </row>
    <row r="25" spans="1:13" s="24" customFormat="1" ht="57" customHeight="1" x14ac:dyDescent="0.3">
      <c r="A25" s="19">
        <f t="shared" si="0"/>
        <v>21</v>
      </c>
      <c r="B25" s="20">
        <v>46097.607141203705</v>
      </c>
      <c r="C25" s="19"/>
      <c r="D25" s="19"/>
      <c r="E25" s="19" t="s">
        <v>137</v>
      </c>
      <c r="F25" s="19"/>
      <c r="G25" s="19" t="s">
        <v>154</v>
      </c>
      <c r="H25" s="18" t="s">
        <v>150</v>
      </c>
      <c r="I25" s="21" t="s">
        <v>141</v>
      </c>
      <c r="J25" s="21" t="s">
        <v>144</v>
      </c>
      <c r="K25" s="22" t="s">
        <v>141</v>
      </c>
      <c r="L25" s="23" t="s">
        <v>145</v>
      </c>
      <c r="M25" s="19" t="s">
        <v>129</v>
      </c>
    </row>
    <row r="26" spans="1:13" s="24" customFormat="1" ht="65.25" customHeight="1" x14ac:dyDescent="0.3">
      <c r="A26" s="19">
        <f t="shared" si="0"/>
        <v>22</v>
      </c>
      <c r="B26" s="20">
        <v>46097.607141203705</v>
      </c>
      <c r="C26" s="19"/>
      <c r="D26" s="19"/>
      <c r="E26" s="19" t="s">
        <v>137</v>
      </c>
      <c r="F26" s="19"/>
      <c r="G26" s="19" t="s">
        <v>154</v>
      </c>
      <c r="H26" s="18" t="s">
        <v>151</v>
      </c>
      <c r="I26" s="21" t="s">
        <v>141</v>
      </c>
      <c r="J26" s="21" t="s">
        <v>142</v>
      </c>
      <c r="K26" s="22" t="s">
        <v>141</v>
      </c>
      <c r="L26" s="23" t="s">
        <v>143</v>
      </c>
      <c r="M26" s="19" t="s">
        <v>129</v>
      </c>
    </row>
    <row r="27" spans="1:13" s="24" customFormat="1" ht="65.25" customHeight="1" x14ac:dyDescent="0.3">
      <c r="A27" s="19">
        <f t="shared" si="0"/>
        <v>23</v>
      </c>
      <c r="B27" s="20">
        <v>46097.607141203705</v>
      </c>
      <c r="C27" s="19"/>
      <c r="D27" s="19"/>
      <c r="E27" s="19" t="s">
        <v>138</v>
      </c>
      <c r="F27" s="19"/>
      <c r="G27" s="19" t="s">
        <v>154</v>
      </c>
      <c r="H27" s="18" t="s">
        <v>152</v>
      </c>
      <c r="I27" s="21" t="s">
        <v>141</v>
      </c>
      <c r="J27" s="21" t="s">
        <v>142</v>
      </c>
      <c r="K27" s="22" t="s">
        <v>141</v>
      </c>
      <c r="L27" s="23" t="s">
        <v>143</v>
      </c>
      <c r="M27" s="19" t="s">
        <v>130</v>
      </c>
    </row>
    <row r="28" spans="1:13" s="24" customFormat="1" ht="87.75" customHeight="1" x14ac:dyDescent="0.3">
      <c r="A28" s="19">
        <f t="shared" si="0"/>
        <v>24</v>
      </c>
      <c r="B28" s="20">
        <v>46097.607141203705</v>
      </c>
      <c r="C28" s="19"/>
      <c r="D28" s="19"/>
      <c r="E28" s="19" t="s">
        <v>139</v>
      </c>
      <c r="F28" s="19"/>
      <c r="G28" s="19" t="s">
        <v>154</v>
      </c>
      <c r="H28" s="18" t="s">
        <v>153</v>
      </c>
      <c r="I28" s="21" t="s">
        <v>141</v>
      </c>
      <c r="J28" s="21" t="s">
        <v>142</v>
      </c>
      <c r="K28" s="22" t="s">
        <v>141</v>
      </c>
      <c r="L28" s="23" t="s">
        <v>146</v>
      </c>
      <c r="M28" s="19" t="s">
        <v>148</v>
      </c>
    </row>
    <row r="29" spans="1:13" s="24" customFormat="1" ht="87.75" customHeight="1" x14ac:dyDescent="0.3">
      <c r="A29" s="19">
        <f t="shared" si="0"/>
        <v>25</v>
      </c>
      <c r="B29" s="20">
        <v>46097.607141203705</v>
      </c>
      <c r="C29" s="19"/>
      <c r="D29" s="19"/>
      <c r="E29" s="19" t="s">
        <v>140</v>
      </c>
      <c r="F29" s="19"/>
      <c r="G29" s="19" t="s">
        <v>154</v>
      </c>
      <c r="H29" s="18" t="s">
        <v>153</v>
      </c>
      <c r="I29" s="21" t="s">
        <v>141</v>
      </c>
      <c r="J29" s="21" t="s">
        <v>147</v>
      </c>
      <c r="K29" s="22" t="s">
        <v>141</v>
      </c>
      <c r="L29" s="23" t="s">
        <v>143</v>
      </c>
      <c r="M29" s="19" t="s">
        <v>148</v>
      </c>
    </row>
    <row r="30" spans="1:13" x14ac:dyDescent="0.25">
      <c r="A30" s="2"/>
      <c r="B30" s="3"/>
      <c r="C30" s="2"/>
      <c r="D30" s="2"/>
      <c r="E30" s="2"/>
      <c r="F30" s="2"/>
      <c r="G30" s="2"/>
      <c r="H30" s="2"/>
      <c r="I30" s="4"/>
      <c r="J30" s="4"/>
      <c r="K30" s="5"/>
      <c r="L30" s="6"/>
      <c r="M30" s="8"/>
    </row>
    <row r="31" spans="1:13" ht="35.25" customHeight="1" x14ac:dyDescent="0.25">
      <c r="A31" s="2"/>
      <c r="B31" s="3"/>
      <c r="C31" s="2"/>
      <c r="D31" s="2"/>
      <c r="E31" s="2"/>
      <c r="F31" s="2"/>
      <c r="G31" s="2"/>
      <c r="H31" s="2"/>
      <c r="I31" s="4"/>
      <c r="J31" s="4"/>
      <c r="K31" s="5"/>
      <c r="L31" s="6"/>
      <c r="M31" s="28" t="s">
        <v>155</v>
      </c>
    </row>
    <row r="32" spans="1:13" x14ac:dyDescent="0.25">
      <c r="A32" s="2"/>
      <c r="B32" s="3"/>
      <c r="C32" s="2"/>
      <c r="D32" s="2"/>
      <c r="E32" s="2"/>
      <c r="F32" s="2"/>
      <c r="G32" s="2"/>
      <c r="H32" s="2"/>
      <c r="I32" s="4"/>
      <c r="J32" s="4"/>
      <c r="K32" s="5"/>
      <c r="L32" s="6"/>
      <c r="M32" s="8"/>
    </row>
    <row r="33" spans="1:13" x14ac:dyDescent="0.25">
      <c r="A33" s="2"/>
      <c r="B33" s="3"/>
      <c r="C33" s="2"/>
      <c r="D33" s="2"/>
      <c r="E33" s="2"/>
      <c r="F33" s="2"/>
      <c r="G33" s="2"/>
      <c r="H33" s="2"/>
      <c r="I33" s="4"/>
      <c r="J33" s="4"/>
      <c r="K33" s="5"/>
      <c r="L33" s="6"/>
      <c r="M33" s="8"/>
    </row>
    <row r="34" spans="1:13" x14ac:dyDescent="0.25">
      <c r="A34" s="2"/>
      <c r="B34" s="3"/>
      <c r="C34" s="2"/>
      <c r="D34" s="2"/>
      <c r="E34" s="2"/>
      <c r="F34" s="2"/>
      <c r="G34" s="2"/>
      <c r="H34" s="2"/>
      <c r="I34" s="4"/>
      <c r="J34" s="4"/>
      <c r="K34" s="5"/>
      <c r="L34" s="6"/>
      <c r="M34" s="8"/>
    </row>
    <row r="35" spans="1:13" x14ac:dyDescent="0.25">
      <c r="A35" s="2"/>
      <c r="B35" s="3"/>
      <c r="C35" s="2"/>
      <c r="D35" s="2"/>
      <c r="E35" s="2"/>
      <c r="F35" s="2"/>
      <c r="G35" s="2"/>
      <c r="H35" s="2"/>
      <c r="I35" s="4"/>
      <c r="J35" s="4"/>
      <c r="K35" s="5"/>
      <c r="L35" s="6"/>
      <c r="M35" s="8"/>
    </row>
    <row r="36" spans="1:13" x14ac:dyDescent="0.25">
      <c r="A36" s="2"/>
      <c r="B36" s="3"/>
      <c r="C36" s="2"/>
      <c r="D36" s="2"/>
      <c r="E36" s="2"/>
      <c r="F36" s="2"/>
      <c r="G36" s="2"/>
      <c r="H36" s="2"/>
      <c r="I36" s="4"/>
      <c r="J36" s="4"/>
      <c r="K36" s="5"/>
      <c r="L36" s="6"/>
      <c r="M36" s="8"/>
    </row>
    <row r="37" spans="1:13" x14ac:dyDescent="0.25">
      <c r="A37" s="2"/>
      <c r="B37" s="3"/>
      <c r="C37" s="2"/>
      <c r="D37" s="2"/>
      <c r="E37" s="2"/>
      <c r="F37" s="2"/>
      <c r="G37" s="2"/>
      <c r="H37" s="2"/>
      <c r="I37" s="4"/>
      <c r="J37" s="4"/>
      <c r="K37" s="5"/>
      <c r="L37" s="6"/>
      <c r="M37" s="8"/>
    </row>
    <row r="38" spans="1:13" x14ac:dyDescent="0.25">
      <c r="A38" s="2"/>
      <c r="B38" s="3"/>
      <c r="C38" s="2"/>
      <c r="D38" s="2"/>
      <c r="E38" s="2"/>
      <c r="F38" s="2"/>
      <c r="G38" s="2"/>
      <c r="H38" s="2"/>
      <c r="I38" s="4"/>
      <c r="J38" s="4"/>
      <c r="K38" s="5"/>
      <c r="L38" s="6"/>
      <c r="M38" s="8"/>
    </row>
  </sheetData>
  <mergeCells count="3">
    <mergeCell ref="B1:M1"/>
    <mergeCell ref="K4:L4"/>
    <mergeCell ref="E2:L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2026-03-19T13:25:01Z</dcterms:created>
  <dcterms:modified xsi:type="dcterms:W3CDTF">2026-03-19T14:43:55Z</dcterms:modified>
</cp:coreProperties>
</file>